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Silomo_USB Files\Learning Material\ALX_Learning Courses\Data Analytics Course\Data Analytics Course_Preparing Data\Section 1_Introduction to Data Analytics\Integrated Project_Understanding The Data\"/>
    </mc:Choice>
  </mc:AlternateContent>
  <xr:revisionPtr revIDLastSave="0" documentId="13_ncr:1_{C9E75BD5-C1E1-4BC2-A3C0-DB73B8F886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stimates of the use of water (" sheetId="1" r:id="rId1"/>
  </sheets>
  <definedNames>
    <definedName name="_xlnm._FilterDatabase" localSheetId="0" hidden="1">'Estimates of the use of water ('!$A$1:$R$465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AK2" i="1"/>
  <c r="V470" i="1"/>
  <c r="U470" i="1"/>
  <c r="T470" i="1"/>
  <c r="E468" i="1"/>
  <c r="AY465" i="1"/>
  <c r="AX465" i="1"/>
  <c r="AC465" i="1"/>
  <c r="Y465" i="1"/>
  <c r="X465" i="1"/>
  <c r="AA465" i="1" s="1"/>
  <c r="W465" i="1"/>
  <c r="Z465" i="1" s="1"/>
  <c r="AB465" i="1" s="1"/>
  <c r="V465" i="1"/>
  <c r="U465" i="1"/>
  <c r="T465" i="1"/>
  <c r="AY464" i="1"/>
  <c r="AX464" i="1"/>
  <c r="AZ464" i="1" s="1"/>
  <c r="AC464" i="1"/>
  <c r="AB464" i="1"/>
  <c r="Y464" i="1"/>
  <c r="X464" i="1"/>
  <c r="AA464" i="1" s="1"/>
  <c r="W464" i="1"/>
  <c r="Z464" i="1" s="1"/>
  <c r="V464" i="1"/>
  <c r="U464" i="1"/>
  <c r="T464" i="1"/>
  <c r="R464" i="1"/>
  <c r="Q464" i="1"/>
  <c r="AY463" i="1"/>
  <c r="AZ463" i="1" s="1"/>
  <c r="AX463" i="1"/>
  <c r="AB463" i="1"/>
  <c r="AA463" i="1"/>
  <c r="Z463" i="1"/>
  <c r="Y463" i="1"/>
  <c r="X463" i="1"/>
  <c r="W463" i="1"/>
  <c r="V463" i="1"/>
  <c r="U463" i="1"/>
  <c r="AC463" i="1" s="1"/>
  <c r="T463" i="1"/>
  <c r="R463" i="1"/>
  <c r="Q463" i="1"/>
  <c r="AY462" i="1"/>
  <c r="AX462" i="1"/>
  <c r="AC462" i="1"/>
  <c r="AA462" i="1"/>
  <c r="Z462" i="1"/>
  <c r="AB462" i="1" s="1"/>
  <c r="Y462" i="1"/>
  <c r="X462" i="1"/>
  <c r="W462" i="1"/>
  <c r="V462" i="1"/>
  <c r="U462" i="1"/>
  <c r="T462" i="1"/>
  <c r="AY461" i="1"/>
  <c r="AZ461" i="1" s="1"/>
  <c r="AX461" i="1"/>
  <c r="AC461" i="1"/>
  <c r="AA461" i="1"/>
  <c r="Y461" i="1"/>
  <c r="X461" i="1"/>
  <c r="W461" i="1"/>
  <c r="Z461" i="1" s="1"/>
  <c r="AB461" i="1" s="1"/>
  <c r="V461" i="1"/>
  <c r="U461" i="1"/>
  <c r="T461" i="1"/>
  <c r="R461" i="1"/>
  <c r="Q461" i="1"/>
  <c r="AZ460" i="1"/>
  <c r="AY460" i="1"/>
  <c r="AX460" i="1"/>
  <c r="AA460" i="1"/>
  <c r="Y460" i="1"/>
  <c r="X460" i="1"/>
  <c r="W460" i="1"/>
  <c r="Z460" i="1" s="1"/>
  <c r="AB460" i="1" s="1"/>
  <c r="V460" i="1"/>
  <c r="AS232" i="1" s="1"/>
  <c r="U460" i="1"/>
  <c r="T460" i="1"/>
  <c r="R460" i="1"/>
  <c r="Q460" i="1"/>
  <c r="AY459" i="1"/>
  <c r="AX459" i="1"/>
  <c r="AZ459" i="1" s="1"/>
  <c r="Y459" i="1"/>
  <c r="X459" i="1"/>
  <c r="AA459" i="1" s="1"/>
  <c r="W459" i="1"/>
  <c r="Z459" i="1" s="1"/>
  <c r="AB459" i="1" s="1"/>
  <c r="V459" i="1"/>
  <c r="U459" i="1"/>
  <c r="T459" i="1"/>
  <c r="R459" i="1"/>
  <c r="Q459" i="1"/>
  <c r="AZ458" i="1"/>
  <c r="AY458" i="1"/>
  <c r="AX458" i="1"/>
  <c r="Y458" i="1"/>
  <c r="X458" i="1"/>
  <c r="AA458" i="1" s="1"/>
  <c r="W458" i="1"/>
  <c r="Z458" i="1" s="1"/>
  <c r="AB458" i="1" s="1"/>
  <c r="V458" i="1"/>
  <c r="U458" i="1"/>
  <c r="T458" i="1"/>
  <c r="R458" i="1"/>
  <c r="Q458" i="1"/>
  <c r="AY457" i="1"/>
  <c r="AX457" i="1"/>
  <c r="AZ457" i="1" s="1"/>
  <c r="AC457" i="1"/>
  <c r="AA457" i="1"/>
  <c r="Z457" i="1"/>
  <c r="AB457" i="1" s="1"/>
  <c r="Y457" i="1"/>
  <c r="X457" i="1"/>
  <c r="W457" i="1"/>
  <c r="V457" i="1"/>
  <c r="U457" i="1"/>
  <c r="T457" i="1"/>
  <c r="R457" i="1"/>
  <c r="Q457" i="1"/>
  <c r="AY456" i="1"/>
  <c r="AX456" i="1"/>
  <c r="AZ456" i="1" s="1"/>
  <c r="AC456" i="1"/>
  <c r="AB456" i="1"/>
  <c r="AA456" i="1"/>
  <c r="Y456" i="1"/>
  <c r="X456" i="1"/>
  <c r="W456" i="1"/>
  <c r="Z456" i="1" s="1"/>
  <c r="V456" i="1"/>
  <c r="U456" i="1"/>
  <c r="T456" i="1"/>
  <c r="AK230" i="1" s="1"/>
  <c r="R456" i="1"/>
  <c r="Q456" i="1"/>
  <c r="AY455" i="1"/>
  <c r="AZ455" i="1" s="1"/>
  <c r="AX455" i="1"/>
  <c r="Y455" i="1"/>
  <c r="X455" i="1"/>
  <c r="AA455" i="1" s="1"/>
  <c r="W455" i="1"/>
  <c r="Z455" i="1" s="1"/>
  <c r="AB455" i="1" s="1"/>
  <c r="V455" i="1"/>
  <c r="U455" i="1"/>
  <c r="AC455" i="1" s="1"/>
  <c r="T455" i="1"/>
  <c r="R455" i="1"/>
  <c r="Q455" i="1"/>
  <c r="AZ454" i="1"/>
  <c r="AY454" i="1"/>
  <c r="AX454" i="1"/>
  <c r="AA454" i="1"/>
  <c r="Z454" i="1"/>
  <c r="AB454" i="1" s="1"/>
  <c r="Y454" i="1"/>
  <c r="X454" i="1"/>
  <c r="W454" i="1"/>
  <c r="V454" i="1"/>
  <c r="U454" i="1"/>
  <c r="AC454" i="1" s="1"/>
  <c r="T454" i="1"/>
  <c r="AK229" i="1" s="1"/>
  <c r="R454" i="1"/>
  <c r="Q454" i="1"/>
  <c r="AY453" i="1"/>
  <c r="AX453" i="1"/>
  <c r="AZ453" i="1" s="1"/>
  <c r="AC453" i="1"/>
  <c r="AB453" i="1"/>
  <c r="AA453" i="1"/>
  <c r="Z453" i="1"/>
  <c r="Y453" i="1"/>
  <c r="X453" i="1"/>
  <c r="W453" i="1"/>
  <c r="V453" i="1"/>
  <c r="U453" i="1"/>
  <c r="T453" i="1"/>
  <c r="R453" i="1"/>
  <c r="Q453" i="1"/>
  <c r="AY452" i="1"/>
  <c r="AZ452" i="1" s="1"/>
  <c r="AX452" i="1"/>
  <c r="AA452" i="1"/>
  <c r="Z452" i="1"/>
  <c r="AB452" i="1" s="1"/>
  <c r="Y452" i="1"/>
  <c r="X452" i="1"/>
  <c r="W452" i="1"/>
  <c r="V452" i="1"/>
  <c r="U452" i="1"/>
  <c r="T452" i="1"/>
  <c r="R452" i="1"/>
  <c r="Q452" i="1"/>
  <c r="AZ451" i="1"/>
  <c r="AY451" i="1"/>
  <c r="AX451" i="1"/>
  <c r="Y451" i="1"/>
  <c r="X451" i="1"/>
  <c r="AA451" i="1" s="1"/>
  <c r="W451" i="1"/>
  <c r="Z451" i="1" s="1"/>
  <c r="AB451" i="1" s="1"/>
  <c r="V451" i="1"/>
  <c r="U451" i="1"/>
  <c r="T451" i="1"/>
  <c r="R451" i="1"/>
  <c r="Q451" i="1"/>
  <c r="AZ450" i="1"/>
  <c r="AY450" i="1"/>
  <c r="AX450" i="1"/>
  <c r="Y450" i="1"/>
  <c r="X450" i="1"/>
  <c r="AA450" i="1" s="1"/>
  <c r="W450" i="1"/>
  <c r="Z450" i="1" s="1"/>
  <c r="AB450" i="1" s="1"/>
  <c r="V450" i="1"/>
  <c r="U450" i="1"/>
  <c r="T450" i="1"/>
  <c r="AK227" i="1" s="1"/>
  <c r="R450" i="1"/>
  <c r="Q450" i="1"/>
  <c r="AY449" i="1"/>
  <c r="AX449" i="1"/>
  <c r="AZ449" i="1" s="1"/>
  <c r="AC449" i="1"/>
  <c r="Y449" i="1"/>
  <c r="X449" i="1"/>
  <c r="AA449" i="1" s="1"/>
  <c r="W449" i="1"/>
  <c r="Z449" i="1" s="1"/>
  <c r="AB449" i="1" s="1"/>
  <c r="V449" i="1"/>
  <c r="U449" i="1"/>
  <c r="T449" i="1"/>
  <c r="R449" i="1"/>
  <c r="Q449" i="1"/>
  <c r="AY448" i="1"/>
  <c r="AX448" i="1"/>
  <c r="AZ448" i="1" s="1"/>
  <c r="AC448" i="1"/>
  <c r="AA448" i="1"/>
  <c r="Z448" i="1"/>
  <c r="AB448" i="1" s="1"/>
  <c r="Y448" i="1"/>
  <c r="X448" i="1"/>
  <c r="W448" i="1"/>
  <c r="V448" i="1"/>
  <c r="U448" i="1"/>
  <c r="T448" i="1"/>
  <c r="R448" i="1"/>
  <c r="Q448" i="1"/>
  <c r="AY447" i="1"/>
  <c r="AX447" i="1"/>
  <c r="AC447" i="1"/>
  <c r="Z447" i="1"/>
  <c r="AB447" i="1" s="1"/>
  <c r="Y447" i="1"/>
  <c r="X447" i="1"/>
  <c r="AA447" i="1" s="1"/>
  <c r="W447" i="1"/>
  <c r="V447" i="1"/>
  <c r="U447" i="1"/>
  <c r="T447" i="1"/>
  <c r="R447" i="1"/>
  <c r="Q447" i="1"/>
  <c r="AZ446" i="1"/>
  <c r="AY446" i="1"/>
  <c r="AX446" i="1"/>
  <c r="AB446" i="1"/>
  <c r="Y446" i="1"/>
  <c r="X446" i="1"/>
  <c r="AA446" i="1" s="1"/>
  <c r="W446" i="1"/>
  <c r="Z446" i="1" s="1"/>
  <c r="V446" i="1"/>
  <c r="U446" i="1"/>
  <c r="AO225" i="1" s="1"/>
  <c r="T446" i="1"/>
  <c r="AK225" i="1" s="1"/>
  <c r="R446" i="1"/>
  <c r="Q446" i="1"/>
  <c r="AY445" i="1"/>
  <c r="AZ445" i="1" s="1"/>
  <c r="AX445" i="1"/>
  <c r="AC445" i="1"/>
  <c r="Z445" i="1"/>
  <c r="AB445" i="1" s="1"/>
  <c r="Y445" i="1"/>
  <c r="X445" i="1"/>
  <c r="AA445" i="1" s="1"/>
  <c r="W445" i="1"/>
  <c r="V445" i="1"/>
  <c r="U445" i="1"/>
  <c r="T445" i="1"/>
  <c r="R445" i="1"/>
  <c r="Q445" i="1"/>
  <c r="AY444" i="1"/>
  <c r="AX444" i="1"/>
  <c r="AZ444" i="1" s="1"/>
  <c r="AC444" i="1"/>
  <c r="AB444" i="1"/>
  <c r="AA444" i="1"/>
  <c r="Z444" i="1"/>
  <c r="Y444" i="1"/>
  <c r="X444" i="1"/>
  <c r="W444" i="1"/>
  <c r="V444" i="1"/>
  <c r="U444" i="1"/>
  <c r="T444" i="1"/>
  <c r="R444" i="1"/>
  <c r="Q444" i="1"/>
  <c r="AY443" i="1"/>
  <c r="AZ443" i="1" s="1"/>
  <c r="AX443" i="1"/>
  <c r="AC443" i="1"/>
  <c r="Z443" i="1"/>
  <c r="AB443" i="1" s="1"/>
  <c r="Y443" i="1"/>
  <c r="X443" i="1"/>
  <c r="AA443" i="1" s="1"/>
  <c r="W443" i="1"/>
  <c r="V443" i="1"/>
  <c r="U443" i="1"/>
  <c r="T443" i="1"/>
  <c r="R443" i="1"/>
  <c r="Q443" i="1"/>
  <c r="AZ442" i="1"/>
  <c r="AY442" i="1"/>
  <c r="AX442" i="1"/>
  <c r="AC442" i="1"/>
  <c r="AA442" i="1"/>
  <c r="Z442" i="1"/>
  <c r="AB442" i="1" s="1"/>
  <c r="Y442" i="1"/>
  <c r="X442" i="1"/>
  <c r="W442" i="1"/>
  <c r="V442" i="1"/>
  <c r="U442" i="1"/>
  <c r="T442" i="1"/>
  <c r="AK223" i="1" s="1"/>
  <c r="R442" i="1"/>
  <c r="Q442" i="1"/>
  <c r="AZ441" i="1"/>
  <c r="AY441" i="1"/>
  <c r="AX441" i="1"/>
  <c r="AC441" i="1"/>
  <c r="Y441" i="1"/>
  <c r="X441" i="1"/>
  <c r="AA441" i="1" s="1"/>
  <c r="W441" i="1"/>
  <c r="Z441" i="1" s="1"/>
  <c r="AB441" i="1" s="1"/>
  <c r="V441" i="1"/>
  <c r="U441" i="1"/>
  <c r="T441" i="1"/>
  <c r="R441" i="1"/>
  <c r="Q441" i="1"/>
  <c r="AZ440" i="1"/>
  <c r="AY440" i="1"/>
  <c r="AX440" i="1"/>
  <c r="AA440" i="1"/>
  <c r="Z440" i="1"/>
  <c r="AB440" i="1" s="1"/>
  <c r="Y440" i="1"/>
  <c r="X440" i="1"/>
  <c r="W440" i="1"/>
  <c r="V440" i="1"/>
  <c r="AS222" i="1" s="1"/>
  <c r="U440" i="1"/>
  <c r="T440" i="1"/>
  <c r="AK222" i="1" s="1"/>
  <c r="R440" i="1"/>
  <c r="Q440" i="1"/>
  <c r="AY439" i="1"/>
  <c r="AX439" i="1"/>
  <c r="AZ439" i="1" s="1"/>
  <c r="Z439" i="1"/>
  <c r="AB439" i="1" s="1"/>
  <c r="Y439" i="1"/>
  <c r="X439" i="1"/>
  <c r="AA439" i="1" s="1"/>
  <c r="W439" i="1"/>
  <c r="V439" i="1"/>
  <c r="U439" i="1"/>
  <c r="AC439" i="1" s="1"/>
  <c r="T439" i="1"/>
  <c r="R439" i="1"/>
  <c r="Q439" i="1"/>
  <c r="AZ438" i="1"/>
  <c r="AY438" i="1"/>
  <c r="AX438" i="1"/>
  <c r="AC438" i="1"/>
  <c r="AB438" i="1"/>
  <c r="Z438" i="1"/>
  <c r="Y438" i="1"/>
  <c r="X438" i="1"/>
  <c r="AA438" i="1" s="1"/>
  <c r="W438" i="1"/>
  <c r="V438" i="1"/>
  <c r="U438" i="1"/>
  <c r="T438" i="1"/>
  <c r="R438" i="1"/>
  <c r="Q438" i="1"/>
  <c r="AY437" i="1"/>
  <c r="AZ437" i="1" s="1"/>
  <c r="AX437" i="1"/>
  <c r="AC437" i="1"/>
  <c r="AA437" i="1"/>
  <c r="Y437" i="1"/>
  <c r="X437" i="1"/>
  <c r="W437" i="1"/>
  <c r="Z437" i="1" s="1"/>
  <c r="AB437" i="1" s="1"/>
  <c r="V437" i="1"/>
  <c r="U437" i="1"/>
  <c r="T437" i="1"/>
  <c r="R437" i="1"/>
  <c r="Q437" i="1"/>
  <c r="AZ436" i="1"/>
  <c r="AY436" i="1"/>
  <c r="AX436" i="1"/>
  <c r="AA436" i="1"/>
  <c r="Y436" i="1"/>
  <c r="X436" i="1"/>
  <c r="W436" i="1"/>
  <c r="Z436" i="1" s="1"/>
  <c r="AB436" i="1" s="1"/>
  <c r="V436" i="1"/>
  <c r="U436" i="1"/>
  <c r="AC436" i="1" s="1"/>
  <c r="T436" i="1"/>
  <c r="R436" i="1"/>
  <c r="Q436" i="1"/>
  <c r="AY435" i="1"/>
  <c r="AX435" i="1"/>
  <c r="AZ435" i="1" s="1"/>
  <c r="Y435" i="1"/>
  <c r="X435" i="1"/>
  <c r="AA435" i="1" s="1"/>
  <c r="W435" i="1"/>
  <c r="Z435" i="1" s="1"/>
  <c r="AB435" i="1" s="1"/>
  <c r="V435" i="1"/>
  <c r="AS218" i="1" s="1"/>
  <c r="U435" i="1"/>
  <c r="T435" i="1"/>
  <c r="R435" i="1"/>
  <c r="Q435" i="1"/>
  <c r="AZ434" i="1"/>
  <c r="AY434" i="1"/>
  <c r="AX434" i="1"/>
  <c r="AC434" i="1"/>
  <c r="AA434" i="1"/>
  <c r="Z434" i="1"/>
  <c r="AB434" i="1" s="1"/>
  <c r="Y434" i="1"/>
  <c r="X434" i="1"/>
  <c r="W434" i="1"/>
  <c r="V434" i="1"/>
  <c r="U434" i="1"/>
  <c r="T434" i="1"/>
  <c r="R434" i="1"/>
  <c r="Q434" i="1"/>
  <c r="AY433" i="1"/>
  <c r="AX433" i="1"/>
  <c r="AZ433" i="1" s="1"/>
  <c r="AC433" i="1"/>
  <c r="AB433" i="1"/>
  <c r="AA433" i="1"/>
  <c r="Z433" i="1"/>
  <c r="Y433" i="1"/>
  <c r="X433" i="1"/>
  <c r="W433" i="1"/>
  <c r="V433" i="1"/>
  <c r="U433" i="1"/>
  <c r="T433" i="1"/>
  <c r="R433" i="1"/>
  <c r="Q433" i="1"/>
  <c r="AY432" i="1"/>
  <c r="AZ432" i="1" s="1"/>
  <c r="AX432" i="1"/>
  <c r="AA432" i="1"/>
  <c r="Y432" i="1"/>
  <c r="X432" i="1"/>
  <c r="W432" i="1"/>
  <c r="Z432" i="1" s="1"/>
  <c r="AB432" i="1" s="1"/>
  <c r="V432" i="1"/>
  <c r="U432" i="1"/>
  <c r="T432" i="1"/>
  <c r="R432" i="1"/>
  <c r="Q432" i="1"/>
  <c r="AY431" i="1"/>
  <c r="AZ431" i="1" s="1"/>
  <c r="AX431" i="1"/>
  <c r="Y431" i="1"/>
  <c r="X431" i="1"/>
  <c r="AA431" i="1" s="1"/>
  <c r="W431" i="1"/>
  <c r="Z431" i="1" s="1"/>
  <c r="AB431" i="1" s="1"/>
  <c r="V431" i="1"/>
  <c r="U431" i="1"/>
  <c r="AC431" i="1" s="1"/>
  <c r="T431" i="1"/>
  <c r="R431" i="1"/>
  <c r="Q431" i="1"/>
  <c r="AZ430" i="1"/>
  <c r="AY430" i="1"/>
  <c r="AX430" i="1"/>
  <c r="Y430" i="1"/>
  <c r="X430" i="1"/>
  <c r="AA430" i="1" s="1"/>
  <c r="W430" i="1"/>
  <c r="Z430" i="1" s="1"/>
  <c r="AB430" i="1" s="1"/>
  <c r="V430" i="1"/>
  <c r="U430" i="1"/>
  <c r="AC430" i="1" s="1"/>
  <c r="T430" i="1"/>
  <c r="AK216" i="1" s="1"/>
  <c r="R430" i="1"/>
  <c r="Q430" i="1"/>
  <c r="AY429" i="1"/>
  <c r="AX429" i="1"/>
  <c r="AZ429" i="1" s="1"/>
  <c r="AC429" i="1"/>
  <c r="Y429" i="1"/>
  <c r="X429" i="1"/>
  <c r="AA429" i="1" s="1"/>
  <c r="W429" i="1"/>
  <c r="Z429" i="1" s="1"/>
  <c r="AB429" i="1" s="1"/>
  <c r="V429" i="1"/>
  <c r="U429" i="1"/>
  <c r="T429" i="1"/>
  <c r="R429" i="1"/>
  <c r="Q429" i="1"/>
  <c r="AY428" i="1"/>
  <c r="AX428" i="1"/>
  <c r="AZ428" i="1" s="1"/>
  <c r="AC428" i="1"/>
  <c r="AA428" i="1"/>
  <c r="Z428" i="1"/>
  <c r="AB428" i="1" s="1"/>
  <c r="Y428" i="1"/>
  <c r="X428" i="1"/>
  <c r="W428" i="1"/>
  <c r="V428" i="1"/>
  <c r="U428" i="1"/>
  <c r="AO215" i="1" s="1"/>
  <c r="T428" i="1"/>
  <c r="AK215" i="1" s="1"/>
  <c r="R428" i="1"/>
  <c r="Q428" i="1"/>
  <c r="AY427" i="1"/>
  <c r="AX427" i="1"/>
  <c r="AZ427" i="1" s="1"/>
  <c r="AC427" i="1"/>
  <c r="Y427" i="1"/>
  <c r="X427" i="1"/>
  <c r="AA427" i="1" s="1"/>
  <c r="W427" i="1"/>
  <c r="Z427" i="1" s="1"/>
  <c r="AB427" i="1" s="1"/>
  <c r="V427" i="1"/>
  <c r="U427" i="1"/>
  <c r="T427" i="1"/>
  <c r="R427" i="1"/>
  <c r="Q427" i="1"/>
  <c r="AZ426" i="1"/>
  <c r="AY426" i="1"/>
  <c r="AX426" i="1"/>
  <c r="Y426" i="1"/>
  <c r="X426" i="1"/>
  <c r="AA426" i="1" s="1"/>
  <c r="W426" i="1"/>
  <c r="Z426" i="1" s="1"/>
  <c r="AB426" i="1" s="1"/>
  <c r="V426" i="1"/>
  <c r="U426" i="1"/>
  <c r="T426" i="1"/>
  <c r="R426" i="1"/>
  <c r="Q426" i="1"/>
  <c r="AY425" i="1"/>
  <c r="AX425" i="1"/>
  <c r="AZ425" i="1" s="1"/>
  <c r="AC425" i="1"/>
  <c r="AA425" i="1"/>
  <c r="Z425" i="1"/>
  <c r="AB425" i="1" s="1"/>
  <c r="Y425" i="1"/>
  <c r="X425" i="1"/>
  <c r="W425" i="1"/>
  <c r="V425" i="1"/>
  <c r="U425" i="1"/>
  <c r="T425" i="1"/>
  <c r="R425" i="1"/>
  <c r="Q425" i="1"/>
  <c r="AY424" i="1"/>
  <c r="AX424" i="1"/>
  <c r="AZ424" i="1" s="1"/>
  <c r="AC424" i="1"/>
  <c r="AB424" i="1"/>
  <c r="AA424" i="1"/>
  <c r="Z424" i="1"/>
  <c r="Y424" i="1"/>
  <c r="X424" i="1"/>
  <c r="W424" i="1"/>
  <c r="V424" i="1"/>
  <c r="AS213" i="1" s="1"/>
  <c r="U424" i="1"/>
  <c r="T424" i="1"/>
  <c r="R424" i="1"/>
  <c r="Q424" i="1"/>
  <c r="AY423" i="1"/>
  <c r="AZ423" i="1" s="1"/>
  <c r="AX423" i="1"/>
  <c r="AC423" i="1"/>
  <c r="Z423" i="1"/>
  <c r="AB423" i="1" s="1"/>
  <c r="Y423" i="1"/>
  <c r="X423" i="1"/>
  <c r="AA423" i="1" s="1"/>
  <c r="W423" i="1"/>
  <c r="V423" i="1"/>
  <c r="U423" i="1"/>
  <c r="T423" i="1"/>
  <c r="R423" i="1"/>
  <c r="Q423" i="1"/>
  <c r="AZ422" i="1"/>
  <c r="AY422" i="1"/>
  <c r="AX422" i="1"/>
  <c r="Y422" i="1"/>
  <c r="X422" i="1"/>
  <c r="AA422" i="1" s="1"/>
  <c r="W422" i="1"/>
  <c r="Z422" i="1" s="1"/>
  <c r="AB422" i="1" s="1"/>
  <c r="V422" i="1"/>
  <c r="U422" i="1"/>
  <c r="AC422" i="1" s="1"/>
  <c r="T422" i="1"/>
  <c r="R422" i="1"/>
  <c r="Q422" i="1"/>
  <c r="AY421" i="1"/>
  <c r="AZ421" i="1" s="1"/>
  <c r="AX421" i="1"/>
  <c r="AC421" i="1"/>
  <c r="Y421" i="1"/>
  <c r="X421" i="1"/>
  <c r="AA421" i="1" s="1"/>
  <c r="W421" i="1"/>
  <c r="Z421" i="1" s="1"/>
  <c r="AB421" i="1" s="1"/>
  <c r="V421" i="1"/>
  <c r="U421" i="1"/>
  <c r="T421" i="1"/>
  <c r="AK211" i="1" s="1"/>
  <c r="R421" i="1"/>
  <c r="Q421" i="1"/>
  <c r="AY420" i="1"/>
  <c r="AX420" i="1"/>
  <c r="AZ420" i="1" s="1"/>
  <c r="AA420" i="1"/>
  <c r="Y420" i="1"/>
  <c r="X420" i="1"/>
  <c r="W420" i="1"/>
  <c r="Z420" i="1" s="1"/>
  <c r="AB420" i="1" s="1"/>
  <c r="V420" i="1"/>
  <c r="U420" i="1"/>
  <c r="T420" i="1"/>
  <c r="R420" i="1"/>
  <c r="Q420" i="1"/>
  <c r="AY419" i="1"/>
  <c r="AX419" i="1"/>
  <c r="AZ419" i="1" s="1"/>
  <c r="AC419" i="1"/>
  <c r="Y419" i="1"/>
  <c r="X419" i="1"/>
  <c r="AA419" i="1" s="1"/>
  <c r="W419" i="1"/>
  <c r="Z419" i="1" s="1"/>
  <c r="AB419" i="1" s="1"/>
  <c r="V419" i="1"/>
  <c r="U419" i="1"/>
  <c r="T419" i="1"/>
  <c r="R419" i="1"/>
  <c r="Q419" i="1"/>
  <c r="AZ418" i="1"/>
  <c r="AY418" i="1"/>
  <c r="AX418" i="1"/>
  <c r="AC418" i="1"/>
  <c r="AA418" i="1"/>
  <c r="Z418" i="1"/>
  <c r="AB418" i="1" s="1"/>
  <c r="Y418" i="1"/>
  <c r="X418" i="1"/>
  <c r="W418" i="1"/>
  <c r="V418" i="1"/>
  <c r="U418" i="1"/>
  <c r="T418" i="1"/>
  <c r="AK210" i="1" s="1"/>
  <c r="R418" i="1"/>
  <c r="Q418" i="1"/>
  <c r="AY417" i="1"/>
  <c r="AX417" i="1"/>
  <c r="AZ417" i="1" s="1"/>
  <c r="AC417" i="1"/>
  <c r="Y417" i="1"/>
  <c r="X417" i="1"/>
  <c r="AA417" i="1" s="1"/>
  <c r="W417" i="1"/>
  <c r="Z417" i="1" s="1"/>
  <c r="AB417" i="1" s="1"/>
  <c r="V417" i="1"/>
  <c r="U417" i="1"/>
  <c r="T417" i="1"/>
  <c r="R417" i="1"/>
  <c r="Q417" i="1"/>
  <c r="AZ416" i="1"/>
  <c r="AY416" i="1"/>
  <c r="AX416" i="1"/>
  <c r="AA416" i="1"/>
  <c r="Z416" i="1"/>
  <c r="AB416" i="1" s="1"/>
  <c r="Y416" i="1"/>
  <c r="X416" i="1"/>
  <c r="W416" i="1"/>
  <c r="V416" i="1"/>
  <c r="U416" i="1"/>
  <c r="AC416" i="1" s="1"/>
  <c r="T416" i="1"/>
  <c r="R416" i="1"/>
  <c r="Q416" i="1"/>
  <c r="AY415" i="1"/>
  <c r="AX415" i="1"/>
  <c r="AZ415" i="1" s="1"/>
  <c r="AC415" i="1"/>
  <c r="Z415" i="1"/>
  <c r="AB415" i="1" s="1"/>
  <c r="Y415" i="1"/>
  <c r="X415" i="1"/>
  <c r="AA415" i="1" s="1"/>
  <c r="W415" i="1"/>
  <c r="V415" i="1"/>
  <c r="U415" i="1"/>
  <c r="T415" i="1"/>
  <c r="R415" i="1"/>
  <c r="Q415" i="1"/>
  <c r="AZ414" i="1"/>
  <c r="AY414" i="1"/>
  <c r="AX414" i="1"/>
  <c r="AC414" i="1"/>
  <c r="AB414" i="1"/>
  <c r="AA414" i="1"/>
  <c r="Z414" i="1"/>
  <c r="Y414" i="1"/>
  <c r="X414" i="1"/>
  <c r="W414" i="1"/>
  <c r="V414" i="1"/>
  <c r="U414" i="1"/>
  <c r="T414" i="1"/>
  <c r="R414" i="1"/>
  <c r="Q414" i="1"/>
  <c r="AY413" i="1"/>
  <c r="AX413" i="1"/>
  <c r="AZ413" i="1" s="1"/>
  <c r="AC413" i="1"/>
  <c r="AA413" i="1"/>
  <c r="Y413" i="1"/>
  <c r="X413" i="1"/>
  <c r="W413" i="1"/>
  <c r="Z413" i="1" s="1"/>
  <c r="AB413" i="1" s="1"/>
  <c r="V413" i="1"/>
  <c r="U413" i="1"/>
  <c r="T413" i="1"/>
  <c r="R413" i="1"/>
  <c r="Q413" i="1"/>
  <c r="AZ412" i="1"/>
  <c r="AY412" i="1"/>
  <c r="AX412" i="1"/>
  <c r="AA412" i="1"/>
  <c r="Y412" i="1"/>
  <c r="X412" i="1"/>
  <c r="W412" i="1"/>
  <c r="Z412" i="1" s="1"/>
  <c r="AB412" i="1" s="1"/>
  <c r="V412" i="1"/>
  <c r="AS207" i="1" s="1"/>
  <c r="U412" i="1"/>
  <c r="T412" i="1"/>
  <c r="AK207" i="1" s="1"/>
  <c r="R412" i="1"/>
  <c r="Q412" i="1"/>
  <c r="AY411" i="1"/>
  <c r="AX411" i="1"/>
  <c r="AZ411" i="1" s="1"/>
  <c r="Y411" i="1"/>
  <c r="X411" i="1"/>
  <c r="AA411" i="1" s="1"/>
  <c r="W411" i="1"/>
  <c r="Z411" i="1" s="1"/>
  <c r="AB411" i="1" s="1"/>
  <c r="V411" i="1"/>
  <c r="AS206" i="1" s="1"/>
  <c r="U411" i="1"/>
  <c r="T411" i="1"/>
  <c r="R411" i="1"/>
  <c r="Q411" i="1"/>
  <c r="AZ410" i="1"/>
  <c r="AY410" i="1"/>
  <c r="AX410" i="1"/>
  <c r="AA410" i="1"/>
  <c r="Y410" i="1"/>
  <c r="X410" i="1"/>
  <c r="W410" i="1"/>
  <c r="Z410" i="1" s="1"/>
  <c r="AB410" i="1" s="1"/>
  <c r="V410" i="1"/>
  <c r="AC410" i="1" s="1"/>
  <c r="U410" i="1"/>
  <c r="T410" i="1"/>
  <c r="R410" i="1"/>
  <c r="Q410" i="1"/>
  <c r="AY409" i="1"/>
  <c r="AX409" i="1"/>
  <c r="AZ409" i="1" s="1"/>
  <c r="AC409" i="1"/>
  <c r="AB409" i="1"/>
  <c r="AA409" i="1"/>
  <c r="Z409" i="1"/>
  <c r="Y409" i="1"/>
  <c r="X409" i="1"/>
  <c r="W409" i="1"/>
  <c r="V409" i="1"/>
  <c r="U409" i="1"/>
  <c r="T409" i="1"/>
  <c r="R409" i="1"/>
  <c r="Q409" i="1"/>
  <c r="AZ408" i="1"/>
  <c r="AY408" i="1"/>
  <c r="AX408" i="1"/>
  <c r="AC408" i="1"/>
  <c r="AB408" i="1"/>
  <c r="AA408" i="1"/>
  <c r="Y408" i="1"/>
  <c r="X408" i="1"/>
  <c r="W408" i="1"/>
  <c r="Z408" i="1" s="1"/>
  <c r="V408" i="1"/>
  <c r="U408" i="1"/>
  <c r="T408" i="1"/>
  <c r="AK205" i="1" s="1"/>
  <c r="R408" i="1"/>
  <c r="Q408" i="1"/>
  <c r="AY407" i="1"/>
  <c r="AZ407" i="1" s="1"/>
  <c r="AX407" i="1"/>
  <c r="Y407" i="1"/>
  <c r="X407" i="1"/>
  <c r="AA407" i="1" s="1"/>
  <c r="W407" i="1"/>
  <c r="Z407" i="1" s="1"/>
  <c r="AB407" i="1" s="1"/>
  <c r="V407" i="1"/>
  <c r="U407" i="1"/>
  <c r="AC407" i="1" s="1"/>
  <c r="T407" i="1"/>
  <c r="R407" i="1"/>
  <c r="Q407" i="1"/>
  <c r="AZ406" i="1"/>
  <c r="AY406" i="1"/>
  <c r="AX406" i="1"/>
  <c r="AA406" i="1"/>
  <c r="Z406" i="1"/>
  <c r="AB406" i="1" s="1"/>
  <c r="Y406" i="1"/>
  <c r="X406" i="1"/>
  <c r="W406" i="1"/>
  <c r="V406" i="1"/>
  <c r="U406" i="1"/>
  <c r="AC406" i="1" s="1"/>
  <c r="T406" i="1"/>
  <c r="AK204" i="1" s="1"/>
  <c r="R406" i="1"/>
  <c r="Q406" i="1"/>
  <c r="AY405" i="1"/>
  <c r="AX405" i="1"/>
  <c r="AZ405" i="1" s="1"/>
  <c r="AC405" i="1"/>
  <c r="AB405" i="1"/>
  <c r="AA405" i="1"/>
  <c r="Z405" i="1"/>
  <c r="Y405" i="1"/>
  <c r="X405" i="1"/>
  <c r="W405" i="1"/>
  <c r="V405" i="1"/>
  <c r="U405" i="1"/>
  <c r="T405" i="1"/>
  <c r="R405" i="1"/>
  <c r="Q405" i="1"/>
  <c r="AZ404" i="1"/>
  <c r="AY404" i="1"/>
  <c r="AX404" i="1"/>
  <c r="AA404" i="1"/>
  <c r="Z404" i="1"/>
  <c r="AB404" i="1" s="1"/>
  <c r="Y404" i="1"/>
  <c r="X404" i="1"/>
  <c r="W404" i="1"/>
  <c r="V404" i="1"/>
  <c r="U404" i="1"/>
  <c r="T404" i="1"/>
  <c r="AK203" i="1" s="1"/>
  <c r="R404" i="1"/>
  <c r="Q404" i="1"/>
  <c r="AZ403" i="1"/>
  <c r="AY403" i="1"/>
  <c r="AX403" i="1"/>
  <c r="Y403" i="1"/>
  <c r="X403" i="1"/>
  <c r="AA403" i="1" s="1"/>
  <c r="W403" i="1"/>
  <c r="Z403" i="1" s="1"/>
  <c r="AB403" i="1" s="1"/>
  <c r="V403" i="1"/>
  <c r="U403" i="1"/>
  <c r="AC403" i="1" s="1"/>
  <c r="T403" i="1"/>
  <c r="R403" i="1"/>
  <c r="Q403" i="1"/>
  <c r="AZ402" i="1"/>
  <c r="AY402" i="1"/>
  <c r="AX402" i="1"/>
  <c r="Y402" i="1"/>
  <c r="X402" i="1"/>
  <c r="AA402" i="1" s="1"/>
  <c r="W402" i="1"/>
  <c r="Z402" i="1" s="1"/>
  <c r="AB402" i="1" s="1"/>
  <c r="V402" i="1"/>
  <c r="AS202" i="1" s="1"/>
  <c r="U402" i="1"/>
  <c r="AC402" i="1" s="1"/>
  <c r="T402" i="1"/>
  <c r="AK202" i="1" s="1"/>
  <c r="R402" i="1"/>
  <c r="Q402" i="1"/>
  <c r="AY401" i="1"/>
  <c r="AX401" i="1"/>
  <c r="AZ401" i="1" s="1"/>
  <c r="AC401" i="1"/>
  <c r="Y401" i="1"/>
  <c r="X401" i="1"/>
  <c r="AA401" i="1" s="1"/>
  <c r="W401" i="1"/>
  <c r="Z401" i="1" s="1"/>
  <c r="AB401" i="1" s="1"/>
  <c r="V401" i="1"/>
  <c r="U401" i="1"/>
  <c r="T401" i="1"/>
  <c r="R401" i="1"/>
  <c r="Q401" i="1"/>
  <c r="AY400" i="1"/>
  <c r="AX400" i="1"/>
  <c r="AZ400" i="1" s="1"/>
  <c r="AC400" i="1"/>
  <c r="AA400" i="1"/>
  <c r="Z400" i="1"/>
  <c r="AB400" i="1" s="1"/>
  <c r="Y400" i="1"/>
  <c r="X400" i="1"/>
  <c r="W400" i="1"/>
  <c r="V400" i="1"/>
  <c r="U400" i="1"/>
  <c r="T400" i="1"/>
  <c r="R400" i="1"/>
  <c r="Q400" i="1"/>
  <c r="AY399" i="1"/>
  <c r="AX399" i="1"/>
  <c r="AC399" i="1"/>
  <c r="Z399" i="1"/>
  <c r="AB399" i="1" s="1"/>
  <c r="Y399" i="1"/>
  <c r="X399" i="1"/>
  <c r="AA399" i="1" s="1"/>
  <c r="W399" i="1"/>
  <c r="V399" i="1"/>
  <c r="U399" i="1"/>
  <c r="T399" i="1"/>
  <c r="R399" i="1"/>
  <c r="Q399" i="1"/>
  <c r="AZ398" i="1"/>
  <c r="AY398" i="1"/>
  <c r="AX398" i="1"/>
  <c r="Y398" i="1"/>
  <c r="X398" i="1"/>
  <c r="AA398" i="1" s="1"/>
  <c r="W398" i="1"/>
  <c r="Z398" i="1" s="1"/>
  <c r="AB398" i="1" s="1"/>
  <c r="V398" i="1"/>
  <c r="AC398" i="1" s="1"/>
  <c r="U398" i="1"/>
  <c r="T398" i="1"/>
  <c r="R398" i="1"/>
  <c r="Q398" i="1"/>
  <c r="AY397" i="1"/>
  <c r="AZ397" i="1" s="1"/>
  <c r="AX397" i="1"/>
  <c r="AC397" i="1"/>
  <c r="Y397" i="1"/>
  <c r="X397" i="1"/>
  <c r="AA397" i="1" s="1"/>
  <c r="W397" i="1"/>
  <c r="Z397" i="1" s="1"/>
  <c r="AB397" i="1" s="1"/>
  <c r="V397" i="1"/>
  <c r="U397" i="1"/>
  <c r="T397" i="1"/>
  <c r="AK199" i="1" s="1"/>
  <c r="R397" i="1"/>
  <c r="Q397" i="1"/>
  <c r="AY396" i="1"/>
  <c r="AX396" i="1"/>
  <c r="AZ396" i="1" s="1"/>
  <c r="AC396" i="1"/>
  <c r="AA396" i="1"/>
  <c r="Z396" i="1"/>
  <c r="AB396" i="1" s="1"/>
  <c r="Y396" i="1"/>
  <c r="X396" i="1"/>
  <c r="W396" i="1"/>
  <c r="V396" i="1"/>
  <c r="U396" i="1"/>
  <c r="T396" i="1"/>
  <c r="R396" i="1"/>
  <c r="Q396" i="1"/>
  <c r="AY395" i="1"/>
  <c r="AX395" i="1"/>
  <c r="AZ395" i="1" s="1"/>
  <c r="AC395" i="1"/>
  <c r="Z395" i="1"/>
  <c r="AB395" i="1" s="1"/>
  <c r="Y395" i="1"/>
  <c r="X395" i="1"/>
  <c r="AA395" i="1" s="1"/>
  <c r="W395" i="1"/>
  <c r="V395" i="1"/>
  <c r="U395" i="1"/>
  <c r="T395" i="1"/>
  <c r="R395" i="1"/>
  <c r="Q395" i="1"/>
  <c r="AZ394" i="1"/>
  <c r="AY394" i="1"/>
  <c r="AX394" i="1"/>
  <c r="AC394" i="1"/>
  <c r="AA394" i="1"/>
  <c r="Z394" i="1"/>
  <c r="AB394" i="1" s="1"/>
  <c r="Y394" i="1"/>
  <c r="X394" i="1"/>
  <c r="W394" i="1"/>
  <c r="V394" i="1"/>
  <c r="U394" i="1"/>
  <c r="T394" i="1"/>
  <c r="AK198" i="1" s="1"/>
  <c r="R394" i="1"/>
  <c r="Q394" i="1"/>
  <c r="AZ393" i="1"/>
  <c r="AY393" i="1"/>
  <c r="AX393" i="1"/>
  <c r="AC393" i="1"/>
  <c r="Y393" i="1"/>
  <c r="X393" i="1"/>
  <c r="AA393" i="1" s="1"/>
  <c r="W393" i="1"/>
  <c r="Z393" i="1" s="1"/>
  <c r="AB393" i="1" s="1"/>
  <c r="V393" i="1"/>
  <c r="U393" i="1"/>
  <c r="T393" i="1"/>
  <c r="R393" i="1"/>
  <c r="Q393" i="1"/>
  <c r="AZ392" i="1"/>
  <c r="AY392" i="1"/>
  <c r="AX392" i="1"/>
  <c r="AA392" i="1"/>
  <c r="Y392" i="1"/>
  <c r="X392" i="1"/>
  <c r="W392" i="1"/>
  <c r="Z392" i="1" s="1"/>
  <c r="AB392" i="1" s="1"/>
  <c r="V392" i="1"/>
  <c r="AS197" i="1" s="1"/>
  <c r="U392" i="1"/>
  <c r="T392" i="1"/>
  <c r="AK197" i="1" s="1"/>
  <c r="R392" i="1"/>
  <c r="Q392" i="1"/>
  <c r="AY391" i="1"/>
  <c r="AX391" i="1"/>
  <c r="AZ391" i="1" s="1"/>
  <c r="Z391" i="1"/>
  <c r="AB391" i="1" s="1"/>
  <c r="Y391" i="1"/>
  <c r="X391" i="1"/>
  <c r="AA391" i="1" s="1"/>
  <c r="W391" i="1"/>
  <c r="V391" i="1"/>
  <c r="AS196" i="1" s="1"/>
  <c r="U391" i="1"/>
  <c r="AC391" i="1" s="1"/>
  <c r="T391" i="1"/>
  <c r="R391" i="1"/>
  <c r="Q391" i="1"/>
  <c r="AZ390" i="1"/>
  <c r="AY390" i="1"/>
  <c r="AX390" i="1"/>
  <c r="AC390" i="1"/>
  <c r="AB390" i="1"/>
  <c r="Z390" i="1"/>
  <c r="Y390" i="1"/>
  <c r="X390" i="1"/>
  <c r="AA390" i="1" s="1"/>
  <c r="W390" i="1"/>
  <c r="V390" i="1"/>
  <c r="U390" i="1"/>
  <c r="T390" i="1"/>
  <c r="R390" i="1"/>
  <c r="Q390" i="1"/>
  <c r="AZ389" i="1"/>
  <c r="AY389" i="1"/>
  <c r="AX389" i="1"/>
  <c r="AC389" i="1"/>
  <c r="AA389" i="1"/>
  <c r="Y389" i="1"/>
  <c r="X389" i="1"/>
  <c r="W389" i="1"/>
  <c r="Z389" i="1" s="1"/>
  <c r="AB389" i="1" s="1"/>
  <c r="V389" i="1"/>
  <c r="U389" i="1"/>
  <c r="T389" i="1"/>
  <c r="R389" i="1"/>
  <c r="Q389" i="1"/>
  <c r="AY388" i="1"/>
  <c r="AX388" i="1"/>
  <c r="AZ388" i="1" s="1"/>
  <c r="AA388" i="1"/>
  <c r="Y388" i="1"/>
  <c r="X388" i="1"/>
  <c r="W388" i="1"/>
  <c r="Z388" i="1" s="1"/>
  <c r="AB388" i="1" s="1"/>
  <c r="V388" i="1"/>
  <c r="U388" i="1"/>
  <c r="AC388" i="1" s="1"/>
  <c r="T388" i="1"/>
  <c r="R388" i="1"/>
  <c r="Q388" i="1"/>
  <c r="AY387" i="1"/>
  <c r="AX387" i="1"/>
  <c r="AZ387" i="1" s="1"/>
  <c r="Y387" i="1"/>
  <c r="X387" i="1"/>
  <c r="AA387" i="1" s="1"/>
  <c r="W387" i="1"/>
  <c r="Z387" i="1" s="1"/>
  <c r="AB387" i="1" s="1"/>
  <c r="V387" i="1"/>
  <c r="AS194" i="1" s="1"/>
  <c r="U387" i="1"/>
  <c r="T387" i="1"/>
  <c r="R387" i="1"/>
  <c r="Q387" i="1"/>
  <c r="AZ386" i="1"/>
  <c r="AY386" i="1"/>
  <c r="AX386" i="1"/>
  <c r="AC386" i="1"/>
  <c r="AB386" i="1"/>
  <c r="AA386" i="1"/>
  <c r="Z386" i="1"/>
  <c r="Y386" i="1"/>
  <c r="X386" i="1"/>
  <c r="W386" i="1"/>
  <c r="V386" i="1"/>
  <c r="U386" i="1"/>
  <c r="T386" i="1"/>
  <c r="R386" i="1"/>
  <c r="Q386" i="1"/>
  <c r="AY385" i="1"/>
  <c r="AX385" i="1"/>
  <c r="AZ385" i="1" s="1"/>
  <c r="AC385" i="1"/>
  <c r="AB385" i="1"/>
  <c r="AA385" i="1"/>
  <c r="Z385" i="1"/>
  <c r="Y385" i="1"/>
  <c r="X385" i="1"/>
  <c r="W385" i="1"/>
  <c r="V385" i="1"/>
  <c r="U385" i="1"/>
  <c r="T385" i="1"/>
  <c r="R385" i="1"/>
  <c r="Q385" i="1"/>
  <c r="AZ384" i="1"/>
  <c r="AY384" i="1"/>
  <c r="AX384" i="1"/>
  <c r="AA384" i="1"/>
  <c r="Y384" i="1"/>
  <c r="X384" i="1"/>
  <c r="W384" i="1"/>
  <c r="Z384" i="1" s="1"/>
  <c r="AB384" i="1" s="1"/>
  <c r="V384" i="1"/>
  <c r="AS193" i="1" s="1"/>
  <c r="U384" i="1"/>
  <c r="T384" i="1"/>
  <c r="R384" i="1"/>
  <c r="Q384" i="1"/>
  <c r="AY383" i="1"/>
  <c r="AZ383" i="1" s="1"/>
  <c r="AX383" i="1"/>
  <c r="Y383" i="1"/>
  <c r="X383" i="1"/>
  <c r="AA383" i="1" s="1"/>
  <c r="W383" i="1"/>
  <c r="Z383" i="1" s="1"/>
  <c r="AB383" i="1" s="1"/>
  <c r="V383" i="1"/>
  <c r="U383" i="1"/>
  <c r="T383" i="1"/>
  <c r="R383" i="1"/>
  <c r="Q383" i="1"/>
  <c r="AZ382" i="1"/>
  <c r="AY382" i="1"/>
  <c r="AX382" i="1"/>
  <c r="Y382" i="1"/>
  <c r="X382" i="1"/>
  <c r="AA382" i="1" s="1"/>
  <c r="W382" i="1"/>
  <c r="Z382" i="1" s="1"/>
  <c r="AB382" i="1" s="1"/>
  <c r="V382" i="1"/>
  <c r="U382" i="1"/>
  <c r="T382" i="1"/>
  <c r="R382" i="1"/>
  <c r="Q382" i="1"/>
  <c r="AY381" i="1"/>
  <c r="AX381" i="1"/>
  <c r="AZ381" i="1" s="1"/>
  <c r="AC381" i="1"/>
  <c r="Z381" i="1"/>
  <c r="AB381" i="1" s="1"/>
  <c r="Y381" i="1"/>
  <c r="X381" i="1"/>
  <c r="AA381" i="1" s="1"/>
  <c r="W381" i="1"/>
  <c r="V381" i="1"/>
  <c r="U381" i="1"/>
  <c r="T381" i="1"/>
  <c r="R381" i="1"/>
  <c r="Q381" i="1"/>
  <c r="AY380" i="1"/>
  <c r="AX380" i="1"/>
  <c r="AC380" i="1"/>
  <c r="AA380" i="1"/>
  <c r="Z380" i="1"/>
  <c r="AB380" i="1" s="1"/>
  <c r="Y380" i="1"/>
  <c r="X380" i="1"/>
  <c r="W380" i="1"/>
  <c r="V380" i="1"/>
  <c r="U380" i="1"/>
  <c r="T380" i="1"/>
  <c r="R380" i="1"/>
  <c r="Q380" i="1"/>
  <c r="AY379" i="1"/>
  <c r="AX379" i="1"/>
  <c r="AZ379" i="1" s="1"/>
  <c r="AC379" i="1"/>
  <c r="Y379" i="1"/>
  <c r="X379" i="1"/>
  <c r="AA379" i="1" s="1"/>
  <c r="W379" i="1"/>
  <c r="Z379" i="1" s="1"/>
  <c r="AB379" i="1" s="1"/>
  <c r="V379" i="1"/>
  <c r="U379" i="1"/>
  <c r="T379" i="1"/>
  <c r="R379" i="1"/>
  <c r="Q379" i="1"/>
  <c r="AZ378" i="1"/>
  <c r="AY378" i="1"/>
  <c r="AX378" i="1"/>
  <c r="Y378" i="1"/>
  <c r="X378" i="1"/>
  <c r="AA378" i="1" s="1"/>
  <c r="W378" i="1"/>
  <c r="Z378" i="1" s="1"/>
  <c r="AB378" i="1" s="1"/>
  <c r="V378" i="1"/>
  <c r="U378" i="1"/>
  <c r="T378" i="1"/>
  <c r="R378" i="1"/>
  <c r="Q378" i="1"/>
  <c r="AY377" i="1"/>
  <c r="AX377" i="1"/>
  <c r="AZ377" i="1" s="1"/>
  <c r="AC377" i="1"/>
  <c r="AB377" i="1"/>
  <c r="AA377" i="1"/>
  <c r="Z377" i="1"/>
  <c r="Y377" i="1"/>
  <c r="X377" i="1"/>
  <c r="W377" i="1"/>
  <c r="V377" i="1"/>
  <c r="U377" i="1"/>
  <c r="T377" i="1"/>
  <c r="R377" i="1"/>
  <c r="Q377" i="1"/>
  <c r="AY376" i="1"/>
  <c r="AX376" i="1"/>
  <c r="AZ376" i="1" s="1"/>
  <c r="AC376" i="1"/>
  <c r="AB376" i="1"/>
  <c r="AA376" i="1"/>
  <c r="Z376" i="1"/>
  <c r="Y376" i="1"/>
  <c r="X376" i="1"/>
  <c r="W376" i="1"/>
  <c r="V376" i="1"/>
  <c r="U376" i="1"/>
  <c r="T376" i="1"/>
  <c r="R376" i="1"/>
  <c r="Q376" i="1"/>
  <c r="AZ375" i="1"/>
  <c r="AY375" i="1"/>
  <c r="AX375" i="1"/>
  <c r="AC375" i="1"/>
  <c r="Z375" i="1"/>
  <c r="AB375" i="1" s="1"/>
  <c r="Y375" i="1"/>
  <c r="X375" i="1"/>
  <c r="AA375" i="1" s="1"/>
  <c r="W375" i="1"/>
  <c r="V375" i="1"/>
  <c r="U375" i="1"/>
  <c r="T375" i="1"/>
  <c r="R375" i="1"/>
  <c r="Q375" i="1"/>
  <c r="AZ374" i="1"/>
  <c r="AY374" i="1"/>
  <c r="AX374" i="1"/>
  <c r="Y374" i="1"/>
  <c r="X374" i="1"/>
  <c r="AA374" i="1" s="1"/>
  <c r="W374" i="1"/>
  <c r="Z374" i="1" s="1"/>
  <c r="AB374" i="1" s="1"/>
  <c r="V374" i="1"/>
  <c r="AS188" i="1" s="1"/>
  <c r="U374" i="1"/>
  <c r="T374" i="1"/>
  <c r="R374" i="1"/>
  <c r="Q374" i="1"/>
  <c r="AZ373" i="1"/>
  <c r="AY373" i="1"/>
  <c r="AX373" i="1"/>
  <c r="AC373" i="1"/>
  <c r="Y373" i="1"/>
  <c r="X373" i="1"/>
  <c r="AA373" i="1" s="1"/>
  <c r="W373" i="1"/>
  <c r="Z373" i="1" s="1"/>
  <c r="AB373" i="1" s="1"/>
  <c r="V373" i="1"/>
  <c r="U373" i="1"/>
  <c r="T373" i="1"/>
  <c r="AK187" i="1" s="1"/>
  <c r="R373" i="1"/>
  <c r="Q373" i="1"/>
  <c r="AY372" i="1"/>
  <c r="AX372" i="1"/>
  <c r="AZ372" i="1" s="1"/>
  <c r="AA372" i="1"/>
  <c r="Y372" i="1"/>
  <c r="X372" i="1"/>
  <c r="W372" i="1"/>
  <c r="Z372" i="1" s="1"/>
  <c r="AB372" i="1" s="1"/>
  <c r="V372" i="1"/>
  <c r="AC372" i="1" s="1"/>
  <c r="U372" i="1"/>
  <c r="T372" i="1"/>
  <c r="R372" i="1"/>
  <c r="Q372" i="1"/>
  <c r="AY371" i="1"/>
  <c r="AX371" i="1"/>
  <c r="AZ371" i="1" s="1"/>
  <c r="AC371" i="1"/>
  <c r="Y371" i="1"/>
  <c r="X371" i="1"/>
  <c r="AA371" i="1" s="1"/>
  <c r="W371" i="1"/>
  <c r="Z371" i="1" s="1"/>
  <c r="AB371" i="1" s="1"/>
  <c r="V371" i="1"/>
  <c r="U371" i="1"/>
  <c r="T371" i="1"/>
  <c r="R371" i="1"/>
  <c r="Q371" i="1"/>
  <c r="AZ370" i="1"/>
  <c r="AY370" i="1"/>
  <c r="AX370" i="1"/>
  <c r="AC370" i="1"/>
  <c r="AA370" i="1"/>
  <c r="Z370" i="1"/>
  <c r="AB370" i="1" s="1"/>
  <c r="Y370" i="1"/>
  <c r="X370" i="1"/>
  <c r="W370" i="1"/>
  <c r="V370" i="1"/>
  <c r="U370" i="1"/>
  <c r="T370" i="1"/>
  <c r="R370" i="1"/>
  <c r="Q370" i="1"/>
  <c r="AY369" i="1"/>
  <c r="AX369" i="1"/>
  <c r="AZ369" i="1" s="1"/>
  <c r="AC369" i="1"/>
  <c r="Y369" i="1"/>
  <c r="X369" i="1"/>
  <c r="AA369" i="1" s="1"/>
  <c r="W369" i="1"/>
  <c r="Z369" i="1" s="1"/>
  <c r="AB369" i="1" s="1"/>
  <c r="V369" i="1"/>
  <c r="U369" i="1"/>
  <c r="T369" i="1"/>
  <c r="R369" i="1"/>
  <c r="Q369" i="1"/>
  <c r="AZ368" i="1"/>
  <c r="AY368" i="1"/>
  <c r="AX368" i="1"/>
  <c r="AA368" i="1"/>
  <c r="Z368" i="1"/>
  <c r="AB368" i="1" s="1"/>
  <c r="Y368" i="1"/>
  <c r="X368" i="1"/>
  <c r="W368" i="1"/>
  <c r="V368" i="1"/>
  <c r="U368" i="1"/>
  <c r="AC368" i="1" s="1"/>
  <c r="T368" i="1"/>
  <c r="R368" i="1"/>
  <c r="Q368" i="1"/>
  <c r="AY367" i="1"/>
  <c r="AX367" i="1"/>
  <c r="AZ367" i="1" s="1"/>
  <c r="AC367" i="1"/>
  <c r="Z367" i="1"/>
  <c r="AB367" i="1" s="1"/>
  <c r="Y367" i="1"/>
  <c r="X367" i="1"/>
  <c r="AA367" i="1" s="1"/>
  <c r="W367" i="1"/>
  <c r="V367" i="1"/>
  <c r="U367" i="1"/>
  <c r="T367" i="1"/>
  <c r="R367" i="1"/>
  <c r="Q367" i="1"/>
  <c r="AZ366" i="1"/>
  <c r="AY366" i="1"/>
  <c r="AX366" i="1"/>
  <c r="AC366" i="1"/>
  <c r="AB366" i="1"/>
  <c r="AA366" i="1"/>
  <c r="Z366" i="1"/>
  <c r="Y366" i="1"/>
  <c r="X366" i="1"/>
  <c r="W366" i="1"/>
  <c r="V366" i="1"/>
  <c r="U366" i="1"/>
  <c r="T366" i="1"/>
  <c r="R366" i="1"/>
  <c r="Q366" i="1"/>
  <c r="AY365" i="1"/>
  <c r="AX365" i="1"/>
  <c r="AZ365" i="1" s="1"/>
  <c r="AC365" i="1"/>
  <c r="AA365" i="1"/>
  <c r="Y365" i="1"/>
  <c r="X365" i="1"/>
  <c r="W365" i="1"/>
  <c r="Z365" i="1" s="1"/>
  <c r="AB365" i="1" s="1"/>
  <c r="V365" i="1"/>
  <c r="U365" i="1"/>
  <c r="T365" i="1"/>
  <c r="R365" i="1"/>
  <c r="Q365" i="1"/>
  <c r="AZ364" i="1"/>
  <c r="AY364" i="1"/>
  <c r="AX364" i="1"/>
  <c r="AA364" i="1"/>
  <c r="Z364" i="1"/>
  <c r="AB364" i="1" s="1"/>
  <c r="Y364" i="1"/>
  <c r="X364" i="1"/>
  <c r="W364" i="1"/>
  <c r="V364" i="1"/>
  <c r="U364" i="1"/>
  <c r="T364" i="1"/>
  <c r="R364" i="1"/>
  <c r="Q364" i="1"/>
  <c r="AY363" i="1"/>
  <c r="AX363" i="1"/>
  <c r="AZ363" i="1" s="1"/>
  <c r="Z363" i="1"/>
  <c r="AB363" i="1" s="1"/>
  <c r="Y363" i="1"/>
  <c r="X363" i="1"/>
  <c r="AA363" i="1" s="1"/>
  <c r="W363" i="1"/>
  <c r="V363" i="1"/>
  <c r="U363" i="1"/>
  <c r="AC363" i="1" s="1"/>
  <c r="T363" i="1"/>
  <c r="R363" i="1"/>
  <c r="Q363" i="1"/>
  <c r="AZ362" i="1"/>
  <c r="AY362" i="1"/>
  <c r="AX362" i="1"/>
  <c r="Y362" i="1"/>
  <c r="X362" i="1"/>
  <c r="AA362" i="1" s="1"/>
  <c r="W362" i="1"/>
  <c r="Z362" i="1" s="1"/>
  <c r="AB362" i="1" s="1"/>
  <c r="V362" i="1"/>
  <c r="AC362" i="1" s="1"/>
  <c r="U362" i="1"/>
  <c r="T362" i="1"/>
  <c r="R362" i="1"/>
  <c r="Q362" i="1"/>
  <c r="AZ361" i="1"/>
  <c r="AY361" i="1"/>
  <c r="AX361" i="1"/>
  <c r="AC361" i="1"/>
  <c r="AA361" i="1"/>
  <c r="Z361" i="1"/>
  <c r="AB361" i="1" s="1"/>
  <c r="Y361" i="1"/>
  <c r="X361" i="1"/>
  <c r="W361" i="1"/>
  <c r="V361" i="1"/>
  <c r="U361" i="1"/>
  <c r="T361" i="1"/>
  <c r="R361" i="1"/>
  <c r="Q361" i="1"/>
  <c r="AY360" i="1"/>
  <c r="AX360" i="1"/>
  <c r="AZ360" i="1" s="1"/>
  <c r="AB360" i="1"/>
  <c r="AA360" i="1"/>
  <c r="Y360" i="1"/>
  <c r="X360" i="1"/>
  <c r="W360" i="1"/>
  <c r="Z360" i="1" s="1"/>
  <c r="V360" i="1"/>
  <c r="AS181" i="1" s="1"/>
  <c r="U360" i="1"/>
  <c r="T360" i="1"/>
  <c r="R360" i="1"/>
  <c r="Q360" i="1"/>
  <c r="AY359" i="1"/>
  <c r="AZ359" i="1" s="1"/>
  <c r="AX359" i="1"/>
  <c r="Y359" i="1"/>
  <c r="X359" i="1"/>
  <c r="AA359" i="1" s="1"/>
  <c r="W359" i="1"/>
  <c r="Z359" i="1" s="1"/>
  <c r="AB359" i="1" s="1"/>
  <c r="V359" i="1"/>
  <c r="U359" i="1"/>
  <c r="AC359" i="1" s="1"/>
  <c r="T359" i="1"/>
  <c r="AK180" i="1" s="1"/>
  <c r="R359" i="1"/>
  <c r="Q359" i="1"/>
  <c r="AZ358" i="1"/>
  <c r="AY358" i="1"/>
  <c r="AX358" i="1"/>
  <c r="AA358" i="1"/>
  <c r="Y358" i="1"/>
  <c r="X358" i="1"/>
  <c r="W358" i="1"/>
  <c r="Z358" i="1" s="1"/>
  <c r="AB358" i="1" s="1"/>
  <c r="V358" i="1"/>
  <c r="AS180" i="1" s="1"/>
  <c r="U358" i="1"/>
  <c r="T358" i="1"/>
  <c r="R358" i="1"/>
  <c r="Q358" i="1"/>
  <c r="AY357" i="1"/>
  <c r="AX357" i="1"/>
  <c r="AZ357" i="1" s="1"/>
  <c r="AC357" i="1"/>
  <c r="Y357" i="1"/>
  <c r="X357" i="1"/>
  <c r="AA357" i="1" s="1"/>
  <c r="W357" i="1"/>
  <c r="Z357" i="1" s="1"/>
  <c r="AB357" i="1" s="1"/>
  <c r="V357" i="1"/>
  <c r="U357" i="1"/>
  <c r="T357" i="1"/>
  <c r="R357" i="1"/>
  <c r="Q357" i="1"/>
  <c r="AZ356" i="1"/>
  <c r="AY356" i="1"/>
  <c r="AX356" i="1"/>
  <c r="AA356" i="1"/>
  <c r="Z356" i="1"/>
  <c r="AB356" i="1" s="1"/>
  <c r="Y356" i="1"/>
  <c r="X356" i="1"/>
  <c r="W356" i="1"/>
  <c r="V356" i="1"/>
  <c r="AS179" i="1" s="1"/>
  <c r="U356" i="1"/>
  <c r="T356" i="1"/>
  <c r="R356" i="1"/>
  <c r="Q356" i="1"/>
  <c r="AY355" i="1"/>
  <c r="AX355" i="1"/>
  <c r="AZ355" i="1" s="1"/>
  <c r="Y355" i="1"/>
  <c r="X355" i="1"/>
  <c r="AA355" i="1" s="1"/>
  <c r="W355" i="1"/>
  <c r="Z355" i="1" s="1"/>
  <c r="AB355" i="1" s="1"/>
  <c r="V355" i="1"/>
  <c r="U355" i="1"/>
  <c r="AC355" i="1" s="1"/>
  <c r="T355" i="1"/>
  <c r="R355" i="1"/>
  <c r="Q355" i="1"/>
  <c r="AZ354" i="1"/>
  <c r="AY354" i="1"/>
  <c r="AX354" i="1"/>
  <c r="Y354" i="1"/>
  <c r="X354" i="1"/>
  <c r="AA354" i="1" s="1"/>
  <c r="W354" i="1"/>
  <c r="Z354" i="1" s="1"/>
  <c r="AB354" i="1" s="1"/>
  <c r="V354" i="1"/>
  <c r="AS178" i="1" s="1"/>
  <c r="U354" i="1"/>
  <c r="AC354" i="1" s="1"/>
  <c r="T354" i="1"/>
  <c r="AK178" i="1" s="1"/>
  <c r="R354" i="1"/>
  <c r="Q354" i="1"/>
  <c r="AY353" i="1"/>
  <c r="AX353" i="1"/>
  <c r="AZ353" i="1" s="1"/>
  <c r="AC353" i="1"/>
  <c r="Y353" i="1"/>
  <c r="X353" i="1"/>
  <c r="AA353" i="1" s="1"/>
  <c r="W353" i="1"/>
  <c r="Z353" i="1" s="1"/>
  <c r="AB353" i="1" s="1"/>
  <c r="V353" i="1"/>
  <c r="U353" i="1"/>
  <c r="T353" i="1"/>
  <c r="R353" i="1"/>
  <c r="Q353" i="1"/>
  <c r="AY352" i="1"/>
  <c r="AX352" i="1"/>
  <c r="AZ352" i="1" s="1"/>
  <c r="AC352" i="1"/>
  <c r="AA352" i="1"/>
  <c r="Z352" i="1"/>
  <c r="AB352" i="1" s="1"/>
  <c r="Y352" i="1"/>
  <c r="X352" i="1"/>
  <c r="W352" i="1"/>
  <c r="V352" i="1"/>
  <c r="U352" i="1"/>
  <c r="T352" i="1"/>
  <c r="R352" i="1"/>
  <c r="Q352" i="1"/>
  <c r="AY351" i="1"/>
  <c r="AX351" i="1"/>
  <c r="AZ351" i="1" s="1"/>
  <c r="AC351" i="1"/>
  <c r="Z351" i="1"/>
  <c r="AB351" i="1" s="1"/>
  <c r="Y351" i="1"/>
  <c r="X351" i="1"/>
  <c r="AA351" i="1" s="1"/>
  <c r="W351" i="1"/>
  <c r="V351" i="1"/>
  <c r="U351" i="1"/>
  <c r="T351" i="1"/>
  <c r="R351" i="1"/>
  <c r="Q351" i="1"/>
  <c r="AZ350" i="1"/>
  <c r="AY350" i="1"/>
  <c r="AX350" i="1"/>
  <c r="Y350" i="1"/>
  <c r="X350" i="1"/>
  <c r="AA350" i="1" s="1"/>
  <c r="W350" i="1"/>
  <c r="Z350" i="1" s="1"/>
  <c r="AB350" i="1" s="1"/>
  <c r="V350" i="1"/>
  <c r="AS176" i="1" s="1"/>
  <c r="U350" i="1"/>
  <c r="T350" i="1"/>
  <c r="R350" i="1"/>
  <c r="Q350" i="1"/>
  <c r="AZ349" i="1"/>
  <c r="AY349" i="1"/>
  <c r="AX349" i="1"/>
  <c r="AC349" i="1"/>
  <c r="Y349" i="1"/>
  <c r="X349" i="1"/>
  <c r="AA349" i="1" s="1"/>
  <c r="W349" i="1"/>
  <c r="Z349" i="1" s="1"/>
  <c r="AB349" i="1" s="1"/>
  <c r="V349" i="1"/>
  <c r="U349" i="1"/>
  <c r="T349" i="1"/>
  <c r="R349" i="1"/>
  <c r="Q349" i="1"/>
  <c r="AY348" i="1"/>
  <c r="AX348" i="1"/>
  <c r="AZ348" i="1" s="1"/>
  <c r="AA348" i="1"/>
  <c r="Y348" i="1"/>
  <c r="X348" i="1"/>
  <c r="W348" i="1"/>
  <c r="Z348" i="1" s="1"/>
  <c r="AB348" i="1" s="1"/>
  <c r="V348" i="1"/>
  <c r="AC348" i="1" s="1"/>
  <c r="U348" i="1"/>
  <c r="T348" i="1"/>
  <c r="R348" i="1"/>
  <c r="Q348" i="1"/>
  <c r="AY347" i="1"/>
  <c r="AX347" i="1"/>
  <c r="AZ347" i="1" s="1"/>
  <c r="AC347" i="1"/>
  <c r="Y347" i="1"/>
  <c r="X347" i="1"/>
  <c r="AA347" i="1" s="1"/>
  <c r="W347" i="1"/>
  <c r="Z347" i="1" s="1"/>
  <c r="AB347" i="1" s="1"/>
  <c r="V347" i="1"/>
  <c r="U347" i="1"/>
  <c r="T347" i="1"/>
  <c r="R347" i="1"/>
  <c r="Q347" i="1"/>
  <c r="AZ346" i="1"/>
  <c r="AY346" i="1"/>
  <c r="AX346" i="1"/>
  <c r="AC346" i="1"/>
  <c r="AA346" i="1"/>
  <c r="Z346" i="1"/>
  <c r="AB346" i="1" s="1"/>
  <c r="Y346" i="1"/>
  <c r="X346" i="1"/>
  <c r="W346" i="1"/>
  <c r="V346" i="1"/>
  <c r="U346" i="1"/>
  <c r="T346" i="1"/>
  <c r="R346" i="1"/>
  <c r="Q346" i="1"/>
  <c r="AZ345" i="1"/>
  <c r="AY345" i="1"/>
  <c r="AX345" i="1"/>
  <c r="AC345" i="1"/>
  <c r="Y345" i="1"/>
  <c r="X345" i="1"/>
  <c r="AA345" i="1" s="1"/>
  <c r="W345" i="1"/>
  <c r="Z345" i="1" s="1"/>
  <c r="AB345" i="1" s="1"/>
  <c r="V345" i="1"/>
  <c r="U345" i="1"/>
  <c r="T345" i="1"/>
  <c r="R345" i="1"/>
  <c r="Q345" i="1"/>
  <c r="AZ344" i="1"/>
  <c r="AY344" i="1"/>
  <c r="AX344" i="1"/>
  <c r="AA344" i="1"/>
  <c r="Z344" i="1"/>
  <c r="AB344" i="1" s="1"/>
  <c r="Y344" i="1"/>
  <c r="X344" i="1"/>
  <c r="W344" i="1"/>
  <c r="V344" i="1"/>
  <c r="U344" i="1"/>
  <c r="AC344" i="1" s="1"/>
  <c r="T344" i="1"/>
  <c r="AK173" i="1" s="1"/>
  <c r="R344" i="1"/>
  <c r="Q344" i="1"/>
  <c r="AY343" i="1"/>
  <c r="AX343" i="1"/>
  <c r="AZ343" i="1" s="1"/>
  <c r="AC343" i="1"/>
  <c r="Z343" i="1"/>
  <c r="AB343" i="1" s="1"/>
  <c r="Y343" i="1"/>
  <c r="X343" i="1"/>
  <c r="AA343" i="1" s="1"/>
  <c r="W343" i="1"/>
  <c r="V343" i="1"/>
  <c r="U343" i="1"/>
  <c r="T343" i="1"/>
  <c r="R343" i="1"/>
  <c r="Q343" i="1"/>
  <c r="AZ342" i="1"/>
  <c r="AY342" i="1"/>
  <c r="AX342" i="1"/>
  <c r="AC342" i="1"/>
  <c r="AB342" i="1"/>
  <c r="Z342" i="1"/>
  <c r="Y342" i="1"/>
  <c r="X342" i="1"/>
  <c r="AA342" i="1" s="1"/>
  <c r="W342" i="1"/>
  <c r="V342" i="1"/>
  <c r="U342" i="1"/>
  <c r="T342" i="1"/>
  <c r="R342" i="1"/>
  <c r="Q342" i="1"/>
  <c r="AY341" i="1"/>
  <c r="AZ341" i="1" s="1"/>
  <c r="AX341" i="1"/>
  <c r="AC341" i="1"/>
  <c r="AA341" i="1"/>
  <c r="Y341" i="1"/>
  <c r="X341" i="1"/>
  <c r="W341" i="1"/>
  <c r="Z341" i="1" s="1"/>
  <c r="AB341" i="1" s="1"/>
  <c r="V341" i="1"/>
  <c r="U341" i="1"/>
  <c r="T341" i="1"/>
  <c r="R341" i="1"/>
  <c r="Q341" i="1"/>
  <c r="AY340" i="1"/>
  <c r="AX340" i="1"/>
  <c r="AZ340" i="1" s="1"/>
  <c r="AA340" i="1"/>
  <c r="Y340" i="1"/>
  <c r="X340" i="1"/>
  <c r="W340" i="1"/>
  <c r="Z340" i="1" s="1"/>
  <c r="AB340" i="1" s="1"/>
  <c r="V340" i="1"/>
  <c r="U340" i="1"/>
  <c r="T340" i="1"/>
  <c r="AK171" i="1" s="1"/>
  <c r="R340" i="1"/>
  <c r="Q340" i="1"/>
  <c r="AY339" i="1"/>
  <c r="AX339" i="1"/>
  <c r="AZ339" i="1" s="1"/>
  <c r="AC339" i="1"/>
  <c r="Y339" i="1"/>
  <c r="X339" i="1"/>
  <c r="AA339" i="1" s="1"/>
  <c r="W339" i="1"/>
  <c r="Z339" i="1" s="1"/>
  <c r="AB339" i="1" s="1"/>
  <c r="V339" i="1"/>
  <c r="U339" i="1"/>
  <c r="T339" i="1"/>
  <c r="R339" i="1"/>
  <c r="Q339" i="1"/>
  <c r="AZ338" i="1"/>
  <c r="AY338" i="1"/>
  <c r="AX338" i="1"/>
  <c r="AC338" i="1"/>
  <c r="AA338" i="1"/>
  <c r="Z338" i="1"/>
  <c r="AB338" i="1" s="1"/>
  <c r="Y338" i="1"/>
  <c r="X338" i="1"/>
  <c r="W338" i="1"/>
  <c r="V338" i="1"/>
  <c r="AS170" i="1" s="1"/>
  <c r="U338" i="1"/>
  <c r="T338" i="1"/>
  <c r="R338" i="1"/>
  <c r="Q338" i="1"/>
  <c r="AY337" i="1"/>
  <c r="AX337" i="1"/>
  <c r="AZ337" i="1" s="1"/>
  <c r="AC337" i="1"/>
  <c r="AB337" i="1"/>
  <c r="AA337" i="1"/>
  <c r="Z337" i="1"/>
  <c r="Y337" i="1"/>
  <c r="X337" i="1"/>
  <c r="W337" i="1"/>
  <c r="V337" i="1"/>
  <c r="U337" i="1"/>
  <c r="T337" i="1"/>
  <c r="R337" i="1"/>
  <c r="Q337" i="1"/>
  <c r="AZ336" i="1"/>
  <c r="AY336" i="1"/>
  <c r="AX336" i="1"/>
  <c r="AA336" i="1"/>
  <c r="Y336" i="1"/>
  <c r="X336" i="1"/>
  <c r="W336" i="1"/>
  <c r="Z336" i="1" s="1"/>
  <c r="AB336" i="1" s="1"/>
  <c r="V336" i="1"/>
  <c r="AS169" i="1" s="1"/>
  <c r="U336" i="1"/>
  <c r="T336" i="1"/>
  <c r="R336" i="1"/>
  <c r="Q336" i="1"/>
  <c r="AZ335" i="1"/>
  <c r="AY335" i="1"/>
  <c r="AX335" i="1"/>
  <c r="Y335" i="1"/>
  <c r="X335" i="1"/>
  <c r="AA335" i="1" s="1"/>
  <c r="W335" i="1"/>
  <c r="Z335" i="1" s="1"/>
  <c r="AB335" i="1" s="1"/>
  <c r="V335" i="1"/>
  <c r="U335" i="1"/>
  <c r="T335" i="1"/>
  <c r="R335" i="1"/>
  <c r="Q335" i="1"/>
  <c r="AZ334" i="1"/>
  <c r="AY334" i="1"/>
  <c r="AX334" i="1"/>
  <c r="Y334" i="1"/>
  <c r="X334" i="1"/>
  <c r="AA334" i="1" s="1"/>
  <c r="W334" i="1"/>
  <c r="Z334" i="1" s="1"/>
  <c r="AB334" i="1" s="1"/>
  <c r="V334" i="1"/>
  <c r="U334" i="1"/>
  <c r="T334" i="1"/>
  <c r="R334" i="1"/>
  <c r="Q334" i="1"/>
  <c r="AY333" i="1"/>
  <c r="AX333" i="1"/>
  <c r="AC333" i="1"/>
  <c r="Y333" i="1"/>
  <c r="X333" i="1"/>
  <c r="AA333" i="1" s="1"/>
  <c r="W333" i="1"/>
  <c r="Z333" i="1" s="1"/>
  <c r="AB333" i="1" s="1"/>
  <c r="V333" i="1"/>
  <c r="U333" i="1"/>
  <c r="T333" i="1"/>
  <c r="R333" i="1"/>
  <c r="Q333" i="1"/>
  <c r="AY332" i="1"/>
  <c r="AX332" i="1"/>
  <c r="AZ332" i="1" s="1"/>
  <c r="AA332" i="1"/>
  <c r="Z332" i="1"/>
  <c r="AB332" i="1" s="1"/>
  <c r="Y332" i="1"/>
  <c r="X332" i="1"/>
  <c r="W332" i="1"/>
  <c r="V332" i="1"/>
  <c r="AS167" i="1" s="1"/>
  <c r="U332" i="1"/>
  <c r="T332" i="1"/>
  <c r="R332" i="1"/>
  <c r="Q332" i="1"/>
  <c r="AY331" i="1"/>
  <c r="AX331" i="1"/>
  <c r="AZ331" i="1" s="1"/>
  <c r="Y331" i="1"/>
  <c r="X331" i="1"/>
  <c r="AA331" i="1" s="1"/>
  <c r="W331" i="1"/>
  <c r="Z331" i="1" s="1"/>
  <c r="AB331" i="1" s="1"/>
  <c r="V331" i="1"/>
  <c r="U331" i="1"/>
  <c r="AC331" i="1" s="1"/>
  <c r="T331" i="1"/>
  <c r="R331" i="1"/>
  <c r="Q331" i="1"/>
  <c r="AZ330" i="1"/>
  <c r="AY330" i="1"/>
  <c r="AX330" i="1"/>
  <c r="Y330" i="1"/>
  <c r="X330" i="1"/>
  <c r="AA330" i="1" s="1"/>
  <c r="W330" i="1"/>
  <c r="Z330" i="1" s="1"/>
  <c r="AB330" i="1" s="1"/>
  <c r="V330" i="1"/>
  <c r="U330" i="1"/>
  <c r="T330" i="1"/>
  <c r="R330" i="1"/>
  <c r="Q330" i="1"/>
  <c r="AY329" i="1"/>
  <c r="AX329" i="1"/>
  <c r="AZ329" i="1" s="1"/>
  <c r="AC329" i="1"/>
  <c r="Y329" i="1"/>
  <c r="X329" i="1"/>
  <c r="AA329" i="1" s="1"/>
  <c r="W329" i="1"/>
  <c r="Z329" i="1" s="1"/>
  <c r="AB329" i="1" s="1"/>
  <c r="V329" i="1"/>
  <c r="U329" i="1"/>
  <c r="T329" i="1"/>
  <c r="R329" i="1"/>
  <c r="Q329" i="1"/>
  <c r="AY328" i="1"/>
  <c r="AX328" i="1"/>
  <c r="AZ328" i="1" s="1"/>
  <c r="AC328" i="1"/>
  <c r="AA328" i="1"/>
  <c r="Z328" i="1"/>
  <c r="AB328" i="1" s="1"/>
  <c r="Y328" i="1"/>
  <c r="X328" i="1"/>
  <c r="W328" i="1"/>
  <c r="V328" i="1"/>
  <c r="U328" i="1"/>
  <c r="T328" i="1"/>
  <c r="R328" i="1"/>
  <c r="Q328" i="1"/>
  <c r="AY327" i="1"/>
  <c r="AX327" i="1"/>
  <c r="AC327" i="1"/>
  <c r="Z327" i="1"/>
  <c r="AB327" i="1" s="1"/>
  <c r="Y327" i="1"/>
  <c r="X327" i="1"/>
  <c r="AA327" i="1" s="1"/>
  <c r="W327" i="1"/>
  <c r="V327" i="1"/>
  <c r="U327" i="1"/>
  <c r="T327" i="1"/>
  <c r="R327" i="1"/>
  <c r="Q327" i="1"/>
  <c r="AZ326" i="1"/>
  <c r="AY326" i="1"/>
  <c r="AX326" i="1"/>
  <c r="Y326" i="1"/>
  <c r="X326" i="1"/>
  <c r="AA326" i="1" s="1"/>
  <c r="W326" i="1"/>
  <c r="Z326" i="1" s="1"/>
  <c r="AB326" i="1" s="1"/>
  <c r="V326" i="1"/>
  <c r="AS164" i="1" s="1"/>
  <c r="U326" i="1"/>
  <c r="T326" i="1"/>
  <c r="R326" i="1"/>
  <c r="Q326" i="1"/>
  <c r="AY325" i="1"/>
  <c r="AZ325" i="1" s="1"/>
  <c r="AX325" i="1"/>
  <c r="AC325" i="1"/>
  <c r="Z325" i="1"/>
  <c r="AB325" i="1" s="1"/>
  <c r="Y325" i="1"/>
  <c r="X325" i="1"/>
  <c r="AA325" i="1" s="1"/>
  <c r="W325" i="1"/>
  <c r="V325" i="1"/>
  <c r="U325" i="1"/>
  <c r="T325" i="1"/>
  <c r="R325" i="1"/>
  <c r="Q325" i="1"/>
  <c r="AY324" i="1"/>
  <c r="AX324" i="1"/>
  <c r="AZ324" i="1" s="1"/>
  <c r="AB324" i="1"/>
  <c r="AA324" i="1"/>
  <c r="Y324" i="1"/>
  <c r="X324" i="1"/>
  <c r="W324" i="1"/>
  <c r="Z324" i="1" s="1"/>
  <c r="V324" i="1"/>
  <c r="AC324" i="1" s="1"/>
  <c r="U324" i="1"/>
  <c r="T324" i="1"/>
  <c r="R324" i="1"/>
  <c r="Q324" i="1"/>
  <c r="AY323" i="1"/>
  <c r="AX323" i="1"/>
  <c r="AZ323" i="1" s="1"/>
  <c r="AC323" i="1"/>
  <c r="Y323" i="1"/>
  <c r="X323" i="1"/>
  <c r="AA323" i="1" s="1"/>
  <c r="W323" i="1"/>
  <c r="Z323" i="1" s="1"/>
  <c r="AB323" i="1" s="1"/>
  <c r="V323" i="1"/>
  <c r="U323" i="1"/>
  <c r="T323" i="1"/>
  <c r="R323" i="1"/>
  <c r="Q323" i="1"/>
  <c r="AZ322" i="1"/>
  <c r="AY322" i="1"/>
  <c r="AX322" i="1"/>
  <c r="AC322" i="1"/>
  <c r="AA322" i="1"/>
  <c r="Z322" i="1"/>
  <c r="AB322" i="1" s="1"/>
  <c r="Y322" i="1"/>
  <c r="X322" i="1"/>
  <c r="W322" i="1"/>
  <c r="V322" i="1"/>
  <c r="U322" i="1"/>
  <c r="T322" i="1"/>
  <c r="R322" i="1"/>
  <c r="Q322" i="1"/>
  <c r="AZ321" i="1"/>
  <c r="AY321" i="1"/>
  <c r="AX321" i="1"/>
  <c r="AC321" i="1"/>
  <c r="Y321" i="1"/>
  <c r="X321" i="1"/>
  <c r="AA321" i="1" s="1"/>
  <c r="W321" i="1"/>
  <c r="Z321" i="1" s="1"/>
  <c r="AB321" i="1" s="1"/>
  <c r="V321" i="1"/>
  <c r="U321" i="1"/>
  <c r="T321" i="1"/>
  <c r="R321" i="1"/>
  <c r="Q321" i="1"/>
  <c r="AZ320" i="1"/>
  <c r="AY320" i="1"/>
  <c r="AX320" i="1"/>
  <c r="AB320" i="1"/>
  <c r="AA320" i="1"/>
  <c r="Z320" i="1"/>
  <c r="Y320" i="1"/>
  <c r="X320" i="1"/>
  <c r="W320" i="1"/>
  <c r="V320" i="1"/>
  <c r="U320" i="1"/>
  <c r="AC320" i="1" s="1"/>
  <c r="T320" i="1"/>
  <c r="AK161" i="1" s="1"/>
  <c r="R320" i="1"/>
  <c r="Q320" i="1"/>
  <c r="AY319" i="1"/>
  <c r="AX319" i="1"/>
  <c r="AZ319" i="1" s="1"/>
  <c r="AC319" i="1"/>
  <c r="Z319" i="1"/>
  <c r="AB319" i="1" s="1"/>
  <c r="Y319" i="1"/>
  <c r="X319" i="1"/>
  <c r="AA319" i="1" s="1"/>
  <c r="W319" i="1"/>
  <c r="V319" i="1"/>
  <c r="U319" i="1"/>
  <c r="AO160" i="1" s="1"/>
  <c r="T319" i="1"/>
  <c r="R319" i="1"/>
  <c r="Q319" i="1"/>
  <c r="AZ318" i="1"/>
  <c r="AY318" i="1"/>
  <c r="AX318" i="1"/>
  <c r="AC318" i="1"/>
  <c r="Z318" i="1"/>
  <c r="AB318" i="1" s="1"/>
  <c r="Y318" i="1"/>
  <c r="X318" i="1"/>
  <c r="AA318" i="1" s="1"/>
  <c r="W318" i="1"/>
  <c r="V318" i="1"/>
  <c r="U318" i="1"/>
  <c r="T318" i="1"/>
  <c r="R318" i="1"/>
  <c r="Q318" i="1"/>
  <c r="AZ317" i="1"/>
  <c r="AY317" i="1"/>
  <c r="AX317" i="1"/>
  <c r="AC317" i="1"/>
  <c r="AA317" i="1"/>
  <c r="Y317" i="1"/>
  <c r="X317" i="1"/>
  <c r="W317" i="1"/>
  <c r="Z317" i="1" s="1"/>
  <c r="AB317" i="1" s="1"/>
  <c r="V317" i="1"/>
  <c r="U317" i="1"/>
  <c r="T317" i="1"/>
  <c r="R317" i="1"/>
  <c r="Q317" i="1"/>
  <c r="AY316" i="1"/>
  <c r="AX316" i="1"/>
  <c r="AZ316" i="1" s="1"/>
  <c r="AA316" i="1"/>
  <c r="Y316" i="1"/>
  <c r="X316" i="1"/>
  <c r="W316" i="1"/>
  <c r="Z316" i="1" s="1"/>
  <c r="AB316" i="1" s="1"/>
  <c r="V316" i="1"/>
  <c r="U316" i="1"/>
  <c r="T316" i="1"/>
  <c r="AK159" i="1" s="1"/>
  <c r="R316" i="1"/>
  <c r="Q316" i="1"/>
  <c r="AY315" i="1"/>
  <c r="AX315" i="1"/>
  <c r="AZ315" i="1" s="1"/>
  <c r="AC315" i="1"/>
  <c r="Y315" i="1"/>
  <c r="X315" i="1"/>
  <c r="AA315" i="1" s="1"/>
  <c r="W315" i="1"/>
  <c r="Z315" i="1" s="1"/>
  <c r="AB315" i="1" s="1"/>
  <c r="V315" i="1"/>
  <c r="U315" i="1"/>
  <c r="T315" i="1"/>
  <c r="R315" i="1"/>
  <c r="Q315" i="1"/>
  <c r="AZ314" i="1"/>
  <c r="AY314" i="1"/>
  <c r="AX314" i="1"/>
  <c r="AC314" i="1"/>
  <c r="AB314" i="1"/>
  <c r="AA314" i="1"/>
  <c r="Z314" i="1"/>
  <c r="Y314" i="1"/>
  <c r="X314" i="1"/>
  <c r="W314" i="1"/>
  <c r="V314" i="1"/>
  <c r="U314" i="1"/>
  <c r="T314" i="1"/>
  <c r="R314" i="1"/>
  <c r="Q314" i="1"/>
  <c r="AY313" i="1"/>
  <c r="AX313" i="1"/>
  <c r="AC313" i="1"/>
  <c r="AB313" i="1"/>
  <c r="AA313" i="1"/>
  <c r="Z313" i="1"/>
  <c r="Y313" i="1"/>
  <c r="X313" i="1"/>
  <c r="W313" i="1"/>
  <c r="V313" i="1"/>
  <c r="U313" i="1"/>
  <c r="T313" i="1"/>
  <c r="R313" i="1"/>
  <c r="Q313" i="1"/>
  <c r="AZ312" i="1"/>
  <c r="AY312" i="1"/>
  <c r="AX312" i="1"/>
  <c r="AA312" i="1"/>
  <c r="Y312" i="1"/>
  <c r="X312" i="1"/>
  <c r="W312" i="1"/>
  <c r="Z312" i="1" s="1"/>
  <c r="AB312" i="1" s="1"/>
  <c r="V312" i="1"/>
  <c r="AS157" i="1" s="1"/>
  <c r="U312" i="1"/>
  <c r="T312" i="1"/>
  <c r="AK157" i="1" s="1"/>
  <c r="R312" i="1"/>
  <c r="Q312" i="1"/>
  <c r="AZ311" i="1"/>
  <c r="AY311" i="1"/>
  <c r="AX311" i="1"/>
  <c r="Y311" i="1"/>
  <c r="X311" i="1"/>
  <c r="AA311" i="1" s="1"/>
  <c r="W311" i="1"/>
  <c r="Z311" i="1" s="1"/>
  <c r="AB311" i="1" s="1"/>
  <c r="V311" i="1"/>
  <c r="U311" i="1"/>
  <c r="T311" i="1"/>
  <c r="R311" i="1"/>
  <c r="Q311" i="1"/>
  <c r="AZ310" i="1"/>
  <c r="AY310" i="1"/>
  <c r="AX310" i="1"/>
  <c r="Y310" i="1"/>
  <c r="X310" i="1"/>
  <c r="AA310" i="1" s="1"/>
  <c r="W310" i="1"/>
  <c r="Z310" i="1" s="1"/>
  <c r="AB310" i="1" s="1"/>
  <c r="V310" i="1"/>
  <c r="AS156" i="1" s="1"/>
  <c r="U310" i="1"/>
  <c r="T310" i="1"/>
  <c r="R310" i="1"/>
  <c r="Q310" i="1"/>
  <c r="AY309" i="1"/>
  <c r="AX309" i="1"/>
  <c r="AC309" i="1"/>
  <c r="Y309" i="1"/>
  <c r="X309" i="1"/>
  <c r="AA309" i="1" s="1"/>
  <c r="W309" i="1"/>
  <c r="Z309" i="1" s="1"/>
  <c r="AB309" i="1" s="1"/>
  <c r="V309" i="1"/>
  <c r="U309" i="1"/>
  <c r="T309" i="1"/>
  <c r="R309" i="1"/>
  <c r="Q309" i="1"/>
  <c r="AY308" i="1"/>
  <c r="AX308" i="1"/>
  <c r="AZ308" i="1" s="1"/>
  <c r="AA308" i="1"/>
  <c r="Z308" i="1"/>
  <c r="AB308" i="1" s="1"/>
  <c r="Y308" i="1"/>
  <c r="X308" i="1"/>
  <c r="W308" i="1"/>
  <c r="V308" i="1"/>
  <c r="AC308" i="1" s="1"/>
  <c r="U308" i="1"/>
  <c r="T308" i="1"/>
  <c r="R308" i="1"/>
  <c r="Q308" i="1"/>
  <c r="AY307" i="1"/>
  <c r="AX307" i="1"/>
  <c r="AZ307" i="1" s="1"/>
  <c r="Y307" i="1"/>
  <c r="X307" i="1"/>
  <c r="AA307" i="1" s="1"/>
  <c r="W307" i="1"/>
  <c r="Z307" i="1" s="1"/>
  <c r="AB307" i="1" s="1"/>
  <c r="V307" i="1"/>
  <c r="AC307" i="1" s="1"/>
  <c r="U307" i="1"/>
  <c r="T307" i="1"/>
  <c r="R307" i="1"/>
  <c r="Q307" i="1"/>
  <c r="AZ306" i="1"/>
  <c r="AY306" i="1"/>
  <c r="AX306" i="1"/>
  <c r="Y306" i="1"/>
  <c r="X306" i="1"/>
  <c r="AA306" i="1" s="1"/>
  <c r="W306" i="1"/>
  <c r="Z306" i="1" s="1"/>
  <c r="AB306" i="1" s="1"/>
  <c r="V306" i="1"/>
  <c r="U306" i="1"/>
  <c r="T306" i="1"/>
  <c r="R306" i="1"/>
  <c r="Q306" i="1"/>
  <c r="AY305" i="1"/>
  <c r="AX305" i="1"/>
  <c r="AZ305" i="1" s="1"/>
  <c r="AC305" i="1"/>
  <c r="AB305" i="1"/>
  <c r="Z305" i="1"/>
  <c r="Y305" i="1"/>
  <c r="X305" i="1"/>
  <c r="AA305" i="1" s="1"/>
  <c r="W305" i="1"/>
  <c r="V305" i="1"/>
  <c r="U305" i="1"/>
  <c r="T305" i="1"/>
  <c r="R305" i="1"/>
  <c r="Q305" i="1"/>
  <c r="AZ304" i="1"/>
  <c r="AY304" i="1"/>
  <c r="AX304" i="1"/>
  <c r="AC304" i="1"/>
  <c r="AB304" i="1"/>
  <c r="AA304" i="1"/>
  <c r="Z304" i="1"/>
  <c r="Y304" i="1"/>
  <c r="X304" i="1"/>
  <c r="W304" i="1"/>
  <c r="V304" i="1"/>
  <c r="U304" i="1"/>
  <c r="T304" i="1"/>
  <c r="R304" i="1"/>
  <c r="Q304" i="1"/>
  <c r="AY303" i="1"/>
  <c r="AX303" i="1"/>
  <c r="AZ303" i="1" s="1"/>
  <c r="Z303" i="1"/>
  <c r="AB303" i="1" s="1"/>
  <c r="Y303" i="1"/>
  <c r="X303" i="1"/>
  <c r="AA303" i="1" s="1"/>
  <c r="W303" i="1"/>
  <c r="V303" i="1"/>
  <c r="U303" i="1"/>
  <c r="AC303" i="1" s="1"/>
  <c r="T303" i="1"/>
  <c r="R303" i="1"/>
  <c r="Q303" i="1"/>
  <c r="AZ302" i="1"/>
  <c r="AY302" i="1"/>
  <c r="AX302" i="1"/>
  <c r="Y302" i="1"/>
  <c r="X302" i="1"/>
  <c r="AA302" i="1" s="1"/>
  <c r="W302" i="1"/>
  <c r="Z302" i="1" s="1"/>
  <c r="AB302" i="1" s="1"/>
  <c r="V302" i="1"/>
  <c r="U302" i="1"/>
  <c r="T302" i="1"/>
  <c r="R302" i="1"/>
  <c r="Q302" i="1"/>
  <c r="AZ301" i="1"/>
  <c r="AY301" i="1"/>
  <c r="AX301" i="1"/>
  <c r="AC301" i="1"/>
  <c r="AA301" i="1"/>
  <c r="Z301" i="1"/>
  <c r="AB301" i="1" s="1"/>
  <c r="Y301" i="1"/>
  <c r="X301" i="1"/>
  <c r="W301" i="1"/>
  <c r="V301" i="1"/>
  <c r="U301" i="1"/>
  <c r="T301" i="1"/>
  <c r="R301" i="1"/>
  <c r="Q301" i="1"/>
  <c r="AY300" i="1"/>
  <c r="AX300" i="1"/>
  <c r="AZ300" i="1" s="1"/>
  <c r="AC300" i="1"/>
  <c r="AB300" i="1"/>
  <c r="AA300" i="1"/>
  <c r="Y300" i="1"/>
  <c r="X300" i="1"/>
  <c r="W300" i="1"/>
  <c r="Z300" i="1" s="1"/>
  <c r="V300" i="1"/>
  <c r="AS151" i="1" s="1"/>
  <c r="U300" i="1"/>
  <c r="T300" i="1"/>
  <c r="R300" i="1"/>
  <c r="Q300" i="1"/>
  <c r="AY299" i="1"/>
  <c r="AX299" i="1"/>
  <c r="AZ299" i="1" s="1"/>
  <c r="AC299" i="1"/>
  <c r="Y299" i="1"/>
  <c r="X299" i="1"/>
  <c r="AA299" i="1" s="1"/>
  <c r="W299" i="1"/>
  <c r="Z299" i="1" s="1"/>
  <c r="AB299" i="1" s="1"/>
  <c r="V299" i="1"/>
  <c r="U299" i="1"/>
  <c r="T299" i="1"/>
  <c r="R299" i="1"/>
  <c r="Q299" i="1"/>
  <c r="AZ298" i="1"/>
  <c r="AY298" i="1"/>
  <c r="AX298" i="1"/>
  <c r="AA298" i="1"/>
  <c r="Z298" i="1"/>
  <c r="AB298" i="1" s="1"/>
  <c r="Y298" i="1"/>
  <c r="X298" i="1"/>
  <c r="W298" i="1"/>
  <c r="V298" i="1"/>
  <c r="U298" i="1"/>
  <c r="AC298" i="1" s="1"/>
  <c r="T298" i="1"/>
  <c r="R298" i="1"/>
  <c r="Q298" i="1"/>
  <c r="AY297" i="1"/>
  <c r="AX297" i="1"/>
  <c r="AZ297" i="1" s="1"/>
  <c r="AC297" i="1"/>
  <c r="Y297" i="1"/>
  <c r="X297" i="1"/>
  <c r="AA297" i="1" s="1"/>
  <c r="W297" i="1"/>
  <c r="Z297" i="1" s="1"/>
  <c r="AB297" i="1" s="1"/>
  <c r="V297" i="1"/>
  <c r="U297" i="1"/>
  <c r="T297" i="1"/>
  <c r="R297" i="1"/>
  <c r="Q297" i="1"/>
  <c r="AZ296" i="1"/>
  <c r="AY296" i="1"/>
  <c r="AX296" i="1"/>
  <c r="AA296" i="1"/>
  <c r="Y296" i="1"/>
  <c r="X296" i="1"/>
  <c r="W296" i="1"/>
  <c r="Z296" i="1" s="1"/>
  <c r="AB296" i="1" s="1"/>
  <c r="V296" i="1"/>
  <c r="U296" i="1"/>
  <c r="T296" i="1"/>
  <c r="AK149" i="1" s="1"/>
  <c r="R296" i="1"/>
  <c r="Q296" i="1"/>
  <c r="AY295" i="1"/>
  <c r="AX295" i="1"/>
  <c r="AZ295" i="1" s="1"/>
  <c r="Y295" i="1"/>
  <c r="X295" i="1"/>
  <c r="AA295" i="1" s="1"/>
  <c r="W295" i="1"/>
  <c r="Z295" i="1" s="1"/>
  <c r="AB295" i="1" s="1"/>
  <c r="V295" i="1"/>
  <c r="AS148" i="1" s="1"/>
  <c r="U295" i="1"/>
  <c r="T295" i="1"/>
  <c r="R295" i="1"/>
  <c r="Q295" i="1"/>
  <c r="AZ294" i="1"/>
  <c r="AY294" i="1"/>
  <c r="AX294" i="1"/>
  <c r="AC294" i="1"/>
  <c r="Z294" i="1"/>
  <c r="AB294" i="1" s="1"/>
  <c r="Y294" i="1"/>
  <c r="X294" i="1"/>
  <c r="AA294" i="1" s="1"/>
  <c r="W294" i="1"/>
  <c r="V294" i="1"/>
  <c r="U294" i="1"/>
  <c r="T294" i="1"/>
  <c r="R294" i="1"/>
  <c r="Q294" i="1"/>
  <c r="AY293" i="1"/>
  <c r="AX293" i="1"/>
  <c r="AZ293" i="1" s="1"/>
  <c r="AC293" i="1"/>
  <c r="AA293" i="1"/>
  <c r="Y293" i="1"/>
  <c r="X293" i="1"/>
  <c r="W293" i="1"/>
  <c r="Z293" i="1" s="1"/>
  <c r="AB293" i="1" s="1"/>
  <c r="V293" i="1"/>
  <c r="U293" i="1"/>
  <c r="T293" i="1"/>
  <c r="R293" i="1"/>
  <c r="Q293" i="1"/>
  <c r="AY292" i="1"/>
  <c r="AX292" i="1"/>
  <c r="AA292" i="1"/>
  <c r="Y292" i="1"/>
  <c r="X292" i="1"/>
  <c r="W292" i="1"/>
  <c r="Z292" i="1" s="1"/>
  <c r="AB292" i="1" s="1"/>
  <c r="V292" i="1"/>
  <c r="AS147" i="1" s="1"/>
  <c r="U292" i="1"/>
  <c r="T292" i="1"/>
  <c r="R292" i="1"/>
  <c r="Q292" i="1"/>
  <c r="AY291" i="1"/>
  <c r="AX291" i="1"/>
  <c r="AZ291" i="1" s="1"/>
  <c r="Y291" i="1"/>
  <c r="X291" i="1"/>
  <c r="AA291" i="1" s="1"/>
  <c r="W291" i="1"/>
  <c r="Z291" i="1" s="1"/>
  <c r="AB291" i="1" s="1"/>
  <c r="V291" i="1"/>
  <c r="AS146" i="1" s="1"/>
  <c r="U291" i="1"/>
  <c r="AC291" i="1" s="1"/>
  <c r="T291" i="1"/>
  <c r="R291" i="1"/>
  <c r="Q291" i="1"/>
  <c r="AZ290" i="1"/>
  <c r="AY290" i="1"/>
  <c r="AX290" i="1"/>
  <c r="AC290" i="1"/>
  <c r="Z290" i="1"/>
  <c r="AB290" i="1" s="1"/>
  <c r="Y290" i="1"/>
  <c r="X290" i="1"/>
  <c r="AA290" i="1" s="1"/>
  <c r="W290" i="1"/>
  <c r="V290" i="1"/>
  <c r="U290" i="1"/>
  <c r="T290" i="1"/>
  <c r="R290" i="1"/>
  <c r="Q290" i="1"/>
  <c r="AY289" i="1"/>
  <c r="AX289" i="1"/>
  <c r="AZ289" i="1" s="1"/>
  <c r="AC289" i="1"/>
  <c r="AB289" i="1"/>
  <c r="AA289" i="1"/>
  <c r="Z289" i="1"/>
  <c r="Y289" i="1"/>
  <c r="X289" i="1"/>
  <c r="W289" i="1"/>
  <c r="V289" i="1"/>
  <c r="U289" i="1"/>
  <c r="T289" i="1"/>
  <c r="R289" i="1"/>
  <c r="Q289" i="1"/>
  <c r="AY288" i="1"/>
  <c r="AX288" i="1"/>
  <c r="AZ288" i="1" s="1"/>
  <c r="AA288" i="1"/>
  <c r="Y288" i="1"/>
  <c r="X288" i="1"/>
  <c r="W288" i="1"/>
  <c r="Z288" i="1" s="1"/>
  <c r="AB288" i="1" s="1"/>
  <c r="V288" i="1"/>
  <c r="U288" i="1"/>
  <c r="T288" i="1"/>
  <c r="R288" i="1"/>
  <c r="Q288" i="1"/>
  <c r="AZ287" i="1"/>
  <c r="AY287" i="1"/>
  <c r="AX287" i="1"/>
  <c r="Y287" i="1"/>
  <c r="X287" i="1"/>
  <c r="AA287" i="1" s="1"/>
  <c r="W287" i="1"/>
  <c r="Z287" i="1" s="1"/>
  <c r="AB287" i="1" s="1"/>
  <c r="V287" i="1"/>
  <c r="U287" i="1"/>
  <c r="T287" i="1"/>
  <c r="R287" i="1"/>
  <c r="Q287" i="1"/>
  <c r="AZ286" i="1"/>
  <c r="AY286" i="1"/>
  <c r="AX286" i="1"/>
  <c r="Z286" i="1"/>
  <c r="AB286" i="1" s="1"/>
  <c r="Y286" i="1"/>
  <c r="X286" i="1"/>
  <c r="AA286" i="1" s="1"/>
  <c r="W286" i="1"/>
  <c r="V286" i="1"/>
  <c r="AS144" i="1" s="1"/>
  <c r="U286" i="1"/>
  <c r="T286" i="1"/>
  <c r="R286" i="1"/>
  <c r="Q286" i="1"/>
  <c r="AY285" i="1"/>
  <c r="AX285" i="1"/>
  <c r="AZ285" i="1" s="1"/>
  <c r="AC285" i="1"/>
  <c r="Y285" i="1"/>
  <c r="X285" i="1"/>
  <c r="AA285" i="1" s="1"/>
  <c r="W285" i="1"/>
  <c r="Z285" i="1" s="1"/>
  <c r="AB285" i="1" s="1"/>
  <c r="V285" i="1"/>
  <c r="U285" i="1"/>
  <c r="T285" i="1"/>
  <c r="R285" i="1"/>
  <c r="Q285" i="1"/>
  <c r="AY284" i="1"/>
  <c r="AX284" i="1"/>
  <c r="AZ284" i="1" s="1"/>
  <c r="AC284" i="1"/>
  <c r="AA284" i="1"/>
  <c r="Z284" i="1"/>
  <c r="AB284" i="1" s="1"/>
  <c r="Y284" i="1"/>
  <c r="X284" i="1"/>
  <c r="W284" i="1"/>
  <c r="V284" i="1"/>
  <c r="U284" i="1"/>
  <c r="T284" i="1"/>
  <c r="R284" i="1"/>
  <c r="Q284" i="1"/>
  <c r="AY283" i="1"/>
  <c r="AX283" i="1"/>
  <c r="AZ283" i="1" s="1"/>
  <c r="AC283" i="1"/>
  <c r="Y283" i="1"/>
  <c r="X283" i="1"/>
  <c r="AA283" i="1" s="1"/>
  <c r="W283" i="1"/>
  <c r="Z283" i="1" s="1"/>
  <c r="AB283" i="1" s="1"/>
  <c r="V283" i="1"/>
  <c r="U283" i="1"/>
  <c r="T283" i="1"/>
  <c r="R283" i="1"/>
  <c r="Q283" i="1"/>
  <c r="AZ282" i="1"/>
  <c r="AY282" i="1"/>
  <c r="AX282" i="1"/>
  <c r="Y282" i="1"/>
  <c r="X282" i="1"/>
  <c r="AA282" i="1" s="1"/>
  <c r="W282" i="1"/>
  <c r="Z282" i="1" s="1"/>
  <c r="AB282" i="1" s="1"/>
  <c r="V282" i="1"/>
  <c r="U282" i="1"/>
  <c r="AC282" i="1" s="1"/>
  <c r="T282" i="1"/>
  <c r="R282" i="1"/>
  <c r="Q282" i="1"/>
  <c r="AY281" i="1"/>
  <c r="AX281" i="1"/>
  <c r="AZ281" i="1" s="1"/>
  <c r="AC281" i="1"/>
  <c r="AA281" i="1"/>
  <c r="Z281" i="1"/>
  <c r="AB281" i="1" s="1"/>
  <c r="Y281" i="1"/>
  <c r="X281" i="1"/>
  <c r="W281" i="1"/>
  <c r="V281" i="1"/>
  <c r="U281" i="1"/>
  <c r="T281" i="1"/>
  <c r="R281" i="1"/>
  <c r="Q281" i="1"/>
  <c r="AY280" i="1"/>
  <c r="AX280" i="1"/>
  <c r="AZ280" i="1" s="1"/>
  <c r="AC280" i="1"/>
  <c r="AB280" i="1"/>
  <c r="AA280" i="1"/>
  <c r="Z280" i="1"/>
  <c r="Y280" i="1"/>
  <c r="X280" i="1"/>
  <c r="W280" i="1"/>
  <c r="V280" i="1"/>
  <c r="U280" i="1"/>
  <c r="T280" i="1"/>
  <c r="R280" i="1"/>
  <c r="Q280" i="1"/>
  <c r="AY279" i="1"/>
  <c r="AZ279" i="1" s="1"/>
  <c r="AX279" i="1"/>
  <c r="Z279" i="1"/>
  <c r="AB279" i="1" s="1"/>
  <c r="Y279" i="1"/>
  <c r="X279" i="1"/>
  <c r="AA279" i="1" s="1"/>
  <c r="W279" i="1"/>
  <c r="V279" i="1"/>
  <c r="U279" i="1"/>
  <c r="AC279" i="1" s="1"/>
  <c r="T279" i="1"/>
  <c r="R279" i="1"/>
  <c r="Q279" i="1"/>
  <c r="AZ278" i="1"/>
  <c r="AY278" i="1"/>
  <c r="AX278" i="1"/>
  <c r="AB278" i="1"/>
  <c r="Y278" i="1"/>
  <c r="X278" i="1"/>
  <c r="AA278" i="1" s="1"/>
  <c r="W278" i="1"/>
  <c r="Z278" i="1" s="1"/>
  <c r="V278" i="1"/>
  <c r="U278" i="1"/>
  <c r="T278" i="1"/>
  <c r="R278" i="1"/>
  <c r="Q278" i="1"/>
  <c r="AY277" i="1"/>
  <c r="AZ277" i="1" s="1"/>
  <c r="AX277" i="1"/>
  <c r="AC277" i="1"/>
  <c r="AA277" i="1"/>
  <c r="Z277" i="1"/>
  <c r="AB277" i="1" s="1"/>
  <c r="Y277" i="1"/>
  <c r="X277" i="1"/>
  <c r="W277" i="1"/>
  <c r="V277" i="1"/>
  <c r="U277" i="1"/>
  <c r="T277" i="1"/>
  <c r="AK139" i="1" s="1"/>
  <c r="R277" i="1"/>
  <c r="Q277" i="1"/>
  <c r="AY276" i="1"/>
  <c r="AX276" i="1"/>
  <c r="AZ276" i="1" s="1"/>
  <c r="AC276" i="1"/>
  <c r="AA276" i="1"/>
  <c r="Z276" i="1"/>
  <c r="AB276" i="1" s="1"/>
  <c r="Y276" i="1"/>
  <c r="X276" i="1"/>
  <c r="W276" i="1"/>
  <c r="V276" i="1"/>
  <c r="AS139" i="1" s="1"/>
  <c r="U276" i="1"/>
  <c r="T276" i="1"/>
  <c r="R276" i="1"/>
  <c r="Q276" i="1"/>
  <c r="AZ275" i="1"/>
  <c r="AY275" i="1"/>
  <c r="AX275" i="1"/>
  <c r="AC275" i="1"/>
  <c r="Y275" i="1"/>
  <c r="X275" i="1"/>
  <c r="AA275" i="1" s="1"/>
  <c r="W275" i="1"/>
  <c r="Z275" i="1" s="1"/>
  <c r="AB275" i="1" s="1"/>
  <c r="V275" i="1"/>
  <c r="U275" i="1"/>
  <c r="T275" i="1"/>
  <c r="R275" i="1"/>
  <c r="Q275" i="1"/>
  <c r="AZ274" i="1"/>
  <c r="AY274" i="1"/>
  <c r="AX274" i="1"/>
  <c r="AA274" i="1"/>
  <c r="Z274" i="1"/>
  <c r="AB274" i="1" s="1"/>
  <c r="Y274" i="1"/>
  <c r="X274" i="1"/>
  <c r="W274" i="1"/>
  <c r="V274" i="1"/>
  <c r="AS138" i="1" s="1"/>
  <c r="U274" i="1"/>
  <c r="AC274" i="1" s="1"/>
  <c r="T274" i="1"/>
  <c r="AK138" i="1" s="1"/>
  <c r="R274" i="1"/>
  <c r="Q274" i="1"/>
  <c r="AY273" i="1"/>
  <c r="AX273" i="1"/>
  <c r="AZ273" i="1" s="1"/>
  <c r="AC273" i="1"/>
  <c r="Y273" i="1"/>
  <c r="X273" i="1"/>
  <c r="AA273" i="1" s="1"/>
  <c r="W273" i="1"/>
  <c r="Z273" i="1" s="1"/>
  <c r="AB273" i="1" s="1"/>
  <c r="V273" i="1"/>
  <c r="U273" i="1"/>
  <c r="T273" i="1"/>
  <c r="R273" i="1"/>
  <c r="Q273" i="1"/>
  <c r="AZ272" i="1"/>
  <c r="AY272" i="1"/>
  <c r="AX272" i="1"/>
  <c r="AA272" i="1"/>
  <c r="Y272" i="1"/>
  <c r="X272" i="1"/>
  <c r="W272" i="1"/>
  <c r="Z272" i="1" s="1"/>
  <c r="AB272" i="1" s="1"/>
  <c r="V272" i="1"/>
  <c r="AS137" i="1" s="1"/>
  <c r="U272" i="1"/>
  <c r="AC272" i="1" s="1"/>
  <c r="T272" i="1"/>
  <c r="AK137" i="1" s="1"/>
  <c r="R272" i="1"/>
  <c r="Q272" i="1"/>
  <c r="AY271" i="1"/>
  <c r="AX271" i="1"/>
  <c r="AZ271" i="1" s="1"/>
  <c r="Y271" i="1"/>
  <c r="X271" i="1"/>
  <c r="AA271" i="1" s="1"/>
  <c r="W271" i="1"/>
  <c r="Z271" i="1" s="1"/>
  <c r="AB271" i="1" s="1"/>
  <c r="V271" i="1"/>
  <c r="U271" i="1"/>
  <c r="AC271" i="1" s="1"/>
  <c r="T271" i="1"/>
  <c r="R271" i="1"/>
  <c r="Q271" i="1"/>
  <c r="AZ270" i="1"/>
  <c r="AY270" i="1"/>
  <c r="AX270" i="1"/>
  <c r="AC270" i="1"/>
  <c r="Z270" i="1"/>
  <c r="AB270" i="1" s="1"/>
  <c r="Y270" i="1"/>
  <c r="X270" i="1"/>
  <c r="AA270" i="1" s="1"/>
  <c r="W270" i="1"/>
  <c r="V270" i="1"/>
  <c r="U270" i="1"/>
  <c r="T270" i="1"/>
  <c r="AK136" i="1" s="1"/>
  <c r="R270" i="1"/>
  <c r="Q270" i="1"/>
  <c r="AY269" i="1"/>
  <c r="AX269" i="1"/>
  <c r="AZ269" i="1" s="1"/>
  <c r="AC269" i="1"/>
  <c r="AA269" i="1"/>
  <c r="Y269" i="1"/>
  <c r="X269" i="1"/>
  <c r="W269" i="1"/>
  <c r="Z269" i="1" s="1"/>
  <c r="AB269" i="1" s="1"/>
  <c r="V269" i="1"/>
  <c r="U269" i="1"/>
  <c r="T269" i="1"/>
  <c r="R269" i="1"/>
  <c r="Q269" i="1"/>
  <c r="AY268" i="1"/>
  <c r="AX268" i="1"/>
  <c r="AZ268" i="1" s="1"/>
  <c r="AA268" i="1"/>
  <c r="Z268" i="1"/>
  <c r="AB268" i="1" s="1"/>
  <c r="Y268" i="1"/>
  <c r="X268" i="1"/>
  <c r="W268" i="1"/>
  <c r="V268" i="1"/>
  <c r="AS135" i="1" s="1"/>
  <c r="U268" i="1"/>
  <c r="T268" i="1"/>
  <c r="R268" i="1"/>
  <c r="Q268" i="1"/>
  <c r="AY267" i="1"/>
  <c r="AX267" i="1"/>
  <c r="AZ267" i="1" s="1"/>
  <c r="Z267" i="1"/>
  <c r="AB267" i="1" s="1"/>
  <c r="Y267" i="1"/>
  <c r="X267" i="1"/>
  <c r="AA267" i="1" s="1"/>
  <c r="W267" i="1"/>
  <c r="V267" i="1"/>
  <c r="AC267" i="1" s="1"/>
  <c r="U267" i="1"/>
  <c r="T267" i="1"/>
  <c r="R267" i="1"/>
  <c r="Q267" i="1"/>
  <c r="AZ266" i="1"/>
  <c r="AY266" i="1"/>
  <c r="AX266" i="1"/>
  <c r="AC266" i="1"/>
  <c r="AB266" i="1"/>
  <c r="AA266" i="1"/>
  <c r="Z266" i="1"/>
  <c r="Y266" i="1"/>
  <c r="X266" i="1"/>
  <c r="W266" i="1"/>
  <c r="V266" i="1"/>
  <c r="U266" i="1"/>
  <c r="T266" i="1"/>
  <c r="R266" i="1"/>
  <c r="Q266" i="1"/>
  <c r="AY265" i="1"/>
  <c r="AZ265" i="1" s="1"/>
  <c r="AX265" i="1"/>
  <c r="AC265" i="1"/>
  <c r="AB265" i="1"/>
  <c r="AA265" i="1"/>
  <c r="Z265" i="1"/>
  <c r="Y265" i="1"/>
  <c r="X265" i="1"/>
  <c r="W265" i="1"/>
  <c r="V265" i="1"/>
  <c r="U265" i="1"/>
  <c r="T265" i="1"/>
  <c r="R265" i="1"/>
  <c r="Q265" i="1"/>
  <c r="AZ264" i="1"/>
  <c r="AY264" i="1"/>
  <c r="AX264" i="1"/>
  <c r="AA264" i="1"/>
  <c r="Y264" i="1"/>
  <c r="X264" i="1"/>
  <c r="W264" i="1"/>
  <c r="Z264" i="1" s="1"/>
  <c r="AB264" i="1" s="1"/>
  <c r="V264" i="1"/>
  <c r="U264" i="1"/>
  <c r="AC264" i="1" s="1"/>
  <c r="T264" i="1"/>
  <c r="AK133" i="1" s="1"/>
  <c r="R264" i="1"/>
  <c r="Q264" i="1"/>
  <c r="AY263" i="1"/>
  <c r="AZ263" i="1" s="1"/>
  <c r="AX263" i="1"/>
  <c r="Y263" i="1"/>
  <c r="X263" i="1"/>
  <c r="AA263" i="1" s="1"/>
  <c r="W263" i="1"/>
  <c r="Z263" i="1" s="1"/>
  <c r="AB263" i="1" s="1"/>
  <c r="V263" i="1"/>
  <c r="U263" i="1"/>
  <c r="AC263" i="1" s="1"/>
  <c r="T263" i="1"/>
  <c r="R263" i="1"/>
  <c r="Q263" i="1"/>
  <c r="AZ262" i="1"/>
  <c r="AY262" i="1"/>
  <c r="AX262" i="1"/>
  <c r="AA262" i="1"/>
  <c r="Z262" i="1"/>
  <c r="AB262" i="1" s="1"/>
  <c r="Y262" i="1"/>
  <c r="X262" i="1"/>
  <c r="W262" i="1"/>
  <c r="V262" i="1"/>
  <c r="U262" i="1"/>
  <c r="AC262" i="1" s="1"/>
  <c r="T262" i="1"/>
  <c r="R262" i="1"/>
  <c r="Q262" i="1"/>
  <c r="AY261" i="1"/>
  <c r="AX261" i="1"/>
  <c r="AZ261" i="1" s="1"/>
  <c r="AC261" i="1"/>
  <c r="AB261" i="1"/>
  <c r="Y261" i="1"/>
  <c r="X261" i="1"/>
  <c r="AA261" i="1" s="1"/>
  <c r="W261" i="1"/>
  <c r="Z261" i="1" s="1"/>
  <c r="V261" i="1"/>
  <c r="U261" i="1"/>
  <c r="T261" i="1"/>
  <c r="R261" i="1"/>
  <c r="Q261" i="1"/>
  <c r="AZ260" i="1"/>
  <c r="AY260" i="1"/>
  <c r="AX260" i="1"/>
  <c r="AC260" i="1"/>
  <c r="AA260" i="1"/>
  <c r="Z260" i="1"/>
  <c r="AB260" i="1" s="1"/>
  <c r="Y260" i="1"/>
  <c r="X260" i="1"/>
  <c r="W260" i="1"/>
  <c r="V260" i="1"/>
  <c r="U260" i="1"/>
  <c r="T260" i="1"/>
  <c r="AK131" i="1" s="1"/>
  <c r="R260" i="1"/>
  <c r="Q260" i="1"/>
  <c r="AY259" i="1"/>
  <c r="AX259" i="1"/>
  <c r="AZ259" i="1" s="1"/>
  <c r="AC259" i="1"/>
  <c r="Y259" i="1"/>
  <c r="X259" i="1"/>
  <c r="AA259" i="1" s="1"/>
  <c r="W259" i="1"/>
  <c r="Z259" i="1" s="1"/>
  <c r="AB259" i="1" s="1"/>
  <c r="V259" i="1"/>
  <c r="U259" i="1"/>
  <c r="T259" i="1"/>
  <c r="R259" i="1"/>
  <c r="Q259" i="1"/>
  <c r="AZ258" i="1"/>
  <c r="AY258" i="1"/>
  <c r="AX258" i="1"/>
  <c r="Z258" i="1"/>
  <c r="AB258" i="1" s="1"/>
  <c r="Y258" i="1"/>
  <c r="X258" i="1"/>
  <c r="AA258" i="1" s="1"/>
  <c r="W258" i="1"/>
  <c r="V258" i="1"/>
  <c r="U258" i="1"/>
  <c r="AC258" i="1" s="1"/>
  <c r="T258" i="1"/>
  <c r="AK130" i="1" s="1"/>
  <c r="R258" i="1"/>
  <c r="Q258" i="1"/>
  <c r="AY257" i="1"/>
  <c r="AX257" i="1"/>
  <c r="AZ257" i="1" s="1"/>
  <c r="AC257" i="1"/>
  <c r="AB257" i="1"/>
  <c r="AA257" i="1"/>
  <c r="Z257" i="1"/>
  <c r="Y257" i="1"/>
  <c r="X257" i="1"/>
  <c r="W257" i="1"/>
  <c r="V257" i="1"/>
  <c r="U257" i="1"/>
  <c r="T257" i="1"/>
  <c r="R257" i="1"/>
  <c r="Q257" i="1"/>
  <c r="AY256" i="1"/>
  <c r="AX256" i="1"/>
  <c r="AZ256" i="1" s="1"/>
  <c r="AC256" i="1"/>
  <c r="AA256" i="1"/>
  <c r="Z256" i="1"/>
  <c r="AB256" i="1" s="1"/>
  <c r="Y256" i="1"/>
  <c r="X256" i="1"/>
  <c r="W256" i="1"/>
  <c r="V256" i="1"/>
  <c r="U256" i="1"/>
  <c r="T256" i="1"/>
  <c r="R256" i="1"/>
  <c r="Q256" i="1"/>
  <c r="AZ255" i="1"/>
  <c r="AY255" i="1"/>
  <c r="AX255" i="1"/>
  <c r="Z255" i="1"/>
  <c r="AB255" i="1" s="1"/>
  <c r="Y255" i="1"/>
  <c r="X255" i="1"/>
  <c r="AA255" i="1" s="1"/>
  <c r="W255" i="1"/>
  <c r="V255" i="1"/>
  <c r="U255" i="1"/>
  <c r="AC255" i="1" s="1"/>
  <c r="T255" i="1"/>
  <c r="R255" i="1"/>
  <c r="Q255" i="1"/>
  <c r="AZ254" i="1"/>
  <c r="AY254" i="1"/>
  <c r="AX254" i="1"/>
  <c r="AC254" i="1"/>
  <c r="AB254" i="1"/>
  <c r="Y254" i="1"/>
  <c r="X254" i="1"/>
  <c r="AA254" i="1" s="1"/>
  <c r="W254" i="1"/>
  <c r="Z254" i="1" s="1"/>
  <c r="V254" i="1"/>
  <c r="U254" i="1"/>
  <c r="T254" i="1"/>
  <c r="AK128" i="1" s="1"/>
  <c r="R254" i="1"/>
  <c r="Q254" i="1"/>
  <c r="AY253" i="1"/>
  <c r="AZ253" i="1" s="1"/>
  <c r="AX253" i="1"/>
  <c r="AC253" i="1"/>
  <c r="AA253" i="1"/>
  <c r="Z253" i="1"/>
  <c r="AB253" i="1" s="1"/>
  <c r="Y253" i="1"/>
  <c r="X253" i="1"/>
  <c r="W253" i="1"/>
  <c r="V253" i="1"/>
  <c r="U253" i="1"/>
  <c r="T253" i="1"/>
  <c r="R253" i="1"/>
  <c r="Q253" i="1"/>
  <c r="AY252" i="1"/>
  <c r="AX252" i="1"/>
  <c r="AZ252" i="1" s="1"/>
  <c r="AC252" i="1"/>
  <c r="AB252" i="1"/>
  <c r="AA252" i="1"/>
  <c r="Y252" i="1"/>
  <c r="X252" i="1"/>
  <c r="W252" i="1"/>
  <c r="Z252" i="1" s="1"/>
  <c r="V252" i="1"/>
  <c r="U252" i="1"/>
  <c r="T252" i="1"/>
  <c r="R252" i="1"/>
  <c r="Q252" i="1"/>
  <c r="AY251" i="1"/>
  <c r="AX251" i="1"/>
  <c r="AZ251" i="1" s="1"/>
  <c r="AC251" i="1"/>
  <c r="Z251" i="1"/>
  <c r="AB251" i="1" s="1"/>
  <c r="Y251" i="1"/>
  <c r="X251" i="1"/>
  <c r="AA251" i="1" s="1"/>
  <c r="W251" i="1"/>
  <c r="V251" i="1"/>
  <c r="U251" i="1"/>
  <c r="T251" i="1"/>
  <c r="R251" i="1"/>
  <c r="Q251" i="1"/>
  <c r="AZ250" i="1"/>
  <c r="AY250" i="1"/>
  <c r="AX250" i="1"/>
  <c r="AB250" i="1"/>
  <c r="AA250" i="1"/>
  <c r="Z250" i="1"/>
  <c r="Y250" i="1"/>
  <c r="X250" i="1"/>
  <c r="W250" i="1"/>
  <c r="V250" i="1"/>
  <c r="U250" i="1"/>
  <c r="T250" i="1"/>
  <c r="R250" i="1"/>
  <c r="Q250" i="1"/>
  <c r="AY249" i="1"/>
  <c r="AX249" i="1"/>
  <c r="AZ249" i="1" s="1"/>
  <c r="AC249" i="1"/>
  <c r="Y249" i="1"/>
  <c r="X249" i="1"/>
  <c r="AA249" i="1" s="1"/>
  <c r="W249" i="1"/>
  <c r="Z249" i="1" s="1"/>
  <c r="AB249" i="1" s="1"/>
  <c r="V249" i="1"/>
  <c r="U249" i="1"/>
  <c r="T249" i="1"/>
  <c r="R249" i="1"/>
  <c r="Q249" i="1"/>
  <c r="AZ248" i="1"/>
  <c r="AY248" i="1"/>
  <c r="AX248" i="1"/>
  <c r="AA248" i="1"/>
  <c r="Y248" i="1"/>
  <c r="X248" i="1"/>
  <c r="W248" i="1"/>
  <c r="Z248" i="1" s="1"/>
  <c r="AB248" i="1" s="1"/>
  <c r="V248" i="1"/>
  <c r="U248" i="1"/>
  <c r="T248" i="1"/>
  <c r="AK125" i="1" s="1"/>
  <c r="R248" i="1"/>
  <c r="Q248" i="1"/>
  <c r="AY247" i="1"/>
  <c r="AX247" i="1"/>
  <c r="Y247" i="1"/>
  <c r="X247" i="1"/>
  <c r="AA247" i="1" s="1"/>
  <c r="W247" i="1"/>
  <c r="Z247" i="1" s="1"/>
  <c r="AB247" i="1" s="1"/>
  <c r="V247" i="1"/>
  <c r="AS124" i="1" s="1"/>
  <c r="U247" i="1"/>
  <c r="T247" i="1"/>
  <c r="R247" i="1"/>
  <c r="Q247" i="1"/>
  <c r="AZ246" i="1"/>
  <c r="AY246" i="1"/>
  <c r="AX246" i="1"/>
  <c r="AC246" i="1"/>
  <c r="AB246" i="1"/>
  <c r="Z246" i="1"/>
  <c r="Y246" i="1"/>
  <c r="X246" i="1"/>
  <c r="AA246" i="1" s="1"/>
  <c r="W246" i="1"/>
  <c r="V246" i="1"/>
  <c r="U246" i="1"/>
  <c r="T246" i="1"/>
  <c r="R246" i="1"/>
  <c r="Q246" i="1"/>
  <c r="AY245" i="1"/>
  <c r="AX245" i="1"/>
  <c r="AZ245" i="1" s="1"/>
  <c r="AC245" i="1"/>
  <c r="AB245" i="1"/>
  <c r="AA245" i="1"/>
  <c r="Y245" i="1"/>
  <c r="X245" i="1"/>
  <c r="W245" i="1"/>
  <c r="Z245" i="1" s="1"/>
  <c r="V245" i="1"/>
  <c r="U245" i="1"/>
  <c r="T245" i="1"/>
  <c r="R245" i="1"/>
  <c r="Q245" i="1"/>
  <c r="AZ244" i="1"/>
  <c r="AY244" i="1"/>
  <c r="AX244" i="1"/>
  <c r="AA244" i="1"/>
  <c r="Z244" i="1"/>
  <c r="AB244" i="1" s="1"/>
  <c r="Y244" i="1"/>
  <c r="X244" i="1"/>
  <c r="W244" i="1"/>
  <c r="V244" i="1"/>
  <c r="U244" i="1"/>
  <c r="AC244" i="1" s="1"/>
  <c r="T244" i="1"/>
  <c r="R244" i="1"/>
  <c r="Q244" i="1"/>
  <c r="AY243" i="1"/>
  <c r="AX243" i="1"/>
  <c r="AZ243" i="1" s="1"/>
  <c r="AC243" i="1"/>
  <c r="Z243" i="1"/>
  <c r="AB243" i="1" s="1"/>
  <c r="Y243" i="1"/>
  <c r="X243" i="1"/>
  <c r="AA243" i="1" s="1"/>
  <c r="W243" i="1"/>
  <c r="V243" i="1"/>
  <c r="U243" i="1"/>
  <c r="T243" i="1"/>
  <c r="R243" i="1"/>
  <c r="Q243" i="1"/>
  <c r="AZ242" i="1"/>
  <c r="AY242" i="1"/>
  <c r="AX242" i="1"/>
  <c r="AC242" i="1"/>
  <c r="AB242" i="1"/>
  <c r="AA242" i="1"/>
  <c r="Z242" i="1"/>
  <c r="Y242" i="1"/>
  <c r="X242" i="1"/>
  <c r="W242" i="1"/>
  <c r="V242" i="1"/>
  <c r="U242" i="1"/>
  <c r="T242" i="1"/>
  <c r="R242" i="1"/>
  <c r="Q242" i="1"/>
  <c r="AY241" i="1"/>
  <c r="AZ241" i="1" s="1"/>
  <c r="AX241" i="1"/>
  <c r="AC241" i="1"/>
  <c r="AA241" i="1"/>
  <c r="Z241" i="1"/>
  <c r="AB241" i="1" s="1"/>
  <c r="Y241" i="1"/>
  <c r="X241" i="1"/>
  <c r="W241" i="1"/>
  <c r="V241" i="1"/>
  <c r="U241" i="1"/>
  <c r="T241" i="1"/>
  <c r="R241" i="1"/>
  <c r="Q241" i="1"/>
  <c r="AZ240" i="1"/>
  <c r="AY240" i="1"/>
  <c r="AX240" i="1"/>
  <c r="AA240" i="1"/>
  <c r="Y240" i="1"/>
  <c r="X240" i="1"/>
  <c r="W240" i="1"/>
  <c r="Z240" i="1" s="1"/>
  <c r="AB240" i="1" s="1"/>
  <c r="V240" i="1"/>
  <c r="U240" i="1"/>
  <c r="T240" i="1"/>
  <c r="R240" i="1"/>
  <c r="Q240" i="1"/>
  <c r="AY239" i="1"/>
  <c r="AZ239" i="1" s="1"/>
  <c r="AX239" i="1"/>
  <c r="Y239" i="1"/>
  <c r="X239" i="1"/>
  <c r="AA239" i="1" s="1"/>
  <c r="W239" i="1"/>
  <c r="Z239" i="1" s="1"/>
  <c r="AB239" i="1" s="1"/>
  <c r="V239" i="1"/>
  <c r="U239" i="1"/>
  <c r="AC239" i="1" s="1"/>
  <c r="T239" i="1"/>
  <c r="R239" i="1"/>
  <c r="Q239" i="1"/>
  <c r="AZ238" i="1"/>
  <c r="AY238" i="1"/>
  <c r="AX238" i="1"/>
  <c r="Y238" i="1"/>
  <c r="X238" i="1"/>
  <c r="AA238" i="1" s="1"/>
  <c r="W238" i="1"/>
  <c r="Z238" i="1" s="1"/>
  <c r="AB238" i="1" s="1"/>
  <c r="V238" i="1"/>
  <c r="U238" i="1"/>
  <c r="AC238" i="1" s="1"/>
  <c r="T238" i="1"/>
  <c r="AK120" i="1" s="1"/>
  <c r="R238" i="1"/>
  <c r="Q238" i="1"/>
  <c r="AY237" i="1"/>
  <c r="AX237" i="1"/>
  <c r="AZ237" i="1" s="1"/>
  <c r="AC237" i="1"/>
  <c r="Y237" i="1"/>
  <c r="X237" i="1"/>
  <c r="AA237" i="1" s="1"/>
  <c r="W237" i="1"/>
  <c r="Z237" i="1" s="1"/>
  <c r="AB237" i="1" s="1"/>
  <c r="V237" i="1"/>
  <c r="U237" i="1"/>
  <c r="T237" i="1"/>
  <c r="R237" i="1"/>
  <c r="Q237" i="1"/>
  <c r="AY236" i="1"/>
  <c r="AX236" i="1"/>
  <c r="AZ236" i="1" s="1"/>
  <c r="AA236" i="1"/>
  <c r="Z236" i="1"/>
  <c r="AB236" i="1" s="1"/>
  <c r="Y236" i="1"/>
  <c r="X236" i="1"/>
  <c r="W236" i="1"/>
  <c r="V236" i="1"/>
  <c r="U236" i="1"/>
  <c r="T236" i="1"/>
  <c r="R236" i="1"/>
  <c r="Q236" i="1"/>
  <c r="AY235" i="1"/>
  <c r="AX235" i="1"/>
  <c r="AZ235" i="1" s="1"/>
  <c r="Y235" i="1"/>
  <c r="X235" i="1"/>
  <c r="AA235" i="1" s="1"/>
  <c r="W235" i="1"/>
  <c r="Z235" i="1" s="1"/>
  <c r="AB235" i="1" s="1"/>
  <c r="V235" i="1"/>
  <c r="U235" i="1"/>
  <c r="AC235" i="1" s="1"/>
  <c r="T235" i="1"/>
  <c r="R235" i="1"/>
  <c r="Q235" i="1"/>
  <c r="AZ234" i="1"/>
  <c r="AY234" i="1"/>
  <c r="AX234" i="1"/>
  <c r="Z234" i="1"/>
  <c r="AB234" i="1" s="1"/>
  <c r="Y234" i="1"/>
  <c r="X234" i="1"/>
  <c r="AA234" i="1" s="1"/>
  <c r="W234" i="1"/>
  <c r="V234" i="1"/>
  <c r="U234" i="1"/>
  <c r="T234" i="1"/>
  <c r="R234" i="1"/>
  <c r="Q234" i="1"/>
  <c r="AY233" i="1"/>
  <c r="AX233" i="1"/>
  <c r="AZ233" i="1" s="1"/>
  <c r="AS233" i="1"/>
  <c r="AO233" i="1"/>
  <c r="AK233" i="1"/>
  <c r="AH233" i="1"/>
  <c r="AC233" i="1"/>
  <c r="AB233" i="1"/>
  <c r="AA233" i="1"/>
  <c r="Y233" i="1"/>
  <c r="X233" i="1"/>
  <c r="W233" i="1"/>
  <c r="Z233" i="1" s="1"/>
  <c r="V233" i="1"/>
  <c r="U233" i="1"/>
  <c r="T233" i="1"/>
  <c r="R233" i="1"/>
  <c r="Q233" i="1"/>
  <c r="AY232" i="1"/>
  <c r="AX232" i="1"/>
  <c r="AZ232" i="1" s="1"/>
  <c r="AK232" i="1"/>
  <c r="AH232" i="1"/>
  <c r="Y232" i="1"/>
  <c r="X232" i="1"/>
  <c r="AA232" i="1" s="1"/>
  <c r="W232" i="1"/>
  <c r="Z232" i="1" s="1"/>
  <c r="AB232" i="1" s="1"/>
  <c r="V232" i="1"/>
  <c r="AC232" i="1" s="1"/>
  <c r="U232" i="1"/>
  <c r="T232" i="1"/>
  <c r="R232" i="1"/>
  <c r="Q232" i="1"/>
  <c r="AZ231" i="1"/>
  <c r="AY231" i="1"/>
  <c r="AX231" i="1"/>
  <c r="AK231" i="1"/>
  <c r="AH231" i="1"/>
  <c r="AC231" i="1"/>
  <c r="Z231" i="1"/>
  <c r="AB231" i="1" s="1"/>
  <c r="Y231" i="1"/>
  <c r="X231" i="1"/>
  <c r="AA231" i="1" s="1"/>
  <c r="W231" i="1"/>
  <c r="V231" i="1"/>
  <c r="U231" i="1"/>
  <c r="T231" i="1"/>
  <c r="R231" i="1"/>
  <c r="Q231" i="1"/>
  <c r="AZ230" i="1"/>
  <c r="AY230" i="1"/>
  <c r="AX230" i="1"/>
  <c r="AS230" i="1"/>
  <c r="AO230" i="1"/>
  <c r="AH230" i="1"/>
  <c r="Z230" i="1"/>
  <c r="AB230" i="1" s="1"/>
  <c r="Y230" i="1"/>
  <c r="X230" i="1"/>
  <c r="AA230" i="1" s="1"/>
  <c r="W230" i="1"/>
  <c r="V230" i="1"/>
  <c r="U230" i="1"/>
  <c r="AC230" i="1" s="1"/>
  <c r="T230" i="1"/>
  <c r="R230" i="1"/>
  <c r="Q230" i="1"/>
  <c r="AZ229" i="1"/>
  <c r="AY229" i="1"/>
  <c r="AX229" i="1"/>
  <c r="AS229" i="1"/>
  <c r="AO229" i="1"/>
  <c r="AH229" i="1"/>
  <c r="Y229" i="1"/>
  <c r="X229" i="1"/>
  <c r="AA229" i="1" s="1"/>
  <c r="W229" i="1"/>
  <c r="Z229" i="1" s="1"/>
  <c r="AB229" i="1" s="1"/>
  <c r="V229" i="1"/>
  <c r="U229" i="1"/>
  <c r="AC229" i="1" s="1"/>
  <c r="T229" i="1"/>
  <c r="R229" i="1"/>
  <c r="Q229" i="1"/>
  <c r="AY228" i="1"/>
  <c r="AX228" i="1"/>
  <c r="AS228" i="1"/>
  <c r="AK228" i="1"/>
  <c r="AH228" i="1"/>
  <c r="AC228" i="1"/>
  <c r="AA228" i="1"/>
  <c r="Y228" i="1"/>
  <c r="X228" i="1"/>
  <c r="W228" i="1"/>
  <c r="Z228" i="1" s="1"/>
  <c r="AB228" i="1" s="1"/>
  <c r="V228" i="1"/>
  <c r="U228" i="1"/>
  <c r="T228" i="1"/>
  <c r="R228" i="1"/>
  <c r="Q228" i="1"/>
  <c r="AZ227" i="1"/>
  <c r="AY227" i="1"/>
  <c r="AX227" i="1"/>
  <c r="AH227" i="1"/>
  <c r="AC227" i="1"/>
  <c r="AB227" i="1"/>
  <c r="AA227" i="1"/>
  <c r="Z227" i="1"/>
  <c r="Y227" i="1"/>
  <c r="X227" i="1"/>
  <c r="W227" i="1"/>
  <c r="V227" i="1"/>
  <c r="U227" i="1"/>
  <c r="T227" i="1"/>
  <c r="R227" i="1"/>
  <c r="Q227" i="1"/>
  <c r="AY226" i="1"/>
  <c r="AZ226" i="1" s="1"/>
  <c r="AX226" i="1"/>
  <c r="AS226" i="1"/>
  <c r="AO226" i="1"/>
  <c r="AK226" i="1"/>
  <c r="AH226" i="1"/>
  <c r="Y226" i="1"/>
  <c r="X226" i="1"/>
  <c r="AA226" i="1" s="1"/>
  <c r="W226" i="1"/>
  <c r="Z226" i="1" s="1"/>
  <c r="AB226" i="1" s="1"/>
  <c r="V226" i="1"/>
  <c r="U226" i="1"/>
  <c r="AC226" i="1" s="1"/>
  <c r="T226" i="1"/>
  <c r="R226" i="1"/>
  <c r="Q226" i="1"/>
  <c r="AZ225" i="1"/>
  <c r="AY225" i="1"/>
  <c r="AX225" i="1"/>
  <c r="AH225" i="1"/>
  <c r="AC225" i="1"/>
  <c r="Y225" i="1"/>
  <c r="X225" i="1"/>
  <c r="AA225" i="1" s="1"/>
  <c r="W225" i="1"/>
  <c r="Z225" i="1" s="1"/>
  <c r="AB225" i="1" s="1"/>
  <c r="V225" i="1"/>
  <c r="U225" i="1"/>
  <c r="T225" i="1"/>
  <c r="R225" i="1"/>
  <c r="Q225" i="1"/>
  <c r="AZ224" i="1"/>
  <c r="AY224" i="1"/>
  <c r="AX224" i="1"/>
  <c r="AS224" i="1"/>
  <c r="AO224" i="1"/>
  <c r="AK224" i="1"/>
  <c r="AH224" i="1"/>
  <c r="AA224" i="1"/>
  <c r="Z224" i="1"/>
  <c r="AB224" i="1" s="1"/>
  <c r="Y224" i="1"/>
  <c r="X224" i="1"/>
  <c r="W224" i="1"/>
  <c r="V224" i="1"/>
  <c r="U224" i="1"/>
  <c r="T224" i="1"/>
  <c r="R224" i="1"/>
  <c r="Q224" i="1"/>
  <c r="AY223" i="1"/>
  <c r="AX223" i="1"/>
  <c r="AZ223" i="1" s="1"/>
  <c r="AS223" i="1"/>
  <c r="AO223" i="1"/>
  <c r="AH223" i="1"/>
  <c r="AB223" i="1"/>
  <c r="AA223" i="1"/>
  <c r="Z223" i="1"/>
  <c r="Y223" i="1"/>
  <c r="X223" i="1"/>
  <c r="W223" i="1"/>
  <c r="V223" i="1"/>
  <c r="U223" i="1"/>
  <c r="AC223" i="1" s="1"/>
  <c r="T223" i="1"/>
  <c r="R223" i="1"/>
  <c r="Q223" i="1"/>
  <c r="AZ222" i="1"/>
  <c r="AY222" i="1"/>
  <c r="AX222" i="1"/>
  <c r="AH222" i="1"/>
  <c r="AA222" i="1"/>
  <c r="Y222" i="1"/>
  <c r="X222" i="1"/>
  <c r="W222" i="1"/>
  <c r="Z222" i="1" s="1"/>
  <c r="AB222" i="1" s="1"/>
  <c r="V222" i="1"/>
  <c r="U222" i="1"/>
  <c r="T222" i="1"/>
  <c r="R222" i="1"/>
  <c r="Q222" i="1"/>
  <c r="AY221" i="1"/>
  <c r="AX221" i="1"/>
  <c r="AZ221" i="1" s="1"/>
  <c r="AS221" i="1"/>
  <c r="AO221" i="1"/>
  <c r="AK221" i="1"/>
  <c r="AH221" i="1"/>
  <c r="AC221" i="1"/>
  <c r="AB221" i="1"/>
  <c r="Y221" i="1"/>
  <c r="X221" i="1"/>
  <c r="AA221" i="1" s="1"/>
  <c r="W221" i="1"/>
  <c r="Z221" i="1" s="1"/>
  <c r="V221" i="1"/>
  <c r="U221" i="1"/>
  <c r="AO111" i="1" s="1"/>
  <c r="T221" i="1"/>
  <c r="AK111" i="1" s="1"/>
  <c r="R221" i="1"/>
  <c r="Q221" i="1"/>
  <c r="AY220" i="1"/>
  <c r="AX220" i="1"/>
  <c r="AZ220" i="1" s="1"/>
  <c r="AK220" i="1"/>
  <c r="AH220" i="1"/>
  <c r="AB220" i="1"/>
  <c r="Z220" i="1"/>
  <c r="Y220" i="1"/>
  <c r="X220" i="1"/>
  <c r="AA220" i="1" s="1"/>
  <c r="W220" i="1"/>
  <c r="V220" i="1"/>
  <c r="U220" i="1"/>
  <c r="T220" i="1"/>
  <c r="R220" i="1"/>
  <c r="Q220" i="1"/>
  <c r="AY219" i="1"/>
  <c r="AX219" i="1"/>
  <c r="AS219" i="1"/>
  <c r="AO219" i="1"/>
  <c r="AK219" i="1"/>
  <c r="AH219" i="1"/>
  <c r="Z219" i="1"/>
  <c r="AB219" i="1" s="1"/>
  <c r="Y219" i="1"/>
  <c r="X219" i="1"/>
  <c r="AA219" i="1" s="1"/>
  <c r="W219" i="1"/>
  <c r="V219" i="1"/>
  <c r="U219" i="1"/>
  <c r="T219" i="1"/>
  <c r="R219" i="1"/>
  <c r="Q219" i="1"/>
  <c r="AZ218" i="1"/>
  <c r="AY218" i="1"/>
  <c r="AX218" i="1"/>
  <c r="AO218" i="1"/>
  <c r="AK218" i="1"/>
  <c r="AH218" i="1"/>
  <c r="AB218" i="1"/>
  <c r="AA218" i="1"/>
  <c r="Z218" i="1"/>
  <c r="Y218" i="1"/>
  <c r="X218" i="1"/>
  <c r="W218" i="1"/>
  <c r="V218" i="1"/>
  <c r="U218" i="1"/>
  <c r="AC218" i="1" s="1"/>
  <c r="T218" i="1"/>
  <c r="R218" i="1"/>
  <c r="Q218" i="1"/>
  <c r="AY217" i="1"/>
  <c r="AX217" i="1"/>
  <c r="AZ217" i="1" s="1"/>
  <c r="AS217" i="1"/>
  <c r="AO217" i="1"/>
  <c r="AK217" i="1"/>
  <c r="AH217" i="1"/>
  <c r="AA217" i="1"/>
  <c r="Z217" i="1"/>
  <c r="AB217" i="1" s="1"/>
  <c r="Y217" i="1"/>
  <c r="X217" i="1"/>
  <c r="W217" i="1"/>
  <c r="V217" i="1"/>
  <c r="AS109" i="1" s="1"/>
  <c r="U217" i="1"/>
  <c r="T217" i="1"/>
  <c r="AK109" i="1" s="1"/>
  <c r="R217" i="1"/>
  <c r="Q217" i="1"/>
  <c r="AY216" i="1"/>
  <c r="AX216" i="1"/>
  <c r="AZ216" i="1" s="1"/>
  <c r="AH216" i="1"/>
  <c r="AA216" i="1"/>
  <c r="Z216" i="1"/>
  <c r="AB216" i="1" s="1"/>
  <c r="Y216" i="1"/>
  <c r="X216" i="1"/>
  <c r="W216" i="1"/>
  <c r="V216" i="1"/>
  <c r="U216" i="1"/>
  <c r="T216" i="1"/>
  <c r="R216" i="1"/>
  <c r="Q216" i="1"/>
  <c r="AY215" i="1"/>
  <c r="AX215" i="1"/>
  <c r="AZ215" i="1" s="1"/>
  <c r="AS215" i="1"/>
  <c r="AH215" i="1"/>
  <c r="AC215" i="1"/>
  <c r="AA215" i="1"/>
  <c r="Z215" i="1"/>
  <c r="AB215" i="1" s="1"/>
  <c r="Y215" i="1"/>
  <c r="X215" i="1"/>
  <c r="W215" i="1"/>
  <c r="V215" i="1"/>
  <c r="U215" i="1"/>
  <c r="T215" i="1"/>
  <c r="R215" i="1"/>
  <c r="Q215" i="1"/>
  <c r="AY214" i="1"/>
  <c r="AX214" i="1"/>
  <c r="AZ214" i="1" s="1"/>
  <c r="AS214" i="1"/>
  <c r="AO214" i="1"/>
  <c r="AK214" i="1"/>
  <c r="AH214" i="1"/>
  <c r="Y214" i="1"/>
  <c r="X214" i="1"/>
  <c r="AA214" i="1" s="1"/>
  <c r="W214" i="1"/>
  <c r="Z214" i="1" s="1"/>
  <c r="AB214" i="1" s="1"/>
  <c r="V214" i="1"/>
  <c r="AC214" i="1" s="1"/>
  <c r="U214" i="1"/>
  <c r="T214" i="1"/>
  <c r="R214" i="1"/>
  <c r="Q214" i="1"/>
  <c r="AZ213" i="1"/>
  <c r="AY213" i="1"/>
  <c r="AX213" i="1"/>
  <c r="AO213" i="1"/>
  <c r="AK213" i="1"/>
  <c r="AH213" i="1"/>
  <c r="AC213" i="1"/>
  <c r="Y213" i="1"/>
  <c r="X213" i="1"/>
  <c r="AA213" i="1" s="1"/>
  <c r="W213" i="1"/>
  <c r="Z213" i="1" s="1"/>
  <c r="AB213" i="1" s="1"/>
  <c r="V213" i="1"/>
  <c r="U213" i="1"/>
  <c r="T213" i="1"/>
  <c r="R213" i="1"/>
  <c r="Q213" i="1"/>
  <c r="AZ212" i="1"/>
  <c r="AY212" i="1"/>
  <c r="AX212" i="1"/>
  <c r="AS212" i="1"/>
  <c r="AO212" i="1"/>
  <c r="AK212" i="1"/>
  <c r="AH212" i="1"/>
  <c r="Y212" i="1"/>
  <c r="X212" i="1"/>
  <c r="AA212" i="1" s="1"/>
  <c r="W212" i="1"/>
  <c r="Z212" i="1" s="1"/>
  <c r="AB212" i="1" s="1"/>
  <c r="V212" i="1"/>
  <c r="U212" i="1"/>
  <c r="T212" i="1"/>
  <c r="AK107" i="1" s="1"/>
  <c r="R212" i="1"/>
  <c r="Q212" i="1"/>
  <c r="AY211" i="1"/>
  <c r="AX211" i="1"/>
  <c r="AZ211" i="1" s="1"/>
  <c r="AO211" i="1"/>
  <c r="AH211" i="1"/>
  <c r="AA211" i="1"/>
  <c r="Y211" i="1"/>
  <c r="X211" i="1"/>
  <c r="W211" i="1"/>
  <c r="Z211" i="1" s="1"/>
  <c r="AB211" i="1" s="1"/>
  <c r="V211" i="1"/>
  <c r="AC211" i="1" s="1"/>
  <c r="U211" i="1"/>
  <c r="T211" i="1"/>
  <c r="R211" i="1"/>
  <c r="Q211" i="1"/>
  <c r="AZ210" i="1"/>
  <c r="AY210" i="1"/>
  <c r="AX210" i="1"/>
  <c r="AS210" i="1"/>
  <c r="AO210" i="1"/>
  <c r="AH210" i="1"/>
  <c r="AC210" i="1"/>
  <c r="AB210" i="1"/>
  <c r="Y210" i="1"/>
  <c r="X210" i="1"/>
  <c r="AA210" i="1" s="1"/>
  <c r="W210" i="1"/>
  <c r="Z210" i="1" s="1"/>
  <c r="V210" i="1"/>
  <c r="U210" i="1"/>
  <c r="T210" i="1"/>
  <c r="R210" i="1"/>
  <c r="Q210" i="1"/>
  <c r="AY209" i="1"/>
  <c r="AZ209" i="1" s="1"/>
  <c r="AX209" i="1"/>
  <c r="AS209" i="1"/>
  <c r="AO209" i="1"/>
  <c r="AK209" i="1"/>
  <c r="AH209" i="1"/>
  <c r="Y209" i="1"/>
  <c r="X209" i="1"/>
  <c r="AA209" i="1" s="1"/>
  <c r="W209" i="1"/>
  <c r="Z209" i="1" s="1"/>
  <c r="AB209" i="1" s="1"/>
  <c r="V209" i="1"/>
  <c r="U209" i="1"/>
  <c r="T209" i="1"/>
  <c r="R209" i="1"/>
  <c r="Q209" i="1"/>
  <c r="AY208" i="1"/>
  <c r="AZ208" i="1" s="1"/>
  <c r="AX208" i="1"/>
  <c r="AO208" i="1"/>
  <c r="AK208" i="1"/>
  <c r="AH208" i="1"/>
  <c r="AB208" i="1"/>
  <c r="AA208" i="1"/>
  <c r="Y208" i="1"/>
  <c r="X208" i="1"/>
  <c r="W208" i="1"/>
  <c r="Z208" i="1" s="1"/>
  <c r="V208" i="1"/>
  <c r="U208" i="1"/>
  <c r="T208" i="1"/>
  <c r="R208" i="1"/>
  <c r="Q208" i="1"/>
  <c r="AY207" i="1"/>
  <c r="AX207" i="1"/>
  <c r="AZ207" i="1" s="1"/>
  <c r="AH207" i="1"/>
  <c r="Y207" i="1"/>
  <c r="X207" i="1"/>
  <c r="AA207" i="1" s="1"/>
  <c r="W207" i="1"/>
  <c r="Z207" i="1" s="1"/>
  <c r="AB207" i="1" s="1"/>
  <c r="V207" i="1"/>
  <c r="U207" i="1"/>
  <c r="T207" i="1"/>
  <c r="R207" i="1"/>
  <c r="Q207" i="1"/>
  <c r="AZ206" i="1"/>
  <c r="AY206" i="1"/>
  <c r="AX206" i="1"/>
  <c r="AO206" i="1"/>
  <c r="AK206" i="1"/>
  <c r="AH206" i="1"/>
  <c r="AB206" i="1"/>
  <c r="AA206" i="1"/>
  <c r="Z206" i="1"/>
  <c r="Y206" i="1"/>
  <c r="X206" i="1"/>
  <c r="W206" i="1"/>
  <c r="V206" i="1"/>
  <c r="U206" i="1"/>
  <c r="AC206" i="1" s="1"/>
  <c r="T206" i="1"/>
  <c r="R206" i="1"/>
  <c r="Q206" i="1"/>
  <c r="AY205" i="1"/>
  <c r="AX205" i="1"/>
  <c r="AZ205" i="1" s="1"/>
  <c r="AS205" i="1"/>
  <c r="AO205" i="1"/>
  <c r="AH205" i="1"/>
  <c r="AA205" i="1"/>
  <c r="Y205" i="1"/>
  <c r="X205" i="1"/>
  <c r="W205" i="1"/>
  <c r="Z205" i="1" s="1"/>
  <c r="AB205" i="1" s="1"/>
  <c r="V205" i="1"/>
  <c r="U205" i="1"/>
  <c r="AC205" i="1" s="1"/>
  <c r="T205" i="1"/>
  <c r="R205" i="1"/>
  <c r="Q205" i="1"/>
  <c r="AY204" i="1"/>
  <c r="AX204" i="1"/>
  <c r="AZ204" i="1" s="1"/>
  <c r="AS204" i="1"/>
  <c r="AO204" i="1"/>
  <c r="AH204" i="1"/>
  <c r="AA204" i="1"/>
  <c r="Y204" i="1"/>
  <c r="X204" i="1"/>
  <c r="W204" i="1"/>
  <c r="Z204" i="1" s="1"/>
  <c r="AB204" i="1" s="1"/>
  <c r="V204" i="1"/>
  <c r="AS103" i="1" s="1"/>
  <c r="U204" i="1"/>
  <c r="T204" i="1"/>
  <c r="R204" i="1"/>
  <c r="Q204" i="1"/>
  <c r="AY203" i="1"/>
  <c r="AZ203" i="1" s="1"/>
  <c r="AX203" i="1"/>
  <c r="AS203" i="1"/>
  <c r="AH203" i="1"/>
  <c r="AC203" i="1"/>
  <c r="Z203" i="1"/>
  <c r="AB203" i="1" s="1"/>
  <c r="Y203" i="1"/>
  <c r="X203" i="1"/>
  <c r="AA203" i="1" s="1"/>
  <c r="W203" i="1"/>
  <c r="V203" i="1"/>
  <c r="U203" i="1"/>
  <c r="T203" i="1"/>
  <c r="R203" i="1"/>
  <c r="Q203" i="1"/>
  <c r="AY202" i="1"/>
  <c r="AX202" i="1"/>
  <c r="AZ202" i="1" s="1"/>
  <c r="AH202" i="1"/>
  <c r="AB202" i="1"/>
  <c r="Y202" i="1"/>
  <c r="X202" i="1"/>
  <c r="AA202" i="1" s="1"/>
  <c r="W202" i="1"/>
  <c r="Z202" i="1" s="1"/>
  <c r="V202" i="1"/>
  <c r="U202" i="1"/>
  <c r="T202" i="1"/>
  <c r="AK102" i="1" s="1"/>
  <c r="R202" i="1"/>
  <c r="Q202" i="1"/>
  <c r="AZ201" i="1"/>
  <c r="AY201" i="1"/>
  <c r="AX201" i="1"/>
  <c r="AS201" i="1"/>
  <c r="AO201" i="1"/>
  <c r="AK201" i="1"/>
  <c r="AH201" i="1"/>
  <c r="AC201" i="1"/>
  <c r="AA201" i="1"/>
  <c r="Z201" i="1"/>
  <c r="AB201" i="1" s="1"/>
  <c r="Y201" i="1"/>
  <c r="X201" i="1"/>
  <c r="W201" i="1"/>
  <c r="V201" i="1"/>
  <c r="U201" i="1"/>
  <c r="T201" i="1"/>
  <c r="R201" i="1"/>
  <c r="Q201" i="1"/>
  <c r="AY200" i="1"/>
  <c r="AX200" i="1"/>
  <c r="AZ200" i="1" s="1"/>
  <c r="AS200" i="1"/>
  <c r="AO200" i="1"/>
  <c r="AK200" i="1"/>
  <c r="AH200" i="1"/>
  <c r="Y200" i="1"/>
  <c r="X200" i="1"/>
  <c r="AA200" i="1" s="1"/>
  <c r="W200" i="1"/>
  <c r="Z200" i="1" s="1"/>
  <c r="AB200" i="1" s="1"/>
  <c r="V200" i="1"/>
  <c r="U200" i="1"/>
  <c r="AC200" i="1" s="1"/>
  <c r="T200" i="1"/>
  <c r="AK101" i="1" s="1"/>
  <c r="R200" i="1"/>
  <c r="Q200" i="1"/>
  <c r="AY199" i="1"/>
  <c r="AX199" i="1"/>
  <c r="AS199" i="1"/>
  <c r="AO199" i="1"/>
  <c r="AH199" i="1"/>
  <c r="AA199" i="1"/>
  <c r="Y199" i="1"/>
  <c r="X199" i="1"/>
  <c r="W199" i="1"/>
  <c r="Z199" i="1" s="1"/>
  <c r="AB199" i="1" s="1"/>
  <c r="V199" i="1"/>
  <c r="AS100" i="1" s="1"/>
  <c r="U199" i="1"/>
  <c r="T199" i="1"/>
  <c r="R199" i="1"/>
  <c r="Q199" i="1"/>
  <c r="AY198" i="1"/>
  <c r="AX198" i="1"/>
  <c r="AZ198" i="1" s="1"/>
  <c r="AS198" i="1"/>
  <c r="AO198" i="1"/>
  <c r="AH198" i="1"/>
  <c r="AC198" i="1"/>
  <c r="AB198" i="1"/>
  <c r="AA198" i="1"/>
  <c r="Y198" i="1"/>
  <c r="X198" i="1"/>
  <c r="W198" i="1"/>
  <c r="Z198" i="1" s="1"/>
  <c r="V198" i="1"/>
  <c r="U198" i="1"/>
  <c r="T198" i="1"/>
  <c r="R198" i="1"/>
  <c r="Q198" i="1"/>
  <c r="AY197" i="1"/>
  <c r="AX197" i="1"/>
  <c r="AZ197" i="1" s="1"/>
  <c r="AH197" i="1"/>
  <c r="AC197" i="1"/>
  <c r="AB197" i="1"/>
  <c r="AA197" i="1"/>
  <c r="Y197" i="1"/>
  <c r="X197" i="1"/>
  <c r="W197" i="1"/>
  <c r="Z197" i="1" s="1"/>
  <c r="V197" i="1"/>
  <c r="U197" i="1"/>
  <c r="T197" i="1"/>
  <c r="R197" i="1"/>
  <c r="Q197" i="1"/>
  <c r="AY196" i="1"/>
  <c r="AX196" i="1"/>
  <c r="AZ196" i="1" s="1"/>
  <c r="AK196" i="1"/>
  <c r="AH196" i="1"/>
  <c r="AB196" i="1"/>
  <c r="Y196" i="1"/>
  <c r="X196" i="1"/>
  <c r="AA196" i="1" s="1"/>
  <c r="W196" i="1"/>
  <c r="Z196" i="1" s="1"/>
  <c r="V196" i="1"/>
  <c r="U196" i="1"/>
  <c r="AC196" i="1" s="1"/>
  <c r="T196" i="1"/>
  <c r="R196" i="1"/>
  <c r="Q196" i="1"/>
  <c r="AY195" i="1"/>
  <c r="AZ195" i="1" s="1"/>
  <c r="AX195" i="1"/>
  <c r="AS195" i="1"/>
  <c r="AO195" i="1"/>
  <c r="AK195" i="1"/>
  <c r="AH195" i="1"/>
  <c r="AC195" i="1"/>
  <c r="AB195" i="1"/>
  <c r="AA195" i="1"/>
  <c r="Y195" i="1"/>
  <c r="X195" i="1"/>
  <c r="W195" i="1"/>
  <c r="Z195" i="1" s="1"/>
  <c r="V195" i="1"/>
  <c r="U195" i="1"/>
  <c r="T195" i="1"/>
  <c r="R195" i="1"/>
  <c r="Q195" i="1"/>
  <c r="AZ194" i="1"/>
  <c r="AY194" i="1"/>
  <c r="AX194" i="1"/>
  <c r="AO194" i="1"/>
  <c r="AK194" i="1"/>
  <c r="AH194" i="1"/>
  <c r="Y194" i="1"/>
  <c r="X194" i="1"/>
  <c r="AA194" i="1" s="1"/>
  <c r="W194" i="1"/>
  <c r="Z194" i="1" s="1"/>
  <c r="AB194" i="1" s="1"/>
  <c r="V194" i="1"/>
  <c r="AS98" i="1" s="1"/>
  <c r="U194" i="1"/>
  <c r="T194" i="1"/>
  <c r="AK98" i="1" s="1"/>
  <c r="R194" i="1"/>
  <c r="Q194" i="1"/>
  <c r="AZ193" i="1"/>
  <c r="AY193" i="1"/>
  <c r="AX193" i="1"/>
  <c r="AK193" i="1"/>
  <c r="AH193" i="1"/>
  <c r="AC193" i="1"/>
  <c r="AA193" i="1"/>
  <c r="Z193" i="1"/>
  <c r="AB193" i="1" s="1"/>
  <c r="Y193" i="1"/>
  <c r="X193" i="1"/>
  <c r="W193" i="1"/>
  <c r="V193" i="1"/>
  <c r="U193" i="1"/>
  <c r="T193" i="1"/>
  <c r="R193" i="1"/>
  <c r="Q193" i="1"/>
  <c r="AY192" i="1"/>
  <c r="AX192" i="1"/>
  <c r="AZ192" i="1" s="1"/>
  <c r="AS192" i="1"/>
  <c r="AO192" i="1"/>
  <c r="AK192" i="1"/>
  <c r="AH192" i="1"/>
  <c r="Z192" i="1"/>
  <c r="AB192" i="1" s="1"/>
  <c r="Y192" i="1"/>
  <c r="X192" i="1"/>
  <c r="AA192" i="1" s="1"/>
  <c r="W192" i="1"/>
  <c r="V192" i="1"/>
  <c r="U192" i="1"/>
  <c r="AC192" i="1" s="1"/>
  <c r="T192" i="1"/>
  <c r="R192" i="1"/>
  <c r="Q192" i="1"/>
  <c r="AY191" i="1"/>
  <c r="AZ191" i="1" s="1"/>
  <c r="AX191" i="1"/>
  <c r="AS191" i="1"/>
  <c r="AO191" i="1"/>
  <c r="AK191" i="1"/>
  <c r="AH191" i="1"/>
  <c r="AC191" i="1"/>
  <c r="AA191" i="1"/>
  <c r="Z191" i="1"/>
  <c r="AB191" i="1" s="1"/>
  <c r="Y191" i="1"/>
  <c r="X191" i="1"/>
  <c r="W191" i="1"/>
  <c r="V191" i="1"/>
  <c r="U191" i="1"/>
  <c r="T191" i="1"/>
  <c r="AK96" i="1" s="1"/>
  <c r="R191" i="1"/>
  <c r="Q191" i="1"/>
  <c r="AY190" i="1"/>
  <c r="AX190" i="1"/>
  <c r="AZ190" i="1" s="1"/>
  <c r="AS190" i="1"/>
  <c r="AO190" i="1"/>
  <c r="AK190" i="1"/>
  <c r="AH190" i="1"/>
  <c r="Z190" i="1"/>
  <c r="AB190" i="1" s="1"/>
  <c r="Y190" i="1"/>
  <c r="X190" i="1"/>
  <c r="AA190" i="1" s="1"/>
  <c r="W190" i="1"/>
  <c r="V190" i="1"/>
  <c r="U190" i="1"/>
  <c r="T190" i="1"/>
  <c r="R190" i="1"/>
  <c r="Q190" i="1"/>
  <c r="AY189" i="1"/>
  <c r="AX189" i="1"/>
  <c r="AZ189" i="1" s="1"/>
  <c r="AS189" i="1"/>
  <c r="AO189" i="1"/>
  <c r="AK189" i="1"/>
  <c r="AH189" i="1"/>
  <c r="AA189" i="1"/>
  <c r="Y189" i="1"/>
  <c r="X189" i="1"/>
  <c r="W189" i="1"/>
  <c r="Z189" i="1" s="1"/>
  <c r="AB189" i="1" s="1"/>
  <c r="V189" i="1"/>
  <c r="U189" i="1"/>
  <c r="AC189" i="1" s="1"/>
  <c r="T189" i="1"/>
  <c r="R189" i="1"/>
  <c r="Q189" i="1"/>
  <c r="AZ188" i="1"/>
  <c r="AY188" i="1"/>
  <c r="AX188" i="1"/>
  <c r="AH188" i="1"/>
  <c r="AC188" i="1"/>
  <c r="AA188" i="1"/>
  <c r="Y188" i="1"/>
  <c r="X188" i="1"/>
  <c r="W188" i="1"/>
  <c r="Z188" i="1" s="1"/>
  <c r="AB188" i="1" s="1"/>
  <c r="V188" i="1"/>
  <c r="U188" i="1"/>
  <c r="T188" i="1"/>
  <c r="R188" i="1"/>
  <c r="Q188" i="1"/>
  <c r="AY187" i="1"/>
  <c r="AX187" i="1"/>
  <c r="AZ187" i="1" s="1"/>
  <c r="AO187" i="1"/>
  <c r="AH187" i="1"/>
  <c r="Y187" i="1"/>
  <c r="X187" i="1"/>
  <c r="AA187" i="1" s="1"/>
  <c r="W187" i="1"/>
  <c r="Z187" i="1" s="1"/>
  <c r="AB187" i="1" s="1"/>
  <c r="V187" i="1"/>
  <c r="U187" i="1"/>
  <c r="T187" i="1"/>
  <c r="R187" i="1"/>
  <c r="Q187" i="1"/>
  <c r="AZ186" i="1"/>
  <c r="AY186" i="1"/>
  <c r="AX186" i="1"/>
  <c r="AS186" i="1"/>
  <c r="AO186" i="1"/>
  <c r="AK186" i="1"/>
  <c r="AH186" i="1"/>
  <c r="AC186" i="1"/>
  <c r="Z186" i="1"/>
  <c r="AB186" i="1" s="1"/>
  <c r="Y186" i="1"/>
  <c r="X186" i="1"/>
  <c r="AA186" i="1" s="1"/>
  <c r="W186" i="1"/>
  <c r="V186" i="1"/>
  <c r="U186" i="1"/>
  <c r="T186" i="1"/>
  <c r="R186" i="1"/>
  <c r="Q186" i="1"/>
  <c r="AZ185" i="1"/>
  <c r="AY185" i="1"/>
  <c r="AX185" i="1"/>
  <c r="AS185" i="1"/>
  <c r="AO185" i="1"/>
  <c r="AK185" i="1"/>
  <c r="AH185" i="1"/>
  <c r="Y185" i="1"/>
  <c r="X185" i="1"/>
  <c r="AA185" i="1" s="1"/>
  <c r="W185" i="1"/>
  <c r="Z185" i="1" s="1"/>
  <c r="AB185" i="1" s="1"/>
  <c r="V185" i="1"/>
  <c r="AS93" i="1" s="1"/>
  <c r="U185" i="1"/>
  <c r="AC185" i="1" s="1"/>
  <c r="T185" i="1"/>
  <c r="R185" i="1"/>
  <c r="Q185" i="1"/>
  <c r="AY184" i="1"/>
  <c r="AX184" i="1"/>
  <c r="AZ184" i="1" s="1"/>
  <c r="AS184" i="1"/>
  <c r="AO184" i="1"/>
  <c r="AK184" i="1"/>
  <c r="AH184" i="1"/>
  <c r="AC184" i="1"/>
  <c r="AB184" i="1"/>
  <c r="AA184" i="1"/>
  <c r="Z184" i="1"/>
  <c r="Y184" i="1"/>
  <c r="X184" i="1"/>
  <c r="W184" i="1"/>
  <c r="V184" i="1"/>
  <c r="U184" i="1"/>
  <c r="T184" i="1"/>
  <c r="R184" i="1"/>
  <c r="Q184" i="1"/>
  <c r="AY183" i="1"/>
  <c r="AX183" i="1"/>
  <c r="AZ183" i="1" s="1"/>
  <c r="AS183" i="1"/>
  <c r="AH183" i="1"/>
  <c r="Z183" i="1"/>
  <c r="AB183" i="1" s="1"/>
  <c r="Y183" i="1"/>
  <c r="X183" i="1"/>
  <c r="AA183" i="1" s="1"/>
  <c r="W183" i="1"/>
  <c r="V183" i="1"/>
  <c r="U183" i="1"/>
  <c r="AC183" i="1" s="1"/>
  <c r="T183" i="1"/>
  <c r="R183" i="1"/>
  <c r="Q183" i="1"/>
  <c r="AY182" i="1"/>
  <c r="AZ182" i="1" s="1"/>
  <c r="AX182" i="1"/>
  <c r="AK182" i="1"/>
  <c r="AH182" i="1"/>
  <c r="AC182" i="1"/>
  <c r="Y182" i="1"/>
  <c r="X182" i="1"/>
  <c r="AA182" i="1" s="1"/>
  <c r="W182" i="1"/>
  <c r="Z182" i="1" s="1"/>
  <c r="AB182" i="1" s="1"/>
  <c r="V182" i="1"/>
  <c r="U182" i="1"/>
  <c r="T182" i="1"/>
  <c r="R182" i="1"/>
  <c r="Q182" i="1"/>
  <c r="AY181" i="1"/>
  <c r="AZ181" i="1" s="1"/>
  <c r="AX181" i="1"/>
  <c r="AK181" i="1"/>
  <c r="AH181" i="1"/>
  <c r="AC181" i="1"/>
  <c r="AB181" i="1"/>
  <c r="Z181" i="1"/>
  <c r="Y181" i="1"/>
  <c r="X181" i="1"/>
  <c r="AA181" i="1" s="1"/>
  <c r="W181" i="1"/>
  <c r="V181" i="1"/>
  <c r="U181" i="1"/>
  <c r="T181" i="1"/>
  <c r="R181" i="1"/>
  <c r="Q181" i="1"/>
  <c r="AY180" i="1"/>
  <c r="AZ180" i="1" s="1"/>
  <c r="AX180" i="1"/>
  <c r="AH180" i="1"/>
  <c r="Y180" i="1"/>
  <c r="X180" i="1"/>
  <c r="AA180" i="1" s="1"/>
  <c r="W180" i="1"/>
  <c r="Z180" i="1" s="1"/>
  <c r="AB180" i="1" s="1"/>
  <c r="V180" i="1"/>
  <c r="AS92" i="1" s="1"/>
  <c r="U180" i="1"/>
  <c r="AC180" i="1" s="1"/>
  <c r="T180" i="1"/>
  <c r="AK92" i="1" s="1"/>
  <c r="R180" i="1"/>
  <c r="Q180" i="1"/>
  <c r="AY179" i="1"/>
  <c r="AZ179" i="1" s="1"/>
  <c r="AX179" i="1"/>
  <c r="AO179" i="1"/>
  <c r="AK179" i="1"/>
  <c r="AH179" i="1"/>
  <c r="AC179" i="1"/>
  <c r="AA179" i="1"/>
  <c r="Z179" i="1"/>
  <c r="AB179" i="1" s="1"/>
  <c r="Y179" i="1"/>
  <c r="X179" i="1"/>
  <c r="W179" i="1"/>
  <c r="V179" i="1"/>
  <c r="U179" i="1"/>
  <c r="T179" i="1"/>
  <c r="R179" i="1"/>
  <c r="Q179" i="1"/>
  <c r="AY178" i="1"/>
  <c r="AX178" i="1"/>
  <c r="AZ178" i="1" s="1"/>
  <c r="AH178" i="1"/>
  <c r="Y178" i="1"/>
  <c r="X178" i="1"/>
  <c r="AA178" i="1" s="1"/>
  <c r="W178" i="1"/>
  <c r="Z178" i="1" s="1"/>
  <c r="AB178" i="1" s="1"/>
  <c r="V178" i="1"/>
  <c r="U178" i="1"/>
  <c r="AC178" i="1" s="1"/>
  <c r="T178" i="1"/>
  <c r="R178" i="1"/>
  <c r="Q178" i="1"/>
  <c r="AY177" i="1"/>
  <c r="AX177" i="1"/>
  <c r="AS177" i="1"/>
  <c r="AO177" i="1"/>
  <c r="AK177" i="1"/>
  <c r="AH177" i="1"/>
  <c r="AA177" i="1"/>
  <c r="Y177" i="1"/>
  <c r="X177" i="1"/>
  <c r="W177" i="1"/>
  <c r="Z177" i="1" s="1"/>
  <c r="AB177" i="1" s="1"/>
  <c r="V177" i="1"/>
  <c r="U177" i="1"/>
  <c r="T177" i="1"/>
  <c r="AK89" i="1" s="1"/>
  <c r="R177" i="1"/>
  <c r="Q177" i="1"/>
  <c r="AY176" i="1"/>
  <c r="AX176" i="1"/>
  <c r="AZ176" i="1" s="1"/>
  <c r="AH176" i="1"/>
  <c r="AC176" i="1"/>
  <c r="Z176" i="1"/>
  <c r="AB176" i="1" s="1"/>
  <c r="Y176" i="1"/>
  <c r="X176" i="1"/>
  <c r="AA176" i="1" s="1"/>
  <c r="W176" i="1"/>
  <c r="V176" i="1"/>
  <c r="U176" i="1"/>
  <c r="T176" i="1"/>
  <c r="R176" i="1"/>
  <c r="Q176" i="1"/>
  <c r="AY175" i="1"/>
  <c r="AX175" i="1"/>
  <c r="AO175" i="1"/>
  <c r="AK175" i="1"/>
  <c r="AH175" i="1"/>
  <c r="Y175" i="1"/>
  <c r="X175" i="1"/>
  <c r="AA175" i="1" s="1"/>
  <c r="W175" i="1"/>
  <c r="Z175" i="1" s="1"/>
  <c r="AB175" i="1" s="1"/>
  <c r="V175" i="1"/>
  <c r="U175" i="1"/>
  <c r="AC175" i="1" s="1"/>
  <c r="T175" i="1"/>
  <c r="R175" i="1"/>
  <c r="Q175" i="1"/>
  <c r="AZ174" i="1"/>
  <c r="AY174" i="1"/>
  <c r="AX174" i="1"/>
  <c r="AS174" i="1"/>
  <c r="AO174" i="1"/>
  <c r="AK174" i="1"/>
  <c r="AH174" i="1"/>
  <c r="AC174" i="1"/>
  <c r="AA174" i="1"/>
  <c r="Z174" i="1"/>
  <c r="AB174" i="1" s="1"/>
  <c r="Y174" i="1"/>
  <c r="X174" i="1"/>
  <c r="W174" i="1"/>
  <c r="V174" i="1"/>
  <c r="U174" i="1"/>
  <c r="T174" i="1"/>
  <c r="R174" i="1"/>
  <c r="Q174" i="1"/>
  <c r="AY173" i="1"/>
  <c r="AX173" i="1"/>
  <c r="AZ173" i="1" s="1"/>
  <c r="AS173" i="1"/>
  <c r="AO173" i="1"/>
  <c r="AH173" i="1"/>
  <c r="Z173" i="1"/>
  <c r="AB173" i="1" s="1"/>
  <c r="Y173" i="1"/>
  <c r="X173" i="1"/>
  <c r="AA173" i="1" s="1"/>
  <c r="W173" i="1"/>
  <c r="V173" i="1"/>
  <c r="U173" i="1"/>
  <c r="AC173" i="1" s="1"/>
  <c r="T173" i="1"/>
  <c r="R173" i="1"/>
  <c r="Q173" i="1"/>
  <c r="AY172" i="1"/>
  <c r="AX172" i="1"/>
  <c r="AZ172" i="1" s="1"/>
  <c r="AS172" i="1"/>
  <c r="AO172" i="1"/>
  <c r="AK172" i="1"/>
  <c r="AH172" i="1"/>
  <c r="AA172" i="1"/>
  <c r="Z172" i="1"/>
  <c r="AB172" i="1" s="1"/>
  <c r="Y172" i="1"/>
  <c r="X172" i="1"/>
  <c r="W172" i="1"/>
  <c r="V172" i="1"/>
  <c r="U172" i="1"/>
  <c r="T172" i="1"/>
  <c r="AK87" i="1" s="1"/>
  <c r="R172" i="1"/>
  <c r="Q172" i="1"/>
  <c r="AY171" i="1"/>
  <c r="AX171" i="1"/>
  <c r="AZ171" i="1" s="1"/>
  <c r="AS171" i="1"/>
  <c r="AH171" i="1"/>
  <c r="AC171" i="1"/>
  <c r="AB171" i="1"/>
  <c r="Y171" i="1"/>
  <c r="X171" i="1"/>
  <c r="AA171" i="1" s="1"/>
  <c r="W171" i="1"/>
  <c r="Z171" i="1" s="1"/>
  <c r="V171" i="1"/>
  <c r="U171" i="1"/>
  <c r="T171" i="1"/>
  <c r="R171" i="1"/>
  <c r="Q171" i="1"/>
  <c r="AY170" i="1"/>
  <c r="AX170" i="1"/>
  <c r="AZ170" i="1" s="1"/>
  <c r="AO170" i="1"/>
  <c r="AK170" i="1"/>
  <c r="AH170" i="1"/>
  <c r="Y170" i="1"/>
  <c r="X170" i="1"/>
  <c r="AA170" i="1" s="1"/>
  <c r="W170" i="1"/>
  <c r="Z170" i="1" s="1"/>
  <c r="AB170" i="1" s="1"/>
  <c r="V170" i="1"/>
  <c r="AS86" i="1" s="1"/>
  <c r="U170" i="1"/>
  <c r="T170" i="1"/>
  <c r="R170" i="1"/>
  <c r="Q170" i="1"/>
  <c r="AY169" i="1"/>
  <c r="AZ169" i="1" s="1"/>
  <c r="AX169" i="1"/>
  <c r="AK169" i="1"/>
  <c r="AH169" i="1"/>
  <c r="AC169" i="1"/>
  <c r="AA169" i="1"/>
  <c r="Z169" i="1"/>
  <c r="AB169" i="1" s="1"/>
  <c r="Y169" i="1"/>
  <c r="X169" i="1"/>
  <c r="W169" i="1"/>
  <c r="V169" i="1"/>
  <c r="U169" i="1"/>
  <c r="T169" i="1"/>
  <c r="R169" i="1"/>
  <c r="Q169" i="1"/>
  <c r="AY168" i="1"/>
  <c r="AX168" i="1"/>
  <c r="AZ168" i="1" s="1"/>
  <c r="AS168" i="1"/>
  <c r="AO168" i="1"/>
  <c r="AH168" i="1"/>
  <c r="Z168" i="1"/>
  <c r="AB168" i="1" s="1"/>
  <c r="Y168" i="1"/>
  <c r="X168" i="1"/>
  <c r="AA168" i="1" s="1"/>
  <c r="W168" i="1"/>
  <c r="V168" i="1"/>
  <c r="U168" i="1"/>
  <c r="AC168" i="1" s="1"/>
  <c r="T168" i="1"/>
  <c r="AK85" i="1" s="1"/>
  <c r="R168" i="1"/>
  <c r="Q168" i="1"/>
  <c r="AY167" i="1"/>
  <c r="AZ167" i="1" s="1"/>
  <c r="AX167" i="1"/>
  <c r="AO167" i="1"/>
  <c r="AK167" i="1"/>
  <c r="AH167" i="1"/>
  <c r="AA167" i="1"/>
  <c r="Z167" i="1"/>
  <c r="AB167" i="1" s="1"/>
  <c r="Y167" i="1"/>
  <c r="X167" i="1"/>
  <c r="W167" i="1"/>
  <c r="V167" i="1"/>
  <c r="U167" i="1"/>
  <c r="AC167" i="1" s="1"/>
  <c r="T167" i="1"/>
  <c r="AK84" i="1" s="1"/>
  <c r="R167" i="1"/>
  <c r="Q167" i="1"/>
  <c r="AY166" i="1"/>
  <c r="AX166" i="1"/>
  <c r="AZ166" i="1" s="1"/>
  <c r="AK166" i="1"/>
  <c r="AH166" i="1"/>
  <c r="Y166" i="1"/>
  <c r="X166" i="1"/>
  <c r="AA166" i="1" s="1"/>
  <c r="W166" i="1"/>
  <c r="Z166" i="1" s="1"/>
  <c r="AB166" i="1" s="1"/>
  <c r="V166" i="1"/>
  <c r="U166" i="1"/>
  <c r="T166" i="1"/>
  <c r="R166" i="1"/>
  <c r="Q166" i="1"/>
  <c r="AY165" i="1"/>
  <c r="AX165" i="1"/>
  <c r="AS165" i="1"/>
  <c r="AO165" i="1"/>
  <c r="AK165" i="1"/>
  <c r="AH165" i="1"/>
  <c r="AC165" i="1"/>
  <c r="AA165" i="1"/>
  <c r="Y165" i="1"/>
  <c r="X165" i="1"/>
  <c r="W165" i="1"/>
  <c r="Z165" i="1" s="1"/>
  <c r="AB165" i="1" s="1"/>
  <c r="V165" i="1"/>
  <c r="U165" i="1"/>
  <c r="T165" i="1"/>
  <c r="AK83" i="1" s="1"/>
  <c r="R165" i="1"/>
  <c r="Q165" i="1"/>
  <c r="AY164" i="1"/>
  <c r="AZ164" i="1" s="1"/>
  <c r="AX164" i="1"/>
  <c r="AH164" i="1"/>
  <c r="Y164" i="1"/>
  <c r="X164" i="1"/>
  <c r="AA164" i="1" s="1"/>
  <c r="W164" i="1"/>
  <c r="Z164" i="1" s="1"/>
  <c r="AB164" i="1" s="1"/>
  <c r="V164" i="1"/>
  <c r="U164" i="1"/>
  <c r="T164" i="1"/>
  <c r="R164" i="1"/>
  <c r="Q164" i="1"/>
  <c r="AY163" i="1"/>
  <c r="AX163" i="1"/>
  <c r="AZ163" i="1" s="1"/>
  <c r="AS163" i="1"/>
  <c r="AO163" i="1"/>
  <c r="AK163" i="1"/>
  <c r="AH163" i="1"/>
  <c r="AC163" i="1"/>
  <c r="Y163" i="1"/>
  <c r="X163" i="1"/>
  <c r="AA163" i="1" s="1"/>
  <c r="W163" i="1"/>
  <c r="Z163" i="1" s="1"/>
  <c r="AB163" i="1" s="1"/>
  <c r="V163" i="1"/>
  <c r="U163" i="1"/>
  <c r="AO82" i="1" s="1"/>
  <c r="T163" i="1"/>
  <c r="R163" i="1"/>
  <c r="Q163" i="1"/>
  <c r="AZ162" i="1"/>
  <c r="AY162" i="1"/>
  <c r="AX162" i="1"/>
  <c r="AS162" i="1"/>
  <c r="AO162" i="1"/>
  <c r="AK162" i="1"/>
  <c r="AH162" i="1"/>
  <c r="AC162" i="1"/>
  <c r="AA162" i="1"/>
  <c r="Z162" i="1"/>
  <c r="AB162" i="1" s="1"/>
  <c r="Y162" i="1"/>
  <c r="X162" i="1"/>
  <c r="W162" i="1"/>
  <c r="V162" i="1"/>
  <c r="U162" i="1"/>
  <c r="T162" i="1"/>
  <c r="R162" i="1"/>
  <c r="Q162" i="1"/>
  <c r="AY161" i="1"/>
  <c r="AX161" i="1"/>
  <c r="AZ161" i="1" s="1"/>
  <c r="AS161" i="1"/>
  <c r="AO161" i="1"/>
  <c r="AH161" i="1"/>
  <c r="Y161" i="1"/>
  <c r="X161" i="1"/>
  <c r="AA161" i="1" s="1"/>
  <c r="W161" i="1"/>
  <c r="Z161" i="1" s="1"/>
  <c r="AB161" i="1" s="1"/>
  <c r="V161" i="1"/>
  <c r="U161" i="1"/>
  <c r="T161" i="1"/>
  <c r="R161" i="1"/>
  <c r="Q161" i="1"/>
  <c r="AY160" i="1"/>
  <c r="AX160" i="1"/>
  <c r="AZ160" i="1" s="1"/>
  <c r="AS160" i="1"/>
  <c r="AK160" i="1"/>
  <c r="AH160" i="1"/>
  <c r="AA160" i="1"/>
  <c r="Z160" i="1"/>
  <c r="AB160" i="1" s="1"/>
  <c r="Y160" i="1"/>
  <c r="X160" i="1"/>
  <c r="W160" i="1"/>
  <c r="V160" i="1"/>
  <c r="AS81" i="1" s="1"/>
  <c r="U160" i="1"/>
  <c r="AC160" i="1" s="1"/>
  <c r="T160" i="1"/>
  <c r="R160" i="1"/>
  <c r="Q160" i="1"/>
  <c r="AZ159" i="1"/>
  <c r="AY159" i="1"/>
  <c r="AX159" i="1"/>
  <c r="AS159" i="1"/>
  <c r="AH159" i="1"/>
  <c r="AC159" i="1"/>
  <c r="AA159" i="1"/>
  <c r="Z159" i="1"/>
  <c r="AB159" i="1" s="1"/>
  <c r="Y159" i="1"/>
  <c r="X159" i="1"/>
  <c r="W159" i="1"/>
  <c r="V159" i="1"/>
  <c r="U159" i="1"/>
  <c r="T159" i="1"/>
  <c r="R159" i="1"/>
  <c r="Q159" i="1"/>
  <c r="AY158" i="1"/>
  <c r="AX158" i="1"/>
  <c r="AZ158" i="1" s="1"/>
  <c r="AS158" i="1"/>
  <c r="AO158" i="1"/>
  <c r="AK158" i="1"/>
  <c r="AH158" i="1"/>
  <c r="AB158" i="1"/>
  <c r="Y158" i="1"/>
  <c r="X158" i="1"/>
  <c r="AA158" i="1" s="1"/>
  <c r="W158" i="1"/>
  <c r="Z158" i="1" s="1"/>
  <c r="V158" i="1"/>
  <c r="U158" i="1"/>
  <c r="T158" i="1"/>
  <c r="R158" i="1"/>
  <c r="Q158" i="1"/>
  <c r="AZ157" i="1"/>
  <c r="AY157" i="1"/>
  <c r="AX157" i="1"/>
  <c r="AH157" i="1"/>
  <c r="Y157" i="1"/>
  <c r="X157" i="1"/>
  <c r="AA157" i="1" s="1"/>
  <c r="W157" i="1"/>
  <c r="Z157" i="1" s="1"/>
  <c r="AB157" i="1" s="1"/>
  <c r="V157" i="1"/>
  <c r="AS79" i="1" s="1"/>
  <c r="U157" i="1"/>
  <c r="T157" i="1"/>
  <c r="R157" i="1"/>
  <c r="Q157" i="1"/>
  <c r="AY156" i="1"/>
  <c r="AZ156" i="1" s="1"/>
  <c r="AX156" i="1"/>
  <c r="AO156" i="1"/>
  <c r="AK156" i="1"/>
  <c r="AH156" i="1"/>
  <c r="AC156" i="1"/>
  <c r="Z156" i="1"/>
  <c r="AB156" i="1" s="1"/>
  <c r="Y156" i="1"/>
  <c r="X156" i="1"/>
  <c r="AA156" i="1" s="1"/>
  <c r="W156" i="1"/>
  <c r="V156" i="1"/>
  <c r="U156" i="1"/>
  <c r="T156" i="1"/>
  <c r="R156" i="1"/>
  <c r="Q156" i="1"/>
  <c r="AY155" i="1"/>
  <c r="AZ155" i="1" s="1"/>
  <c r="AX155" i="1"/>
  <c r="AS155" i="1"/>
  <c r="AO155" i="1"/>
  <c r="AK155" i="1"/>
  <c r="AH155" i="1"/>
  <c r="Y155" i="1"/>
  <c r="X155" i="1"/>
  <c r="AA155" i="1" s="1"/>
  <c r="W155" i="1"/>
  <c r="Z155" i="1" s="1"/>
  <c r="AB155" i="1" s="1"/>
  <c r="V155" i="1"/>
  <c r="U155" i="1"/>
  <c r="T155" i="1"/>
  <c r="R155" i="1"/>
  <c r="Q155" i="1"/>
  <c r="AY154" i="1"/>
  <c r="AX154" i="1"/>
  <c r="AZ154" i="1" s="1"/>
  <c r="AS154" i="1"/>
  <c r="AO154" i="1"/>
  <c r="AK154" i="1"/>
  <c r="AH154" i="1"/>
  <c r="AA154" i="1"/>
  <c r="Z154" i="1"/>
  <c r="AB154" i="1" s="1"/>
  <c r="Y154" i="1"/>
  <c r="X154" i="1"/>
  <c r="W154" i="1"/>
  <c r="V154" i="1"/>
  <c r="U154" i="1"/>
  <c r="AC154" i="1" s="1"/>
  <c r="T154" i="1"/>
  <c r="R154" i="1"/>
  <c r="Q154" i="1"/>
  <c r="AY153" i="1"/>
  <c r="AX153" i="1"/>
  <c r="AZ153" i="1" s="1"/>
  <c r="AS153" i="1"/>
  <c r="AO153" i="1"/>
  <c r="AK153" i="1"/>
  <c r="AH153" i="1"/>
  <c r="AA153" i="1"/>
  <c r="Y153" i="1"/>
  <c r="X153" i="1"/>
  <c r="W153" i="1"/>
  <c r="Z153" i="1" s="1"/>
  <c r="AB153" i="1" s="1"/>
  <c r="V153" i="1"/>
  <c r="U153" i="1"/>
  <c r="T153" i="1"/>
  <c r="R153" i="1"/>
  <c r="Q153" i="1"/>
  <c r="AY152" i="1"/>
  <c r="AX152" i="1"/>
  <c r="AZ152" i="1" s="1"/>
  <c r="AS152" i="1"/>
  <c r="AO152" i="1"/>
  <c r="AH152" i="1"/>
  <c r="AC152" i="1"/>
  <c r="AB152" i="1"/>
  <c r="Z152" i="1"/>
  <c r="Y152" i="1"/>
  <c r="X152" i="1"/>
  <c r="AA152" i="1" s="1"/>
  <c r="W152" i="1"/>
  <c r="V152" i="1"/>
  <c r="U152" i="1"/>
  <c r="T152" i="1"/>
  <c r="AK77" i="1" s="1"/>
  <c r="R152" i="1"/>
  <c r="Q152" i="1"/>
  <c r="AY151" i="1"/>
  <c r="AZ151" i="1" s="1"/>
  <c r="AX151" i="1"/>
  <c r="AO151" i="1"/>
  <c r="AK151" i="1"/>
  <c r="AH151" i="1"/>
  <c r="Y151" i="1"/>
  <c r="X151" i="1"/>
  <c r="AA151" i="1" s="1"/>
  <c r="W151" i="1"/>
  <c r="Z151" i="1" s="1"/>
  <c r="AB151" i="1" s="1"/>
  <c r="V151" i="1"/>
  <c r="AS76" i="1" s="1"/>
  <c r="U151" i="1"/>
  <c r="T151" i="1"/>
  <c r="R151" i="1"/>
  <c r="Q151" i="1"/>
  <c r="AY150" i="1"/>
  <c r="AX150" i="1"/>
  <c r="AS150" i="1"/>
  <c r="AO150" i="1"/>
  <c r="AK150" i="1"/>
  <c r="AH150" i="1"/>
  <c r="AC150" i="1"/>
  <c r="AA150" i="1"/>
  <c r="Z150" i="1"/>
  <c r="AB150" i="1" s="1"/>
  <c r="Y150" i="1"/>
  <c r="X150" i="1"/>
  <c r="W150" i="1"/>
  <c r="V150" i="1"/>
  <c r="U150" i="1"/>
  <c r="T150" i="1"/>
  <c r="R150" i="1"/>
  <c r="Q150" i="1"/>
  <c r="AY149" i="1"/>
  <c r="AX149" i="1"/>
  <c r="AZ149" i="1" s="1"/>
  <c r="AS149" i="1"/>
  <c r="AO149" i="1"/>
  <c r="AH149" i="1"/>
  <c r="Y149" i="1"/>
  <c r="X149" i="1"/>
  <c r="AA149" i="1" s="1"/>
  <c r="W149" i="1"/>
  <c r="Z149" i="1" s="1"/>
  <c r="AB149" i="1" s="1"/>
  <c r="V149" i="1"/>
  <c r="U149" i="1"/>
  <c r="AC149" i="1" s="1"/>
  <c r="T149" i="1"/>
  <c r="R149" i="1"/>
  <c r="Q149" i="1"/>
  <c r="AY148" i="1"/>
  <c r="AX148" i="1"/>
  <c r="AZ148" i="1" s="1"/>
  <c r="AK148" i="1"/>
  <c r="AH148" i="1"/>
  <c r="AC148" i="1"/>
  <c r="AB148" i="1"/>
  <c r="Y148" i="1"/>
  <c r="X148" i="1"/>
  <c r="AA148" i="1" s="1"/>
  <c r="W148" i="1"/>
  <c r="Z148" i="1" s="1"/>
  <c r="V148" i="1"/>
  <c r="U148" i="1"/>
  <c r="T148" i="1"/>
  <c r="R148" i="1"/>
  <c r="Q148" i="1"/>
  <c r="AY147" i="1"/>
  <c r="AX147" i="1"/>
  <c r="AZ147" i="1" s="1"/>
  <c r="AO147" i="1"/>
  <c r="AK147" i="1"/>
  <c r="AH147" i="1"/>
  <c r="Z147" i="1"/>
  <c r="AB147" i="1" s="1"/>
  <c r="Y147" i="1"/>
  <c r="X147" i="1"/>
  <c r="AA147" i="1" s="1"/>
  <c r="W147" i="1"/>
  <c r="V147" i="1"/>
  <c r="AC147" i="1" s="1"/>
  <c r="U147" i="1"/>
  <c r="T147" i="1"/>
  <c r="R147" i="1"/>
  <c r="Q147" i="1"/>
  <c r="AY146" i="1"/>
  <c r="AX146" i="1"/>
  <c r="AZ146" i="1" s="1"/>
  <c r="AK146" i="1"/>
  <c r="AH146" i="1"/>
  <c r="AC146" i="1"/>
  <c r="Z146" i="1"/>
  <c r="AB146" i="1" s="1"/>
  <c r="Y146" i="1"/>
  <c r="X146" i="1"/>
  <c r="AA146" i="1" s="1"/>
  <c r="W146" i="1"/>
  <c r="V146" i="1"/>
  <c r="U146" i="1"/>
  <c r="T146" i="1"/>
  <c r="AK74" i="1" s="1"/>
  <c r="R146" i="1"/>
  <c r="Q146" i="1"/>
  <c r="AY145" i="1"/>
  <c r="AX145" i="1"/>
  <c r="AZ145" i="1" s="1"/>
  <c r="AS145" i="1"/>
  <c r="AO145" i="1"/>
  <c r="AK145" i="1"/>
  <c r="AH145" i="1"/>
  <c r="Z145" i="1"/>
  <c r="AB145" i="1" s="1"/>
  <c r="Y145" i="1"/>
  <c r="X145" i="1"/>
  <c r="AA145" i="1" s="1"/>
  <c r="W145" i="1"/>
  <c r="V145" i="1"/>
  <c r="U145" i="1"/>
  <c r="T145" i="1"/>
  <c r="R145" i="1"/>
  <c r="Q145" i="1"/>
  <c r="AY144" i="1"/>
  <c r="AX144" i="1"/>
  <c r="AZ144" i="1" s="1"/>
  <c r="AO144" i="1"/>
  <c r="AK144" i="1"/>
  <c r="AH144" i="1"/>
  <c r="AA144" i="1"/>
  <c r="Z144" i="1"/>
  <c r="AB144" i="1" s="1"/>
  <c r="Y144" i="1"/>
  <c r="X144" i="1"/>
  <c r="W144" i="1"/>
  <c r="V144" i="1"/>
  <c r="AS73" i="1" s="1"/>
  <c r="U144" i="1"/>
  <c r="AO73" i="1" s="1"/>
  <c r="T144" i="1"/>
  <c r="R144" i="1"/>
  <c r="Q144" i="1"/>
  <c r="AZ143" i="1"/>
  <c r="AY143" i="1"/>
  <c r="AX143" i="1"/>
  <c r="AS143" i="1"/>
  <c r="AO143" i="1"/>
  <c r="AK143" i="1"/>
  <c r="AH143" i="1"/>
  <c r="AC143" i="1"/>
  <c r="AB143" i="1"/>
  <c r="Z143" i="1"/>
  <c r="Y143" i="1"/>
  <c r="X143" i="1"/>
  <c r="AA143" i="1" s="1"/>
  <c r="W143" i="1"/>
  <c r="V143" i="1"/>
  <c r="U143" i="1"/>
  <c r="T143" i="1"/>
  <c r="R143" i="1"/>
  <c r="Q143" i="1"/>
  <c r="AY142" i="1"/>
  <c r="AZ142" i="1" s="1"/>
  <c r="AX142" i="1"/>
  <c r="AS142" i="1"/>
  <c r="AO142" i="1"/>
  <c r="AK142" i="1"/>
  <c r="AH142" i="1"/>
  <c r="Y142" i="1"/>
  <c r="X142" i="1"/>
  <c r="AA142" i="1" s="1"/>
  <c r="W142" i="1"/>
  <c r="Z142" i="1" s="1"/>
  <c r="AB142" i="1" s="1"/>
  <c r="V142" i="1"/>
  <c r="AS72" i="1" s="1"/>
  <c r="U142" i="1"/>
  <c r="AC142" i="1" s="1"/>
  <c r="T142" i="1"/>
  <c r="R142" i="1"/>
  <c r="Q142" i="1"/>
  <c r="AZ141" i="1"/>
  <c r="AY141" i="1"/>
  <c r="AX141" i="1"/>
  <c r="AS141" i="1"/>
  <c r="AO141" i="1"/>
  <c r="AK141" i="1"/>
  <c r="AH141" i="1"/>
  <c r="AC141" i="1"/>
  <c r="Z141" i="1"/>
  <c r="AB141" i="1" s="1"/>
  <c r="Y141" i="1"/>
  <c r="X141" i="1"/>
  <c r="AA141" i="1" s="1"/>
  <c r="W141" i="1"/>
  <c r="V141" i="1"/>
  <c r="U141" i="1"/>
  <c r="T141" i="1"/>
  <c r="R141" i="1"/>
  <c r="Q141" i="1"/>
  <c r="AY140" i="1"/>
  <c r="AZ140" i="1" s="1"/>
  <c r="AX140" i="1"/>
  <c r="AS140" i="1"/>
  <c r="AO140" i="1"/>
  <c r="AK140" i="1"/>
  <c r="AH140" i="1"/>
  <c r="Y140" i="1"/>
  <c r="X140" i="1"/>
  <c r="AA140" i="1" s="1"/>
  <c r="W140" i="1"/>
  <c r="Z140" i="1" s="1"/>
  <c r="AB140" i="1" s="1"/>
  <c r="V140" i="1"/>
  <c r="U140" i="1"/>
  <c r="T140" i="1"/>
  <c r="R140" i="1"/>
  <c r="Q140" i="1"/>
  <c r="AZ139" i="1"/>
  <c r="AY139" i="1"/>
  <c r="AX139" i="1"/>
  <c r="AO139" i="1"/>
  <c r="AH139" i="1"/>
  <c r="Y139" i="1"/>
  <c r="X139" i="1"/>
  <c r="AA139" i="1" s="1"/>
  <c r="W139" i="1"/>
  <c r="Z139" i="1" s="1"/>
  <c r="AB139" i="1" s="1"/>
  <c r="V139" i="1"/>
  <c r="U139" i="1"/>
  <c r="T139" i="1"/>
  <c r="R139" i="1"/>
  <c r="Q139" i="1"/>
  <c r="AY138" i="1"/>
  <c r="AX138" i="1"/>
  <c r="AZ138" i="1" s="1"/>
  <c r="AH138" i="1"/>
  <c r="AC138" i="1"/>
  <c r="AA138" i="1"/>
  <c r="Y138" i="1"/>
  <c r="X138" i="1"/>
  <c r="W138" i="1"/>
  <c r="Z138" i="1" s="1"/>
  <c r="AB138" i="1" s="1"/>
  <c r="V138" i="1"/>
  <c r="U138" i="1"/>
  <c r="AO70" i="1" s="1"/>
  <c r="T138" i="1"/>
  <c r="AK70" i="1" s="1"/>
  <c r="R138" i="1"/>
  <c r="Q138" i="1"/>
  <c r="AZ137" i="1"/>
  <c r="AY137" i="1"/>
  <c r="AX137" i="1"/>
  <c r="AO137" i="1"/>
  <c r="AH137" i="1"/>
  <c r="AC137" i="1"/>
  <c r="Y137" i="1"/>
  <c r="X137" i="1"/>
  <c r="AA137" i="1" s="1"/>
  <c r="W137" i="1"/>
  <c r="Z137" i="1" s="1"/>
  <c r="AB137" i="1" s="1"/>
  <c r="V137" i="1"/>
  <c r="U137" i="1"/>
  <c r="T137" i="1"/>
  <c r="R137" i="1"/>
  <c r="Q137" i="1"/>
  <c r="AZ136" i="1"/>
  <c r="AY136" i="1"/>
  <c r="AX136" i="1"/>
  <c r="AS136" i="1"/>
  <c r="AO136" i="1"/>
  <c r="AH136" i="1"/>
  <c r="Y136" i="1"/>
  <c r="X136" i="1"/>
  <c r="AA136" i="1" s="1"/>
  <c r="W136" i="1"/>
  <c r="Z136" i="1" s="1"/>
  <c r="AB136" i="1" s="1"/>
  <c r="V136" i="1"/>
  <c r="AS69" i="1" s="1"/>
  <c r="U136" i="1"/>
  <c r="T136" i="1"/>
  <c r="AK69" i="1" s="1"/>
  <c r="R136" i="1"/>
  <c r="Q136" i="1"/>
  <c r="AZ135" i="1"/>
  <c r="AY135" i="1"/>
  <c r="AX135" i="1"/>
  <c r="AO135" i="1"/>
  <c r="AK135" i="1"/>
  <c r="AH135" i="1"/>
  <c r="AC135" i="1"/>
  <c r="AA135" i="1"/>
  <c r="Z135" i="1"/>
  <c r="AB135" i="1" s="1"/>
  <c r="Y135" i="1"/>
  <c r="X135" i="1"/>
  <c r="W135" i="1"/>
  <c r="V135" i="1"/>
  <c r="U135" i="1"/>
  <c r="T135" i="1"/>
  <c r="R135" i="1"/>
  <c r="Q135" i="1"/>
  <c r="AY134" i="1"/>
  <c r="AX134" i="1"/>
  <c r="AZ134" i="1" s="1"/>
  <c r="AS134" i="1"/>
  <c r="AO134" i="1"/>
  <c r="AK134" i="1"/>
  <c r="AH134" i="1"/>
  <c r="Y134" i="1"/>
  <c r="X134" i="1"/>
  <c r="AA134" i="1" s="1"/>
  <c r="W134" i="1"/>
  <c r="Z134" i="1" s="1"/>
  <c r="AB134" i="1" s="1"/>
  <c r="V134" i="1"/>
  <c r="AS68" i="1" s="1"/>
  <c r="U134" i="1"/>
  <c r="T134" i="1"/>
  <c r="AK68" i="1" s="1"/>
  <c r="R134" i="1"/>
  <c r="Q134" i="1"/>
  <c r="AZ133" i="1"/>
  <c r="AY133" i="1"/>
  <c r="AX133" i="1"/>
  <c r="AS133" i="1"/>
  <c r="AO133" i="1"/>
  <c r="AH133" i="1"/>
  <c r="AC133" i="1"/>
  <c r="AB133" i="1"/>
  <c r="Z133" i="1"/>
  <c r="Y133" i="1"/>
  <c r="X133" i="1"/>
  <c r="AA133" i="1" s="1"/>
  <c r="W133" i="1"/>
  <c r="V133" i="1"/>
  <c r="U133" i="1"/>
  <c r="T133" i="1"/>
  <c r="R133" i="1"/>
  <c r="Q133" i="1"/>
  <c r="AY132" i="1"/>
  <c r="AZ132" i="1" s="1"/>
  <c r="AX132" i="1"/>
  <c r="AS132" i="1"/>
  <c r="AO132" i="1"/>
  <c r="AK132" i="1"/>
  <c r="AH132" i="1"/>
  <c r="Y132" i="1"/>
  <c r="X132" i="1"/>
  <c r="AA132" i="1" s="1"/>
  <c r="W132" i="1"/>
  <c r="Z132" i="1" s="1"/>
  <c r="AB132" i="1" s="1"/>
  <c r="V132" i="1"/>
  <c r="AS67" i="1" s="1"/>
  <c r="U132" i="1"/>
  <c r="T132" i="1"/>
  <c r="AK67" i="1" s="1"/>
  <c r="R132" i="1"/>
  <c r="Q132" i="1"/>
  <c r="AY131" i="1"/>
  <c r="AX131" i="1"/>
  <c r="AZ131" i="1" s="1"/>
  <c r="AS131" i="1"/>
  <c r="AO131" i="1"/>
  <c r="AH131" i="1"/>
  <c r="AC131" i="1"/>
  <c r="AA131" i="1"/>
  <c r="Z131" i="1"/>
  <c r="AB131" i="1" s="1"/>
  <c r="Y131" i="1"/>
  <c r="X131" i="1"/>
  <c r="W131" i="1"/>
  <c r="V131" i="1"/>
  <c r="U131" i="1"/>
  <c r="T131" i="1"/>
  <c r="AK66" i="1" s="1"/>
  <c r="R131" i="1"/>
  <c r="Q131" i="1"/>
  <c r="AY130" i="1"/>
  <c r="AX130" i="1"/>
  <c r="AZ130" i="1" s="1"/>
  <c r="AS130" i="1"/>
  <c r="AO130" i="1"/>
  <c r="AH130" i="1"/>
  <c r="Y130" i="1"/>
  <c r="X130" i="1"/>
  <c r="AA130" i="1" s="1"/>
  <c r="W130" i="1"/>
  <c r="Z130" i="1" s="1"/>
  <c r="AB130" i="1" s="1"/>
  <c r="V130" i="1"/>
  <c r="U130" i="1"/>
  <c r="AO66" i="1" s="1"/>
  <c r="T130" i="1"/>
  <c r="R130" i="1"/>
  <c r="Q130" i="1"/>
  <c r="AZ129" i="1"/>
  <c r="AY129" i="1"/>
  <c r="AX129" i="1"/>
  <c r="AS129" i="1"/>
  <c r="AO129" i="1"/>
  <c r="AK129" i="1"/>
  <c r="AH129" i="1"/>
  <c r="Y129" i="1"/>
  <c r="X129" i="1"/>
  <c r="AA129" i="1" s="1"/>
  <c r="W129" i="1"/>
  <c r="Z129" i="1" s="1"/>
  <c r="AB129" i="1" s="1"/>
  <c r="V129" i="1"/>
  <c r="AS65" i="1" s="1"/>
  <c r="U129" i="1"/>
  <c r="T129" i="1"/>
  <c r="R129" i="1"/>
  <c r="Q129" i="1"/>
  <c r="AY128" i="1"/>
  <c r="AZ128" i="1" s="1"/>
  <c r="AX128" i="1"/>
  <c r="AS128" i="1"/>
  <c r="AO128" i="1"/>
  <c r="AH128" i="1"/>
  <c r="AC128" i="1"/>
  <c r="Y128" i="1"/>
  <c r="X128" i="1"/>
  <c r="AA128" i="1" s="1"/>
  <c r="W128" i="1"/>
  <c r="Z128" i="1" s="1"/>
  <c r="AB128" i="1" s="1"/>
  <c r="V128" i="1"/>
  <c r="U128" i="1"/>
  <c r="T128" i="1"/>
  <c r="R128" i="1"/>
  <c r="Q128" i="1"/>
  <c r="AY127" i="1"/>
  <c r="AZ127" i="1" s="1"/>
  <c r="AX127" i="1"/>
  <c r="AS127" i="1"/>
  <c r="AO127" i="1"/>
  <c r="AK127" i="1"/>
  <c r="AH127" i="1"/>
  <c r="Y127" i="1"/>
  <c r="X127" i="1"/>
  <c r="AA127" i="1" s="1"/>
  <c r="W127" i="1"/>
  <c r="Z127" i="1" s="1"/>
  <c r="AB127" i="1" s="1"/>
  <c r="V127" i="1"/>
  <c r="U127" i="1"/>
  <c r="T127" i="1"/>
  <c r="AK64" i="1" s="1"/>
  <c r="R127" i="1"/>
  <c r="Q127" i="1"/>
  <c r="AY126" i="1"/>
  <c r="AX126" i="1"/>
  <c r="AZ126" i="1" s="1"/>
  <c r="AS126" i="1"/>
  <c r="AO126" i="1"/>
  <c r="AK126" i="1"/>
  <c r="AH126" i="1"/>
  <c r="AC126" i="1"/>
  <c r="AA126" i="1"/>
  <c r="Z126" i="1"/>
  <c r="AB126" i="1" s="1"/>
  <c r="Y126" i="1"/>
  <c r="X126" i="1"/>
  <c r="W126" i="1"/>
  <c r="V126" i="1"/>
  <c r="U126" i="1"/>
  <c r="T126" i="1"/>
  <c r="R126" i="1"/>
  <c r="Q126" i="1"/>
  <c r="AY125" i="1"/>
  <c r="AX125" i="1"/>
  <c r="AZ125" i="1" s="1"/>
  <c r="AS125" i="1"/>
  <c r="AO125" i="1"/>
  <c r="AH125" i="1"/>
  <c r="Y125" i="1"/>
  <c r="X125" i="1"/>
  <c r="AA125" i="1" s="1"/>
  <c r="W125" i="1"/>
  <c r="Z125" i="1" s="1"/>
  <c r="AB125" i="1" s="1"/>
  <c r="V125" i="1"/>
  <c r="U125" i="1"/>
  <c r="AC125" i="1" s="1"/>
  <c r="T125" i="1"/>
  <c r="R125" i="1"/>
  <c r="Q125" i="1"/>
  <c r="AZ124" i="1"/>
  <c r="AY124" i="1"/>
  <c r="AX124" i="1"/>
  <c r="AK124" i="1"/>
  <c r="AH124" i="1"/>
  <c r="AC124" i="1"/>
  <c r="AB124" i="1"/>
  <c r="AA124" i="1"/>
  <c r="Y124" i="1"/>
  <c r="X124" i="1"/>
  <c r="W124" i="1"/>
  <c r="Z124" i="1" s="1"/>
  <c r="V124" i="1"/>
  <c r="AS63" i="1" s="1"/>
  <c r="U124" i="1"/>
  <c r="T124" i="1"/>
  <c r="R124" i="1"/>
  <c r="Q124" i="1"/>
  <c r="AY123" i="1"/>
  <c r="AX123" i="1"/>
  <c r="AZ123" i="1" s="1"/>
  <c r="AS123" i="1"/>
  <c r="AO123" i="1"/>
  <c r="AK123" i="1"/>
  <c r="AH123" i="1"/>
  <c r="AC123" i="1"/>
  <c r="Y123" i="1"/>
  <c r="X123" i="1"/>
  <c r="AA123" i="1" s="1"/>
  <c r="W123" i="1"/>
  <c r="Z123" i="1" s="1"/>
  <c r="AB123" i="1" s="1"/>
  <c r="V123" i="1"/>
  <c r="U123" i="1"/>
  <c r="T123" i="1"/>
  <c r="AK62" i="1" s="1"/>
  <c r="R123" i="1"/>
  <c r="Q123" i="1"/>
  <c r="AZ122" i="1"/>
  <c r="AY122" i="1"/>
  <c r="AX122" i="1"/>
  <c r="AS122" i="1"/>
  <c r="AO122" i="1"/>
  <c r="AK122" i="1"/>
  <c r="AH122" i="1"/>
  <c r="AC122" i="1"/>
  <c r="Y122" i="1"/>
  <c r="X122" i="1"/>
  <c r="AA122" i="1" s="1"/>
  <c r="W122" i="1"/>
  <c r="Z122" i="1" s="1"/>
  <c r="AB122" i="1" s="1"/>
  <c r="V122" i="1"/>
  <c r="U122" i="1"/>
  <c r="T122" i="1"/>
  <c r="R122" i="1"/>
  <c r="Q122" i="1"/>
  <c r="AY121" i="1"/>
  <c r="AX121" i="1"/>
  <c r="AZ121" i="1" s="1"/>
  <c r="AS121" i="1"/>
  <c r="AO121" i="1"/>
  <c r="AK121" i="1"/>
  <c r="AH121" i="1"/>
  <c r="Z121" i="1"/>
  <c r="AB121" i="1" s="1"/>
  <c r="Y121" i="1"/>
  <c r="X121" i="1"/>
  <c r="AA121" i="1" s="1"/>
  <c r="W121" i="1"/>
  <c r="V121" i="1"/>
  <c r="U121" i="1"/>
  <c r="AC121" i="1" s="1"/>
  <c r="T121" i="1"/>
  <c r="R121" i="1"/>
  <c r="Q121" i="1"/>
  <c r="AY120" i="1"/>
  <c r="AX120" i="1"/>
  <c r="AZ120" i="1" s="1"/>
  <c r="AS120" i="1"/>
  <c r="AO120" i="1"/>
  <c r="AH120" i="1"/>
  <c r="AA120" i="1"/>
  <c r="Z120" i="1"/>
  <c r="AB120" i="1" s="1"/>
  <c r="Y120" i="1"/>
  <c r="X120" i="1"/>
  <c r="W120" i="1"/>
  <c r="V120" i="1"/>
  <c r="U120" i="1"/>
  <c r="AC120" i="1" s="1"/>
  <c r="T120" i="1"/>
  <c r="AK61" i="1" s="1"/>
  <c r="R120" i="1"/>
  <c r="Q120" i="1"/>
  <c r="AY119" i="1"/>
  <c r="AX119" i="1"/>
  <c r="AZ119" i="1" s="1"/>
  <c r="AS119" i="1"/>
  <c r="AK119" i="1"/>
  <c r="AH119" i="1"/>
  <c r="Z119" i="1"/>
  <c r="AB119" i="1" s="1"/>
  <c r="Y119" i="1"/>
  <c r="X119" i="1"/>
  <c r="AA119" i="1" s="1"/>
  <c r="W119" i="1"/>
  <c r="V119" i="1"/>
  <c r="U119" i="1"/>
  <c r="AC119" i="1" s="1"/>
  <c r="T119" i="1"/>
  <c r="R119" i="1"/>
  <c r="Q119" i="1"/>
  <c r="AY118" i="1"/>
  <c r="AX118" i="1"/>
  <c r="AZ118" i="1" s="1"/>
  <c r="AS118" i="1"/>
  <c r="AK118" i="1"/>
  <c r="AH118" i="1"/>
  <c r="AC118" i="1"/>
  <c r="AA118" i="1"/>
  <c r="Z118" i="1"/>
  <c r="AB118" i="1" s="1"/>
  <c r="Y118" i="1"/>
  <c r="X118" i="1"/>
  <c r="W118" i="1"/>
  <c r="V118" i="1"/>
  <c r="AS60" i="1" s="1"/>
  <c r="U118" i="1"/>
  <c r="AO60" i="1" s="1"/>
  <c r="T118" i="1"/>
  <c r="R118" i="1"/>
  <c r="Q118" i="1"/>
  <c r="AZ117" i="1"/>
  <c r="AY117" i="1"/>
  <c r="AX117" i="1"/>
  <c r="AS117" i="1"/>
  <c r="AO117" i="1"/>
  <c r="AK117" i="1"/>
  <c r="AH117" i="1"/>
  <c r="AC117" i="1"/>
  <c r="Y117" i="1"/>
  <c r="X117" i="1"/>
  <c r="AA117" i="1" s="1"/>
  <c r="W117" i="1"/>
  <c r="Z117" i="1" s="1"/>
  <c r="AB117" i="1" s="1"/>
  <c r="V117" i="1"/>
  <c r="U117" i="1"/>
  <c r="T117" i="1"/>
  <c r="R117" i="1"/>
  <c r="Q117" i="1"/>
  <c r="AY116" i="1"/>
  <c r="AZ116" i="1" s="1"/>
  <c r="AX116" i="1"/>
  <c r="AS116" i="1"/>
  <c r="AO116" i="1"/>
  <c r="AK116" i="1"/>
  <c r="AH116" i="1"/>
  <c r="AC116" i="1"/>
  <c r="AA116" i="1"/>
  <c r="Y116" i="1"/>
  <c r="X116" i="1"/>
  <c r="W116" i="1"/>
  <c r="Z116" i="1" s="1"/>
  <c r="AB116" i="1" s="1"/>
  <c r="V116" i="1"/>
  <c r="U116" i="1"/>
  <c r="T116" i="1"/>
  <c r="R116" i="1"/>
  <c r="Q116" i="1"/>
  <c r="AY115" i="1"/>
  <c r="AZ115" i="1" s="1"/>
  <c r="AX115" i="1"/>
  <c r="AS115" i="1"/>
  <c r="AO115" i="1"/>
  <c r="AK115" i="1"/>
  <c r="AH115" i="1"/>
  <c r="Y115" i="1"/>
  <c r="X115" i="1"/>
  <c r="AA115" i="1" s="1"/>
  <c r="W115" i="1"/>
  <c r="Z115" i="1" s="1"/>
  <c r="AB115" i="1" s="1"/>
  <c r="V115" i="1"/>
  <c r="U115" i="1"/>
  <c r="T115" i="1"/>
  <c r="R115" i="1"/>
  <c r="Q115" i="1"/>
  <c r="AY114" i="1"/>
  <c r="AX114" i="1"/>
  <c r="AZ114" i="1" s="1"/>
  <c r="AS114" i="1"/>
  <c r="AO114" i="1"/>
  <c r="AK114" i="1"/>
  <c r="AH114" i="1"/>
  <c r="AC114" i="1"/>
  <c r="AB114" i="1"/>
  <c r="AA114" i="1"/>
  <c r="Y114" i="1"/>
  <c r="X114" i="1"/>
  <c r="W114" i="1"/>
  <c r="Z114" i="1" s="1"/>
  <c r="V114" i="1"/>
  <c r="U114" i="1"/>
  <c r="AO58" i="1" s="1"/>
  <c r="T114" i="1"/>
  <c r="AK58" i="1" s="1"/>
  <c r="R114" i="1"/>
  <c r="Q114" i="1"/>
  <c r="AY113" i="1"/>
  <c r="AX113" i="1"/>
  <c r="AZ113" i="1" s="1"/>
  <c r="AS113" i="1"/>
  <c r="AO113" i="1"/>
  <c r="AK113" i="1"/>
  <c r="AH113" i="1"/>
  <c r="Y113" i="1"/>
  <c r="X113" i="1"/>
  <c r="AA113" i="1" s="1"/>
  <c r="W113" i="1"/>
  <c r="Z113" i="1" s="1"/>
  <c r="AB113" i="1" s="1"/>
  <c r="V113" i="1"/>
  <c r="AC113" i="1" s="1"/>
  <c r="U113" i="1"/>
  <c r="T113" i="1"/>
  <c r="R113" i="1"/>
  <c r="Q113" i="1"/>
  <c r="AY112" i="1"/>
  <c r="AX112" i="1"/>
  <c r="AS112" i="1"/>
  <c r="AO112" i="1"/>
  <c r="AK112" i="1"/>
  <c r="AH112" i="1"/>
  <c r="AC112" i="1"/>
  <c r="Y112" i="1"/>
  <c r="X112" i="1"/>
  <c r="AA112" i="1" s="1"/>
  <c r="W112" i="1"/>
  <c r="Z112" i="1" s="1"/>
  <c r="AB112" i="1" s="1"/>
  <c r="V112" i="1"/>
  <c r="U112" i="1"/>
  <c r="T112" i="1"/>
  <c r="AK57" i="1" s="1"/>
  <c r="R112" i="1"/>
  <c r="Q112" i="1"/>
  <c r="AY111" i="1"/>
  <c r="AZ111" i="1" s="1"/>
  <c r="AX111" i="1"/>
  <c r="AH111" i="1"/>
  <c r="Y111" i="1"/>
  <c r="X111" i="1"/>
  <c r="AA111" i="1" s="1"/>
  <c r="W111" i="1"/>
  <c r="Z111" i="1" s="1"/>
  <c r="AB111" i="1" s="1"/>
  <c r="V111" i="1"/>
  <c r="AC111" i="1" s="1"/>
  <c r="U111" i="1"/>
  <c r="T111" i="1"/>
  <c r="R111" i="1"/>
  <c r="Q111" i="1"/>
  <c r="AY110" i="1"/>
  <c r="AX110" i="1"/>
  <c r="AZ110" i="1" s="1"/>
  <c r="AS110" i="1"/>
  <c r="AK110" i="1"/>
  <c r="AH110" i="1"/>
  <c r="Y110" i="1"/>
  <c r="X110" i="1"/>
  <c r="AA110" i="1" s="1"/>
  <c r="W110" i="1"/>
  <c r="Z110" i="1" s="1"/>
  <c r="AB110" i="1" s="1"/>
  <c r="V110" i="1"/>
  <c r="AS56" i="1" s="1"/>
  <c r="U110" i="1"/>
  <c r="T110" i="1"/>
  <c r="R110" i="1"/>
  <c r="Q110" i="1"/>
  <c r="AZ109" i="1"/>
  <c r="AY109" i="1"/>
  <c r="AX109" i="1"/>
  <c r="AH109" i="1"/>
  <c r="AC109" i="1"/>
  <c r="AB109" i="1"/>
  <c r="AA109" i="1"/>
  <c r="Z109" i="1"/>
  <c r="Y109" i="1"/>
  <c r="X109" i="1"/>
  <c r="W109" i="1"/>
  <c r="V109" i="1"/>
  <c r="U109" i="1"/>
  <c r="T109" i="1"/>
  <c r="R109" i="1"/>
  <c r="Q109" i="1"/>
  <c r="AY108" i="1"/>
  <c r="AX108" i="1"/>
  <c r="AZ108" i="1" s="1"/>
  <c r="AS108" i="1"/>
  <c r="AO108" i="1"/>
  <c r="AK108" i="1"/>
  <c r="AH108" i="1"/>
  <c r="Y108" i="1"/>
  <c r="X108" i="1"/>
  <c r="AA108" i="1" s="1"/>
  <c r="W108" i="1"/>
  <c r="Z108" i="1" s="1"/>
  <c r="AB108" i="1" s="1"/>
  <c r="V108" i="1"/>
  <c r="AS55" i="1" s="1"/>
  <c r="U108" i="1"/>
  <c r="AC108" i="1" s="1"/>
  <c r="T108" i="1"/>
  <c r="AK55" i="1" s="1"/>
  <c r="R108" i="1"/>
  <c r="Q108" i="1"/>
  <c r="AY107" i="1"/>
  <c r="AX107" i="1"/>
  <c r="AZ107" i="1" s="1"/>
  <c r="AS107" i="1"/>
  <c r="AO107" i="1"/>
  <c r="AH107" i="1"/>
  <c r="AC107" i="1"/>
  <c r="AA107" i="1"/>
  <c r="Z107" i="1"/>
  <c r="AB107" i="1" s="1"/>
  <c r="Y107" i="1"/>
  <c r="X107" i="1"/>
  <c r="W107" i="1"/>
  <c r="V107" i="1"/>
  <c r="U107" i="1"/>
  <c r="T107" i="1"/>
  <c r="R107" i="1"/>
  <c r="Q107" i="1"/>
  <c r="AY106" i="1"/>
  <c r="AX106" i="1"/>
  <c r="AZ106" i="1" s="1"/>
  <c r="AS106" i="1"/>
  <c r="AO106" i="1"/>
  <c r="AK106" i="1"/>
  <c r="AH106" i="1"/>
  <c r="Y106" i="1"/>
  <c r="X106" i="1"/>
  <c r="AA106" i="1" s="1"/>
  <c r="W106" i="1"/>
  <c r="Z106" i="1" s="1"/>
  <c r="AB106" i="1" s="1"/>
  <c r="V106" i="1"/>
  <c r="AS54" i="1" s="1"/>
  <c r="U106" i="1"/>
  <c r="T106" i="1"/>
  <c r="R106" i="1"/>
  <c r="Q106" i="1"/>
  <c r="AY105" i="1"/>
  <c r="AX105" i="1"/>
  <c r="AZ105" i="1" s="1"/>
  <c r="AO105" i="1"/>
  <c r="AK105" i="1"/>
  <c r="AH105" i="1"/>
  <c r="AC105" i="1"/>
  <c r="Z105" i="1"/>
  <c r="AB105" i="1" s="1"/>
  <c r="Y105" i="1"/>
  <c r="X105" i="1"/>
  <c r="AA105" i="1" s="1"/>
  <c r="W105" i="1"/>
  <c r="V105" i="1"/>
  <c r="U105" i="1"/>
  <c r="T105" i="1"/>
  <c r="R105" i="1"/>
  <c r="Q105" i="1"/>
  <c r="AZ104" i="1"/>
  <c r="AY104" i="1"/>
  <c r="AX104" i="1"/>
  <c r="AS104" i="1"/>
  <c r="AK104" i="1"/>
  <c r="AH104" i="1"/>
  <c r="Y104" i="1"/>
  <c r="X104" i="1"/>
  <c r="AA104" i="1" s="1"/>
  <c r="W104" i="1"/>
  <c r="Z104" i="1" s="1"/>
  <c r="AB104" i="1" s="1"/>
  <c r="V104" i="1"/>
  <c r="U104" i="1"/>
  <c r="AC104" i="1" s="1"/>
  <c r="T104" i="1"/>
  <c r="R104" i="1"/>
  <c r="Q104" i="1"/>
  <c r="AY103" i="1"/>
  <c r="AX103" i="1"/>
  <c r="AZ103" i="1" s="1"/>
  <c r="AK103" i="1"/>
  <c r="AH103" i="1"/>
  <c r="AA103" i="1"/>
  <c r="Y103" i="1"/>
  <c r="X103" i="1"/>
  <c r="W103" i="1"/>
  <c r="Z103" i="1" s="1"/>
  <c r="AB103" i="1" s="1"/>
  <c r="V103" i="1"/>
  <c r="U103" i="1"/>
  <c r="T103" i="1"/>
  <c r="R103" i="1"/>
  <c r="Q103" i="1"/>
  <c r="AY102" i="1"/>
  <c r="AX102" i="1"/>
  <c r="AZ102" i="1" s="1"/>
  <c r="AS102" i="1"/>
  <c r="AH102" i="1"/>
  <c r="AC102" i="1"/>
  <c r="AB102" i="1"/>
  <c r="AA102" i="1"/>
  <c r="Y102" i="1"/>
  <c r="X102" i="1"/>
  <c r="W102" i="1"/>
  <c r="Z102" i="1" s="1"/>
  <c r="V102" i="1"/>
  <c r="AS52" i="1" s="1"/>
  <c r="U102" i="1"/>
  <c r="AO52" i="1" s="1"/>
  <c r="T102" i="1"/>
  <c r="R102" i="1"/>
  <c r="Q102" i="1"/>
  <c r="AY101" i="1"/>
  <c r="AX101" i="1"/>
  <c r="AZ101" i="1" s="1"/>
  <c r="AS101" i="1"/>
  <c r="AO101" i="1"/>
  <c r="AH101" i="1"/>
  <c r="AA101" i="1"/>
  <c r="Y101" i="1"/>
  <c r="X101" i="1"/>
  <c r="W101" i="1"/>
  <c r="Z101" i="1" s="1"/>
  <c r="AB101" i="1" s="1"/>
  <c r="V101" i="1"/>
  <c r="U101" i="1"/>
  <c r="AC101" i="1" s="1"/>
  <c r="T101" i="1"/>
  <c r="AK51" i="1" s="1"/>
  <c r="R101" i="1"/>
  <c r="Q101" i="1"/>
  <c r="AY100" i="1"/>
  <c r="AX100" i="1"/>
  <c r="AZ100" i="1" s="1"/>
  <c r="AK100" i="1"/>
  <c r="AH100" i="1"/>
  <c r="AC100" i="1"/>
  <c r="AB100" i="1"/>
  <c r="Y100" i="1"/>
  <c r="X100" i="1"/>
  <c r="AA100" i="1" s="1"/>
  <c r="W100" i="1"/>
  <c r="Z100" i="1" s="1"/>
  <c r="V100" i="1"/>
  <c r="U100" i="1"/>
  <c r="T100" i="1"/>
  <c r="R100" i="1"/>
  <c r="Q100" i="1"/>
  <c r="AY99" i="1"/>
  <c r="AX99" i="1"/>
  <c r="AZ99" i="1" s="1"/>
  <c r="AO99" i="1"/>
  <c r="AK99" i="1"/>
  <c r="AH99" i="1"/>
  <c r="AA99" i="1"/>
  <c r="Y99" i="1"/>
  <c r="X99" i="1"/>
  <c r="W99" i="1"/>
  <c r="Z99" i="1" s="1"/>
  <c r="AB99" i="1" s="1"/>
  <c r="V99" i="1"/>
  <c r="AC99" i="1" s="1"/>
  <c r="U99" i="1"/>
  <c r="T99" i="1"/>
  <c r="AK50" i="1" s="1"/>
  <c r="R99" i="1"/>
  <c r="Q99" i="1"/>
  <c r="AZ98" i="1"/>
  <c r="AY98" i="1"/>
  <c r="AX98" i="1"/>
  <c r="AH98" i="1"/>
  <c r="Z98" i="1"/>
  <c r="AB98" i="1" s="1"/>
  <c r="Y98" i="1"/>
  <c r="X98" i="1"/>
  <c r="AA98" i="1" s="1"/>
  <c r="W98" i="1"/>
  <c r="V98" i="1"/>
  <c r="U98" i="1"/>
  <c r="T98" i="1"/>
  <c r="R98" i="1"/>
  <c r="Q98" i="1"/>
  <c r="AY97" i="1"/>
  <c r="AX97" i="1"/>
  <c r="AZ97" i="1" s="1"/>
  <c r="AS97" i="1"/>
  <c r="AO97" i="1"/>
  <c r="AK97" i="1"/>
  <c r="AH97" i="1"/>
  <c r="AC97" i="1"/>
  <c r="AB97" i="1"/>
  <c r="Z97" i="1"/>
  <c r="Y97" i="1"/>
  <c r="X97" i="1"/>
  <c r="AA97" i="1" s="1"/>
  <c r="W97" i="1"/>
  <c r="V97" i="1"/>
  <c r="U97" i="1"/>
  <c r="T97" i="1"/>
  <c r="AK49" i="1" s="1"/>
  <c r="R97" i="1"/>
  <c r="Q97" i="1"/>
  <c r="AZ96" i="1"/>
  <c r="AY96" i="1"/>
  <c r="AX96" i="1"/>
  <c r="AS96" i="1"/>
  <c r="AO96" i="1"/>
  <c r="AH96" i="1"/>
  <c r="AC96" i="1"/>
  <c r="Y96" i="1"/>
  <c r="X96" i="1"/>
  <c r="AA96" i="1" s="1"/>
  <c r="W96" i="1"/>
  <c r="Z96" i="1" s="1"/>
  <c r="AB96" i="1" s="1"/>
  <c r="V96" i="1"/>
  <c r="U96" i="1"/>
  <c r="T96" i="1"/>
  <c r="R96" i="1"/>
  <c r="Q96" i="1"/>
  <c r="AY95" i="1"/>
  <c r="AX95" i="1"/>
  <c r="AZ95" i="1" s="1"/>
  <c r="AS95" i="1"/>
  <c r="AO95" i="1"/>
  <c r="AK95" i="1"/>
  <c r="AH95" i="1"/>
  <c r="AA95" i="1"/>
  <c r="Z95" i="1"/>
  <c r="AB95" i="1" s="1"/>
  <c r="Y95" i="1"/>
  <c r="X95" i="1"/>
  <c r="W95" i="1"/>
  <c r="V95" i="1"/>
  <c r="AS48" i="1" s="1"/>
  <c r="U95" i="1"/>
  <c r="AC95" i="1" s="1"/>
  <c r="T95" i="1"/>
  <c r="AK48" i="1" s="1"/>
  <c r="R95" i="1"/>
  <c r="Q95" i="1"/>
  <c r="AY94" i="1"/>
  <c r="AX94" i="1"/>
  <c r="AZ94" i="1" s="1"/>
  <c r="AS94" i="1"/>
  <c r="AK94" i="1"/>
  <c r="AH94" i="1"/>
  <c r="Z94" i="1"/>
  <c r="AB94" i="1" s="1"/>
  <c r="Y94" i="1"/>
  <c r="X94" i="1"/>
  <c r="AA94" i="1" s="1"/>
  <c r="W94" i="1"/>
  <c r="V94" i="1"/>
  <c r="U94" i="1"/>
  <c r="T94" i="1"/>
  <c r="R94" i="1"/>
  <c r="Q94" i="1"/>
  <c r="AY93" i="1"/>
  <c r="AX93" i="1"/>
  <c r="AZ93" i="1" s="1"/>
  <c r="AK93" i="1"/>
  <c r="AH93" i="1"/>
  <c r="Z93" i="1"/>
  <c r="AB93" i="1" s="1"/>
  <c r="Y93" i="1"/>
  <c r="X93" i="1"/>
  <c r="AA93" i="1" s="1"/>
  <c r="W93" i="1"/>
  <c r="V93" i="1"/>
  <c r="U93" i="1"/>
  <c r="AC93" i="1" s="1"/>
  <c r="T93" i="1"/>
  <c r="R93" i="1"/>
  <c r="Q93" i="1"/>
  <c r="AZ92" i="1"/>
  <c r="AY92" i="1"/>
  <c r="AX92" i="1"/>
  <c r="AH92" i="1"/>
  <c r="AA92" i="1"/>
  <c r="Z92" i="1"/>
  <c r="AB92" i="1" s="1"/>
  <c r="Y92" i="1"/>
  <c r="X92" i="1"/>
  <c r="W92" i="1"/>
  <c r="V92" i="1"/>
  <c r="U92" i="1"/>
  <c r="T92" i="1"/>
  <c r="R92" i="1"/>
  <c r="Q92" i="1"/>
  <c r="AY91" i="1"/>
  <c r="AX91" i="1"/>
  <c r="AZ91" i="1" s="1"/>
  <c r="AS91" i="1"/>
  <c r="AO91" i="1"/>
  <c r="AK91" i="1"/>
  <c r="AH91" i="1"/>
  <c r="AA91" i="1"/>
  <c r="Z91" i="1"/>
  <c r="AB91" i="1" s="1"/>
  <c r="Y91" i="1"/>
  <c r="X91" i="1"/>
  <c r="W91" i="1"/>
  <c r="V91" i="1"/>
  <c r="U91" i="1"/>
  <c r="AC91" i="1" s="1"/>
  <c r="T91" i="1"/>
  <c r="R91" i="1"/>
  <c r="Q91" i="1"/>
  <c r="AY90" i="1"/>
  <c r="AX90" i="1"/>
  <c r="AZ90" i="1" s="1"/>
  <c r="AS90" i="1"/>
  <c r="AO90" i="1"/>
  <c r="AK90" i="1"/>
  <c r="AH90" i="1"/>
  <c r="AA90" i="1"/>
  <c r="Z90" i="1"/>
  <c r="AB90" i="1" s="1"/>
  <c r="Y90" i="1"/>
  <c r="X90" i="1"/>
  <c r="W90" i="1"/>
  <c r="V90" i="1"/>
  <c r="AS44" i="1" s="1"/>
  <c r="U90" i="1"/>
  <c r="T90" i="1"/>
  <c r="AK44" i="1" s="1"/>
  <c r="R90" i="1"/>
  <c r="Q90" i="1"/>
  <c r="AY89" i="1"/>
  <c r="AX89" i="1"/>
  <c r="AZ89" i="1" s="1"/>
  <c r="AO89" i="1"/>
  <c r="AH89" i="1"/>
  <c r="Z89" i="1"/>
  <c r="AB89" i="1" s="1"/>
  <c r="Y89" i="1"/>
  <c r="X89" i="1"/>
  <c r="AA89" i="1" s="1"/>
  <c r="W89" i="1"/>
  <c r="V89" i="1"/>
  <c r="U89" i="1"/>
  <c r="AC89" i="1" s="1"/>
  <c r="T89" i="1"/>
  <c r="R89" i="1"/>
  <c r="Q89" i="1"/>
  <c r="AY88" i="1"/>
  <c r="AX88" i="1"/>
  <c r="AZ88" i="1" s="1"/>
  <c r="AS88" i="1"/>
  <c r="AO88" i="1"/>
  <c r="AK88" i="1"/>
  <c r="AH88" i="1"/>
  <c r="AB88" i="1"/>
  <c r="AA88" i="1"/>
  <c r="Y88" i="1"/>
  <c r="X88" i="1"/>
  <c r="W88" i="1"/>
  <c r="Z88" i="1" s="1"/>
  <c r="V88" i="1"/>
  <c r="AS46" i="1" s="1"/>
  <c r="U88" i="1"/>
  <c r="T88" i="1"/>
  <c r="AK46" i="1" s="1"/>
  <c r="R88" i="1"/>
  <c r="Q88" i="1"/>
  <c r="AZ87" i="1"/>
  <c r="AY87" i="1"/>
  <c r="AX87" i="1"/>
  <c r="AO87" i="1"/>
  <c r="AH87" i="1"/>
  <c r="Y87" i="1"/>
  <c r="X87" i="1"/>
  <c r="AA87" i="1" s="1"/>
  <c r="W87" i="1"/>
  <c r="Z87" i="1" s="1"/>
  <c r="AB87" i="1" s="1"/>
  <c r="V87" i="1"/>
  <c r="AC87" i="1" s="1"/>
  <c r="U87" i="1"/>
  <c r="T87" i="1"/>
  <c r="R87" i="1"/>
  <c r="Q87" i="1"/>
  <c r="AY86" i="1"/>
  <c r="AX86" i="1"/>
  <c r="AZ86" i="1" s="1"/>
  <c r="AO86" i="1"/>
  <c r="AK86" i="1"/>
  <c r="AH86" i="1"/>
  <c r="AC86" i="1"/>
  <c r="AA86" i="1"/>
  <c r="Z86" i="1"/>
  <c r="AB86" i="1" s="1"/>
  <c r="Y86" i="1"/>
  <c r="X86" i="1"/>
  <c r="W86" i="1"/>
  <c r="V86" i="1"/>
  <c r="U86" i="1"/>
  <c r="T86" i="1"/>
  <c r="R86" i="1"/>
  <c r="Q86" i="1"/>
  <c r="AY85" i="1"/>
  <c r="AX85" i="1"/>
  <c r="AZ85" i="1" s="1"/>
  <c r="AS85" i="1"/>
  <c r="AO85" i="1"/>
  <c r="AH85" i="1"/>
  <c r="Z85" i="1"/>
  <c r="AB85" i="1" s="1"/>
  <c r="Y85" i="1"/>
  <c r="X85" i="1"/>
  <c r="AA85" i="1" s="1"/>
  <c r="W85" i="1"/>
  <c r="V85" i="1"/>
  <c r="AS43" i="1" s="1"/>
  <c r="U85" i="1"/>
  <c r="AC85" i="1" s="1"/>
  <c r="T85" i="1"/>
  <c r="R85" i="1"/>
  <c r="Q85" i="1"/>
  <c r="AY84" i="1"/>
  <c r="AX84" i="1"/>
  <c r="AZ84" i="1" s="1"/>
  <c r="AS84" i="1"/>
  <c r="AH84" i="1"/>
  <c r="AB84" i="1"/>
  <c r="Y84" i="1"/>
  <c r="X84" i="1"/>
  <c r="AA84" i="1" s="1"/>
  <c r="W84" i="1"/>
  <c r="Z84" i="1" s="1"/>
  <c r="V84" i="1"/>
  <c r="U84" i="1"/>
  <c r="AO43" i="1" s="1"/>
  <c r="T84" i="1"/>
  <c r="R84" i="1"/>
  <c r="Q84" i="1"/>
  <c r="AY83" i="1"/>
  <c r="AX83" i="1"/>
  <c r="AZ83" i="1" s="1"/>
  <c r="AO83" i="1"/>
  <c r="AH83" i="1"/>
  <c r="Z83" i="1"/>
  <c r="AB83" i="1" s="1"/>
  <c r="Y83" i="1"/>
  <c r="X83" i="1"/>
  <c r="AA83" i="1" s="1"/>
  <c r="W83" i="1"/>
  <c r="V83" i="1"/>
  <c r="AC83" i="1" s="1"/>
  <c r="U83" i="1"/>
  <c r="T83" i="1"/>
  <c r="R83" i="1"/>
  <c r="Q83" i="1"/>
  <c r="AY82" i="1"/>
  <c r="AX82" i="1"/>
  <c r="AZ82" i="1" s="1"/>
  <c r="AS82" i="1"/>
  <c r="AK82" i="1"/>
  <c r="AH82" i="1"/>
  <c r="AC82" i="1"/>
  <c r="AB82" i="1"/>
  <c r="Y82" i="1"/>
  <c r="X82" i="1"/>
  <c r="AA82" i="1" s="1"/>
  <c r="W82" i="1"/>
  <c r="Z82" i="1" s="1"/>
  <c r="V82" i="1"/>
  <c r="U82" i="1"/>
  <c r="AO42" i="1" s="1"/>
  <c r="T82" i="1"/>
  <c r="R82" i="1"/>
  <c r="Q82" i="1"/>
  <c r="AY81" i="1"/>
  <c r="AZ81" i="1" s="1"/>
  <c r="AX81" i="1"/>
  <c r="AK81" i="1"/>
  <c r="AH81" i="1"/>
  <c r="Y81" i="1"/>
  <c r="X81" i="1"/>
  <c r="AA81" i="1" s="1"/>
  <c r="W81" i="1"/>
  <c r="Z81" i="1" s="1"/>
  <c r="AB81" i="1" s="1"/>
  <c r="V81" i="1"/>
  <c r="AC81" i="1" s="1"/>
  <c r="U81" i="1"/>
  <c r="T81" i="1"/>
  <c r="R81" i="1"/>
  <c r="Q81" i="1"/>
  <c r="AZ80" i="1"/>
  <c r="AY80" i="1"/>
  <c r="AX80" i="1"/>
  <c r="AS80" i="1"/>
  <c r="AK80" i="1"/>
  <c r="AH80" i="1"/>
  <c r="AC80" i="1"/>
  <c r="Y80" i="1"/>
  <c r="X80" i="1"/>
  <c r="AA80" i="1" s="1"/>
  <c r="W80" i="1"/>
  <c r="Z80" i="1" s="1"/>
  <c r="AB80" i="1" s="1"/>
  <c r="V80" i="1"/>
  <c r="U80" i="1"/>
  <c r="T80" i="1"/>
  <c r="AK41" i="1" s="1"/>
  <c r="R80" i="1"/>
  <c r="Q80" i="1"/>
  <c r="AZ79" i="1"/>
  <c r="AY79" i="1"/>
  <c r="AX79" i="1"/>
  <c r="AO79" i="1"/>
  <c r="AK79" i="1"/>
  <c r="AH79" i="1"/>
  <c r="Y79" i="1"/>
  <c r="X79" i="1"/>
  <c r="AA79" i="1" s="1"/>
  <c r="W79" i="1"/>
  <c r="Z79" i="1" s="1"/>
  <c r="AB79" i="1" s="1"/>
  <c r="V79" i="1"/>
  <c r="U79" i="1"/>
  <c r="T79" i="1"/>
  <c r="AK40" i="1" s="1"/>
  <c r="R79" i="1"/>
  <c r="Q79" i="1"/>
  <c r="AY78" i="1"/>
  <c r="AX78" i="1"/>
  <c r="AS78" i="1"/>
  <c r="AH78" i="1"/>
  <c r="AC78" i="1"/>
  <c r="AA78" i="1"/>
  <c r="Y78" i="1"/>
  <c r="X78" i="1"/>
  <c r="W78" i="1"/>
  <c r="Z78" i="1" s="1"/>
  <c r="AB78" i="1" s="1"/>
  <c r="V78" i="1"/>
  <c r="AS40" i="1" s="1"/>
  <c r="U78" i="1"/>
  <c r="T78" i="1"/>
  <c r="R78" i="1"/>
  <c r="Q78" i="1"/>
  <c r="AZ77" i="1"/>
  <c r="AY77" i="1"/>
  <c r="AX77" i="1"/>
  <c r="AS77" i="1"/>
  <c r="AO77" i="1"/>
  <c r="AH77" i="1"/>
  <c r="AC77" i="1"/>
  <c r="Y77" i="1"/>
  <c r="X77" i="1"/>
  <c r="AA77" i="1" s="1"/>
  <c r="W77" i="1"/>
  <c r="Z77" i="1" s="1"/>
  <c r="AB77" i="1" s="1"/>
  <c r="V77" i="1"/>
  <c r="U77" i="1"/>
  <c r="T77" i="1"/>
  <c r="R77" i="1"/>
  <c r="Q77" i="1"/>
  <c r="AZ76" i="1"/>
  <c r="AY76" i="1"/>
  <c r="AX76" i="1"/>
  <c r="AH76" i="1"/>
  <c r="Y76" i="1"/>
  <c r="X76" i="1"/>
  <c r="AA76" i="1" s="1"/>
  <c r="W76" i="1"/>
  <c r="Z76" i="1" s="1"/>
  <c r="AB76" i="1" s="1"/>
  <c r="V76" i="1"/>
  <c r="AS39" i="1" s="1"/>
  <c r="U76" i="1"/>
  <c r="AC76" i="1" s="1"/>
  <c r="T76" i="1"/>
  <c r="AK39" i="1" s="1"/>
  <c r="R76" i="1"/>
  <c r="Q76" i="1"/>
  <c r="AZ75" i="1"/>
  <c r="AY75" i="1"/>
  <c r="AX75" i="1"/>
  <c r="AO75" i="1"/>
  <c r="AK75" i="1"/>
  <c r="AH75" i="1"/>
  <c r="AC75" i="1"/>
  <c r="AA75" i="1"/>
  <c r="Z75" i="1"/>
  <c r="AB75" i="1" s="1"/>
  <c r="Y75" i="1"/>
  <c r="X75" i="1"/>
  <c r="W75" i="1"/>
  <c r="V75" i="1"/>
  <c r="U75" i="1"/>
  <c r="T75" i="1"/>
  <c r="R75" i="1"/>
  <c r="Q75" i="1"/>
  <c r="AY74" i="1"/>
  <c r="AX74" i="1"/>
  <c r="AZ74" i="1" s="1"/>
  <c r="AS74" i="1"/>
  <c r="AO74" i="1"/>
  <c r="AH74" i="1"/>
  <c r="Y74" i="1"/>
  <c r="X74" i="1"/>
  <c r="AA74" i="1" s="1"/>
  <c r="W74" i="1"/>
  <c r="Z74" i="1" s="1"/>
  <c r="AB74" i="1" s="1"/>
  <c r="V74" i="1"/>
  <c r="AS38" i="1" s="1"/>
  <c r="U74" i="1"/>
  <c r="T74" i="1"/>
  <c r="AK38" i="1" s="1"/>
  <c r="R74" i="1"/>
  <c r="Q74" i="1"/>
  <c r="AZ73" i="1"/>
  <c r="AY73" i="1"/>
  <c r="AX73" i="1"/>
  <c r="AK73" i="1"/>
  <c r="AH73" i="1"/>
  <c r="AC73" i="1"/>
  <c r="AA73" i="1"/>
  <c r="Z73" i="1"/>
  <c r="AB73" i="1" s="1"/>
  <c r="Y73" i="1"/>
  <c r="X73" i="1"/>
  <c r="W73" i="1"/>
  <c r="V73" i="1"/>
  <c r="U73" i="1"/>
  <c r="T73" i="1"/>
  <c r="R73" i="1"/>
  <c r="Q73" i="1"/>
  <c r="AY72" i="1"/>
  <c r="AX72" i="1"/>
  <c r="AZ72" i="1" s="1"/>
  <c r="AK72" i="1"/>
  <c r="AH72" i="1"/>
  <c r="Y72" i="1"/>
  <c r="X72" i="1"/>
  <c r="AA72" i="1" s="1"/>
  <c r="W72" i="1"/>
  <c r="Z72" i="1" s="1"/>
  <c r="AB72" i="1" s="1"/>
  <c r="V72" i="1"/>
  <c r="U72" i="1"/>
  <c r="T72" i="1"/>
  <c r="AK37" i="1" s="1"/>
  <c r="R72" i="1"/>
  <c r="Q72" i="1"/>
  <c r="AY71" i="1"/>
  <c r="AX71" i="1"/>
  <c r="AZ71" i="1" s="1"/>
  <c r="AS71" i="1"/>
  <c r="AK71" i="1"/>
  <c r="AH71" i="1"/>
  <c r="AC71" i="1"/>
  <c r="AB71" i="1"/>
  <c r="AA71" i="1"/>
  <c r="Z71" i="1"/>
  <c r="Y71" i="1"/>
  <c r="X71" i="1"/>
  <c r="W71" i="1"/>
  <c r="V71" i="1"/>
  <c r="U71" i="1"/>
  <c r="T71" i="1"/>
  <c r="AK36" i="1" s="1"/>
  <c r="R71" i="1"/>
  <c r="Q71" i="1"/>
  <c r="AZ70" i="1"/>
  <c r="AY70" i="1"/>
  <c r="AX70" i="1"/>
  <c r="AS70" i="1"/>
  <c r="AH70" i="1"/>
  <c r="Y70" i="1"/>
  <c r="X70" i="1"/>
  <c r="AA70" i="1" s="1"/>
  <c r="W70" i="1"/>
  <c r="Z70" i="1" s="1"/>
  <c r="AB70" i="1" s="1"/>
  <c r="V70" i="1"/>
  <c r="AS36" i="1" s="1"/>
  <c r="U70" i="1"/>
  <c r="T70" i="1"/>
  <c r="R70" i="1"/>
  <c r="Q70" i="1"/>
  <c r="AY69" i="1"/>
  <c r="AX69" i="1"/>
  <c r="AZ69" i="1" s="1"/>
  <c r="AH69" i="1"/>
  <c r="AC69" i="1"/>
  <c r="Z69" i="1"/>
  <c r="AB69" i="1" s="1"/>
  <c r="Y69" i="1"/>
  <c r="X69" i="1"/>
  <c r="AA69" i="1" s="1"/>
  <c r="W69" i="1"/>
  <c r="V69" i="1"/>
  <c r="U69" i="1"/>
  <c r="T69" i="1"/>
  <c r="R69" i="1"/>
  <c r="Q69" i="1"/>
  <c r="AY68" i="1"/>
  <c r="AZ68" i="1" s="1"/>
  <c r="AX68" i="1"/>
  <c r="AH68" i="1"/>
  <c r="AC68" i="1"/>
  <c r="Y68" i="1"/>
  <c r="X68" i="1"/>
  <c r="AA68" i="1" s="1"/>
  <c r="W68" i="1"/>
  <c r="Z68" i="1" s="1"/>
  <c r="AB68" i="1" s="1"/>
  <c r="V68" i="1"/>
  <c r="U68" i="1"/>
  <c r="T68" i="1"/>
  <c r="R68" i="1"/>
  <c r="Q68" i="1"/>
  <c r="AZ67" i="1"/>
  <c r="AY67" i="1"/>
  <c r="AX67" i="1"/>
  <c r="AH67" i="1"/>
  <c r="AB67" i="1"/>
  <c r="AA67" i="1"/>
  <c r="Y67" i="1"/>
  <c r="X67" i="1"/>
  <c r="W67" i="1"/>
  <c r="Z67" i="1" s="1"/>
  <c r="V67" i="1"/>
  <c r="AS34" i="1" s="1"/>
  <c r="U67" i="1"/>
  <c r="T67" i="1"/>
  <c r="R67" i="1"/>
  <c r="Q67" i="1"/>
  <c r="AY66" i="1"/>
  <c r="AX66" i="1"/>
  <c r="AZ66" i="1" s="1"/>
  <c r="AS66" i="1"/>
  <c r="AH66" i="1"/>
  <c r="AC66" i="1"/>
  <c r="AA66" i="1"/>
  <c r="Z66" i="1"/>
  <c r="AB66" i="1" s="1"/>
  <c r="Y66" i="1"/>
  <c r="X66" i="1"/>
  <c r="W66" i="1"/>
  <c r="V66" i="1"/>
  <c r="U66" i="1"/>
  <c r="AO34" i="1" s="1"/>
  <c r="T66" i="1"/>
  <c r="R66" i="1"/>
  <c r="Q66" i="1"/>
  <c r="AZ65" i="1"/>
  <c r="AY65" i="1"/>
  <c r="AX65" i="1"/>
  <c r="AO65" i="1"/>
  <c r="AH65" i="1"/>
  <c r="Y65" i="1"/>
  <c r="X65" i="1"/>
  <c r="AA65" i="1" s="1"/>
  <c r="W65" i="1"/>
  <c r="Z65" i="1" s="1"/>
  <c r="AB65" i="1" s="1"/>
  <c r="V65" i="1"/>
  <c r="AS33" i="1" s="1"/>
  <c r="U65" i="1"/>
  <c r="AC65" i="1" s="1"/>
  <c r="T65" i="1"/>
  <c r="AK33" i="1" s="1"/>
  <c r="R65" i="1"/>
  <c r="Q65" i="1"/>
  <c r="AY64" i="1"/>
  <c r="AX64" i="1"/>
  <c r="AZ64" i="1" s="1"/>
  <c r="AH64" i="1"/>
  <c r="AC64" i="1"/>
  <c r="Y64" i="1"/>
  <c r="X64" i="1"/>
  <c r="AA64" i="1" s="1"/>
  <c r="W64" i="1"/>
  <c r="Z64" i="1" s="1"/>
  <c r="AB64" i="1" s="1"/>
  <c r="V64" i="1"/>
  <c r="U64" i="1"/>
  <c r="T64" i="1"/>
  <c r="R64" i="1"/>
  <c r="Q64" i="1"/>
  <c r="AY63" i="1"/>
  <c r="AX63" i="1"/>
  <c r="AZ63" i="1" s="1"/>
  <c r="AO63" i="1"/>
  <c r="AK63" i="1"/>
  <c r="AH63" i="1"/>
  <c r="AC63" i="1"/>
  <c r="Y63" i="1"/>
  <c r="X63" i="1"/>
  <c r="AA63" i="1" s="1"/>
  <c r="W63" i="1"/>
  <c r="Z63" i="1" s="1"/>
  <c r="AB63" i="1" s="1"/>
  <c r="V63" i="1"/>
  <c r="AS32" i="1" s="1"/>
  <c r="U63" i="1"/>
  <c r="T63" i="1"/>
  <c r="R63" i="1"/>
  <c r="Q63" i="1"/>
  <c r="AZ62" i="1"/>
  <c r="AY62" i="1"/>
  <c r="AX62" i="1"/>
  <c r="AS62" i="1"/>
  <c r="AO62" i="1"/>
  <c r="AH62" i="1"/>
  <c r="AC62" i="1"/>
  <c r="Y62" i="1"/>
  <c r="X62" i="1"/>
  <c r="AA62" i="1" s="1"/>
  <c r="W62" i="1"/>
  <c r="Z62" i="1" s="1"/>
  <c r="AB62" i="1" s="1"/>
  <c r="V62" i="1"/>
  <c r="U62" i="1"/>
  <c r="T62" i="1"/>
  <c r="R62" i="1"/>
  <c r="Q62" i="1"/>
  <c r="AZ61" i="1"/>
  <c r="AY61" i="1"/>
  <c r="AX61" i="1"/>
  <c r="AS61" i="1"/>
  <c r="AH61" i="1"/>
  <c r="AB61" i="1"/>
  <c r="Z61" i="1"/>
  <c r="Y61" i="1"/>
  <c r="X61" i="1"/>
  <c r="AA61" i="1" s="1"/>
  <c r="W61" i="1"/>
  <c r="V61" i="1"/>
  <c r="AS31" i="1" s="1"/>
  <c r="U61" i="1"/>
  <c r="T61" i="1"/>
  <c r="R61" i="1"/>
  <c r="Q61" i="1"/>
  <c r="AY60" i="1"/>
  <c r="AX60" i="1"/>
  <c r="AZ60" i="1" s="1"/>
  <c r="AK60" i="1"/>
  <c r="AH60" i="1"/>
  <c r="AC60" i="1"/>
  <c r="AA60" i="1"/>
  <c r="Z60" i="1"/>
  <c r="AB60" i="1" s="1"/>
  <c r="Y60" i="1"/>
  <c r="X60" i="1"/>
  <c r="W60" i="1"/>
  <c r="V60" i="1"/>
  <c r="U60" i="1"/>
  <c r="T60" i="1"/>
  <c r="AK31" i="1" s="1"/>
  <c r="R60" i="1"/>
  <c r="Q60" i="1"/>
  <c r="AY59" i="1"/>
  <c r="AX59" i="1"/>
  <c r="AZ59" i="1" s="1"/>
  <c r="AS59" i="1"/>
  <c r="AO59" i="1"/>
  <c r="AK59" i="1"/>
  <c r="AH59" i="1"/>
  <c r="Y59" i="1"/>
  <c r="X59" i="1"/>
  <c r="AA59" i="1" s="1"/>
  <c r="W59" i="1"/>
  <c r="Z59" i="1" s="1"/>
  <c r="AB59" i="1" s="1"/>
  <c r="V59" i="1"/>
  <c r="AS30" i="1" s="1"/>
  <c r="U59" i="1"/>
  <c r="T59" i="1"/>
  <c r="AK30" i="1" s="1"/>
  <c r="R59" i="1"/>
  <c r="Q59" i="1"/>
  <c r="AY58" i="1"/>
  <c r="AX58" i="1"/>
  <c r="AZ58" i="1" s="1"/>
  <c r="AH58" i="1"/>
  <c r="AC58" i="1"/>
  <c r="Z58" i="1"/>
  <c r="AB58" i="1" s="1"/>
  <c r="Y58" i="1"/>
  <c r="X58" i="1"/>
  <c r="AA58" i="1" s="1"/>
  <c r="W58" i="1"/>
  <c r="V58" i="1"/>
  <c r="U58" i="1"/>
  <c r="T58" i="1"/>
  <c r="R58" i="1"/>
  <c r="Q58" i="1"/>
  <c r="AY57" i="1"/>
  <c r="AX57" i="1"/>
  <c r="AZ57" i="1" s="1"/>
  <c r="AO57" i="1"/>
  <c r="AH57" i="1"/>
  <c r="Y57" i="1"/>
  <c r="X57" i="1"/>
  <c r="AA57" i="1" s="1"/>
  <c r="W57" i="1"/>
  <c r="Z57" i="1" s="1"/>
  <c r="AB57" i="1" s="1"/>
  <c r="V57" i="1"/>
  <c r="U57" i="1"/>
  <c r="AC57" i="1" s="1"/>
  <c r="T57" i="1"/>
  <c r="R57" i="1"/>
  <c r="Q57" i="1"/>
  <c r="AZ56" i="1"/>
  <c r="AY56" i="1"/>
  <c r="AX56" i="1"/>
  <c r="AO56" i="1"/>
  <c r="AK56" i="1"/>
  <c r="AH56" i="1"/>
  <c r="AC56" i="1"/>
  <c r="Z56" i="1"/>
  <c r="AB56" i="1" s="1"/>
  <c r="Y56" i="1"/>
  <c r="X56" i="1"/>
  <c r="AA56" i="1" s="1"/>
  <c r="W56" i="1"/>
  <c r="V56" i="1"/>
  <c r="U56" i="1"/>
  <c r="T56" i="1"/>
  <c r="R56" i="1"/>
  <c r="Q56" i="1"/>
  <c r="AZ55" i="1"/>
  <c r="AY55" i="1"/>
  <c r="AX55" i="1"/>
  <c r="AH55" i="1"/>
  <c r="Y55" i="1"/>
  <c r="X55" i="1"/>
  <c r="AA55" i="1" s="1"/>
  <c r="W55" i="1"/>
  <c r="Z55" i="1" s="1"/>
  <c r="AB55" i="1" s="1"/>
  <c r="V55" i="1"/>
  <c r="AS28" i="1" s="1"/>
  <c r="U55" i="1"/>
  <c r="AC55" i="1" s="1"/>
  <c r="T55" i="1"/>
  <c r="AK28" i="1" s="1"/>
  <c r="R55" i="1"/>
  <c r="Q55" i="1"/>
  <c r="AY54" i="1"/>
  <c r="AX54" i="1"/>
  <c r="AZ54" i="1" s="1"/>
  <c r="AK54" i="1"/>
  <c r="AH54" i="1"/>
  <c r="AC54" i="1"/>
  <c r="AA54" i="1"/>
  <c r="Z54" i="1"/>
  <c r="AB54" i="1" s="1"/>
  <c r="Y54" i="1"/>
  <c r="X54" i="1"/>
  <c r="W54" i="1"/>
  <c r="V54" i="1"/>
  <c r="U54" i="1"/>
  <c r="T54" i="1"/>
  <c r="R54" i="1"/>
  <c r="Q54" i="1"/>
  <c r="AY53" i="1"/>
  <c r="AX53" i="1"/>
  <c r="AZ53" i="1" s="1"/>
  <c r="AS53" i="1"/>
  <c r="AH53" i="1"/>
  <c r="Y53" i="1"/>
  <c r="X53" i="1"/>
  <c r="AA53" i="1" s="1"/>
  <c r="W53" i="1"/>
  <c r="Z53" i="1" s="1"/>
  <c r="AB53" i="1" s="1"/>
  <c r="V53" i="1"/>
  <c r="U53" i="1"/>
  <c r="AC53" i="1" s="1"/>
  <c r="T53" i="1"/>
  <c r="AK27" i="1" s="1"/>
  <c r="R53" i="1"/>
  <c r="Q53" i="1"/>
  <c r="AY52" i="1"/>
  <c r="AX52" i="1"/>
  <c r="AK52" i="1"/>
  <c r="AH52" i="1"/>
  <c r="AB52" i="1"/>
  <c r="Y52" i="1"/>
  <c r="X52" i="1"/>
  <c r="AA52" i="1" s="1"/>
  <c r="W52" i="1"/>
  <c r="Z52" i="1" s="1"/>
  <c r="V52" i="1"/>
  <c r="AS27" i="1" s="1"/>
  <c r="U52" i="1"/>
  <c r="T52" i="1"/>
  <c r="R52" i="1"/>
  <c r="Q52" i="1"/>
  <c r="AY51" i="1"/>
  <c r="AX51" i="1"/>
  <c r="AH51" i="1"/>
  <c r="AA51" i="1"/>
  <c r="Y51" i="1"/>
  <c r="X51" i="1"/>
  <c r="W51" i="1"/>
  <c r="Z51" i="1" s="1"/>
  <c r="AB51" i="1" s="1"/>
  <c r="V51" i="1"/>
  <c r="AC51" i="1" s="1"/>
  <c r="U51" i="1"/>
  <c r="T51" i="1"/>
  <c r="AK26" i="1" s="1"/>
  <c r="R51" i="1"/>
  <c r="Q51" i="1"/>
  <c r="AY50" i="1"/>
  <c r="AX50" i="1"/>
  <c r="AZ50" i="1" s="1"/>
  <c r="AS50" i="1"/>
  <c r="AH50" i="1"/>
  <c r="Z50" i="1"/>
  <c r="AB50" i="1" s="1"/>
  <c r="Y50" i="1"/>
  <c r="X50" i="1"/>
  <c r="AA50" i="1" s="1"/>
  <c r="W50" i="1"/>
  <c r="V50" i="1"/>
  <c r="AS26" i="1" s="1"/>
  <c r="U50" i="1"/>
  <c r="AC50" i="1" s="1"/>
  <c r="T50" i="1"/>
  <c r="R50" i="1"/>
  <c r="Q50" i="1"/>
  <c r="AY49" i="1"/>
  <c r="AX49" i="1"/>
  <c r="AZ49" i="1" s="1"/>
  <c r="AS49" i="1"/>
  <c r="AO49" i="1"/>
  <c r="AH49" i="1"/>
  <c r="AC49" i="1"/>
  <c r="AB49" i="1"/>
  <c r="AA49" i="1"/>
  <c r="Z49" i="1"/>
  <c r="Y49" i="1"/>
  <c r="X49" i="1"/>
  <c r="W49" i="1"/>
  <c r="V49" i="1"/>
  <c r="U49" i="1"/>
  <c r="T49" i="1"/>
  <c r="AK25" i="1" s="1"/>
  <c r="R49" i="1"/>
  <c r="Q49" i="1"/>
  <c r="AY48" i="1"/>
  <c r="AX48" i="1"/>
  <c r="AZ48" i="1" s="1"/>
  <c r="AH48" i="1"/>
  <c r="Y48" i="1"/>
  <c r="X48" i="1"/>
  <c r="AA48" i="1" s="1"/>
  <c r="W48" i="1"/>
  <c r="Z48" i="1" s="1"/>
  <c r="AB48" i="1" s="1"/>
  <c r="V48" i="1"/>
  <c r="AC48" i="1" s="1"/>
  <c r="U48" i="1"/>
  <c r="T48" i="1"/>
  <c r="R48" i="1"/>
  <c r="Q48" i="1"/>
  <c r="AY47" i="1"/>
  <c r="AX47" i="1"/>
  <c r="AZ47" i="1" s="1"/>
  <c r="AS47" i="1"/>
  <c r="AK47" i="1"/>
  <c r="AH47" i="1"/>
  <c r="Y47" i="1"/>
  <c r="X47" i="1"/>
  <c r="AA47" i="1" s="1"/>
  <c r="W47" i="1"/>
  <c r="Z47" i="1" s="1"/>
  <c r="AB47" i="1" s="1"/>
  <c r="V47" i="1"/>
  <c r="AS24" i="1" s="1"/>
  <c r="U47" i="1"/>
  <c r="AO24" i="1" s="1"/>
  <c r="T47" i="1"/>
  <c r="R47" i="1"/>
  <c r="Q47" i="1"/>
  <c r="AY46" i="1"/>
  <c r="AZ46" i="1" s="1"/>
  <c r="AX46" i="1"/>
  <c r="AH46" i="1"/>
  <c r="Y46" i="1"/>
  <c r="X46" i="1"/>
  <c r="AA46" i="1" s="1"/>
  <c r="W46" i="1"/>
  <c r="Z46" i="1" s="1"/>
  <c r="AB46" i="1" s="1"/>
  <c r="V46" i="1"/>
  <c r="U46" i="1"/>
  <c r="AC46" i="1" s="1"/>
  <c r="T46" i="1"/>
  <c r="R46" i="1"/>
  <c r="Q46" i="1"/>
  <c r="AY45" i="1"/>
  <c r="AX45" i="1"/>
  <c r="AZ45" i="1" s="1"/>
  <c r="AO45" i="1"/>
  <c r="AK45" i="1"/>
  <c r="AH45" i="1"/>
  <c r="AC45" i="1"/>
  <c r="AB45" i="1"/>
  <c r="Z45" i="1"/>
  <c r="Y45" i="1"/>
  <c r="X45" i="1"/>
  <c r="AA45" i="1" s="1"/>
  <c r="W45" i="1"/>
  <c r="V45" i="1"/>
  <c r="AS23" i="1" s="1"/>
  <c r="U45" i="1"/>
  <c r="T45" i="1"/>
  <c r="AK23" i="1" s="1"/>
  <c r="R45" i="1"/>
  <c r="Q45" i="1"/>
  <c r="AY44" i="1"/>
  <c r="AZ44" i="1" s="1"/>
  <c r="AX44" i="1"/>
  <c r="AH44" i="1"/>
  <c r="Y44" i="1"/>
  <c r="X44" i="1"/>
  <c r="AA44" i="1" s="1"/>
  <c r="W44" i="1"/>
  <c r="Z44" i="1" s="1"/>
  <c r="AB44" i="1" s="1"/>
  <c r="V44" i="1"/>
  <c r="U44" i="1"/>
  <c r="T44" i="1"/>
  <c r="R44" i="1"/>
  <c r="Q44" i="1"/>
  <c r="AY43" i="1"/>
  <c r="AX43" i="1"/>
  <c r="AZ43" i="1" s="1"/>
  <c r="AK43" i="1"/>
  <c r="AH43" i="1"/>
  <c r="AA43" i="1"/>
  <c r="Y43" i="1"/>
  <c r="X43" i="1"/>
  <c r="W43" i="1"/>
  <c r="Z43" i="1" s="1"/>
  <c r="AB43" i="1" s="1"/>
  <c r="V43" i="1"/>
  <c r="U43" i="1"/>
  <c r="AC43" i="1" s="1"/>
  <c r="T43" i="1"/>
  <c r="R43" i="1"/>
  <c r="Q43" i="1"/>
  <c r="AY42" i="1"/>
  <c r="AX42" i="1"/>
  <c r="AZ42" i="1" s="1"/>
  <c r="AS42" i="1"/>
  <c r="AK42" i="1"/>
  <c r="AH42" i="1"/>
  <c r="AA42" i="1"/>
  <c r="Z42" i="1"/>
  <c r="AB42" i="1" s="1"/>
  <c r="Y42" i="1"/>
  <c r="X42" i="1"/>
  <c r="W42" i="1"/>
  <c r="V42" i="1"/>
  <c r="U42" i="1"/>
  <c r="T42" i="1"/>
  <c r="R42" i="1"/>
  <c r="Q42" i="1"/>
  <c r="AY41" i="1"/>
  <c r="AX41" i="1"/>
  <c r="AZ41" i="1" s="1"/>
  <c r="AS41" i="1"/>
  <c r="AO41" i="1"/>
  <c r="AH41" i="1"/>
  <c r="AA41" i="1"/>
  <c r="Y41" i="1"/>
  <c r="X41" i="1"/>
  <c r="W41" i="1"/>
  <c r="Z41" i="1" s="1"/>
  <c r="AB41" i="1" s="1"/>
  <c r="V41" i="1"/>
  <c r="U41" i="1"/>
  <c r="AC41" i="1" s="1"/>
  <c r="T41" i="1"/>
  <c r="AK21" i="1" s="1"/>
  <c r="R41" i="1"/>
  <c r="Q41" i="1"/>
  <c r="AZ40" i="1"/>
  <c r="AY40" i="1"/>
  <c r="AX40" i="1"/>
  <c r="AO40" i="1"/>
  <c r="AH40" i="1"/>
  <c r="Y40" i="1"/>
  <c r="X40" i="1"/>
  <c r="AA40" i="1" s="1"/>
  <c r="W40" i="1"/>
  <c r="Z40" i="1" s="1"/>
  <c r="AB40" i="1" s="1"/>
  <c r="V40" i="1"/>
  <c r="AS21" i="1" s="1"/>
  <c r="U40" i="1"/>
  <c r="T40" i="1"/>
  <c r="R40" i="1"/>
  <c r="Q40" i="1"/>
  <c r="AY39" i="1"/>
  <c r="AX39" i="1"/>
  <c r="AZ39" i="1" s="1"/>
  <c r="AH39" i="1"/>
  <c r="AC39" i="1"/>
  <c r="AB39" i="1"/>
  <c r="AA39" i="1"/>
  <c r="Y39" i="1"/>
  <c r="X39" i="1"/>
  <c r="W39" i="1"/>
  <c r="Z39" i="1" s="1"/>
  <c r="V39" i="1"/>
  <c r="U39" i="1"/>
  <c r="T39" i="1"/>
  <c r="AK20" i="1" s="1"/>
  <c r="R39" i="1"/>
  <c r="Q39" i="1"/>
  <c r="AY38" i="1"/>
  <c r="AX38" i="1"/>
  <c r="AZ38" i="1" s="1"/>
  <c r="AH38" i="1"/>
  <c r="AA38" i="1"/>
  <c r="Z38" i="1"/>
  <c r="AB38" i="1" s="1"/>
  <c r="Y38" i="1"/>
  <c r="X38" i="1"/>
  <c r="W38" i="1"/>
  <c r="V38" i="1"/>
  <c r="U38" i="1"/>
  <c r="AC38" i="1" s="1"/>
  <c r="T38" i="1"/>
  <c r="R38" i="1"/>
  <c r="Q38" i="1"/>
  <c r="AY37" i="1"/>
  <c r="AX37" i="1"/>
  <c r="AZ37" i="1" s="1"/>
  <c r="AS37" i="1"/>
  <c r="AO37" i="1"/>
  <c r="AH37" i="1"/>
  <c r="AB37" i="1"/>
  <c r="Z37" i="1"/>
  <c r="Y37" i="1"/>
  <c r="X37" i="1"/>
  <c r="AA37" i="1" s="1"/>
  <c r="W37" i="1"/>
  <c r="V37" i="1"/>
  <c r="AS19" i="1" s="1"/>
  <c r="U37" i="1"/>
  <c r="AO19" i="1" s="1"/>
  <c r="T37" i="1"/>
  <c r="AK19" i="1" s="1"/>
  <c r="R37" i="1"/>
  <c r="Q37" i="1"/>
  <c r="AZ36" i="1"/>
  <c r="AY36" i="1"/>
  <c r="AX36" i="1"/>
  <c r="AH36" i="1"/>
  <c r="AC36" i="1"/>
  <c r="Y36" i="1"/>
  <c r="X36" i="1"/>
  <c r="AA36" i="1" s="1"/>
  <c r="W36" i="1"/>
  <c r="Z36" i="1" s="1"/>
  <c r="AB36" i="1" s="1"/>
  <c r="V36" i="1"/>
  <c r="U36" i="1"/>
  <c r="T36" i="1"/>
  <c r="R36" i="1"/>
  <c r="Q36" i="1"/>
  <c r="AY35" i="1"/>
  <c r="AX35" i="1"/>
  <c r="AZ35" i="1" s="1"/>
  <c r="AS35" i="1"/>
  <c r="AO35" i="1"/>
  <c r="AK35" i="1"/>
  <c r="AH35" i="1"/>
  <c r="Y35" i="1"/>
  <c r="X35" i="1"/>
  <c r="AA35" i="1" s="1"/>
  <c r="W35" i="1"/>
  <c r="Z35" i="1" s="1"/>
  <c r="AB35" i="1" s="1"/>
  <c r="V35" i="1"/>
  <c r="U35" i="1"/>
  <c r="AC35" i="1" s="1"/>
  <c r="T35" i="1"/>
  <c r="R35" i="1"/>
  <c r="Q35" i="1"/>
  <c r="AY34" i="1"/>
  <c r="AX34" i="1"/>
  <c r="AZ34" i="1" s="1"/>
  <c r="AK34" i="1"/>
  <c r="AH34" i="1"/>
  <c r="AC34" i="1"/>
  <c r="Z34" i="1"/>
  <c r="AB34" i="1" s="1"/>
  <c r="Y34" i="1"/>
  <c r="X34" i="1"/>
  <c r="AA34" i="1" s="1"/>
  <c r="W34" i="1"/>
  <c r="V34" i="1"/>
  <c r="U34" i="1"/>
  <c r="T34" i="1"/>
  <c r="R34" i="1"/>
  <c r="Q34" i="1"/>
  <c r="AY33" i="1"/>
  <c r="AX33" i="1"/>
  <c r="AZ33" i="1" s="1"/>
  <c r="AH33" i="1"/>
  <c r="Y33" i="1"/>
  <c r="X33" i="1"/>
  <c r="AA33" i="1" s="1"/>
  <c r="W33" i="1"/>
  <c r="Z33" i="1" s="1"/>
  <c r="AB33" i="1" s="1"/>
  <c r="V33" i="1"/>
  <c r="AS17" i="1" s="1"/>
  <c r="U33" i="1"/>
  <c r="T33" i="1"/>
  <c r="R33" i="1"/>
  <c r="Q33" i="1"/>
  <c r="AZ32" i="1"/>
  <c r="AY32" i="1"/>
  <c r="AX32" i="1"/>
  <c r="AO32" i="1"/>
  <c r="AK32" i="1"/>
  <c r="AH32" i="1"/>
  <c r="AC32" i="1"/>
  <c r="AB32" i="1"/>
  <c r="AA32" i="1"/>
  <c r="Z32" i="1"/>
  <c r="Y32" i="1"/>
  <c r="X32" i="1"/>
  <c r="W32" i="1"/>
  <c r="V32" i="1"/>
  <c r="U32" i="1"/>
  <c r="T32" i="1"/>
  <c r="R32" i="1"/>
  <c r="Q32" i="1"/>
  <c r="AY31" i="1"/>
  <c r="AX31" i="1"/>
  <c r="AZ31" i="1" s="1"/>
  <c r="AO31" i="1"/>
  <c r="AH31" i="1"/>
  <c r="Y31" i="1"/>
  <c r="X31" i="1"/>
  <c r="AA31" i="1" s="1"/>
  <c r="W31" i="1"/>
  <c r="Z31" i="1" s="1"/>
  <c r="AB31" i="1" s="1"/>
  <c r="V31" i="1"/>
  <c r="AS16" i="1" s="1"/>
  <c r="U31" i="1"/>
  <c r="AC31" i="1" s="1"/>
  <c r="T31" i="1"/>
  <c r="AK16" i="1" s="1"/>
  <c r="R31" i="1"/>
  <c r="Q31" i="1"/>
  <c r="AY30" i="1"/>
  <c r="AX30" i="1"/>
  <c r="AZ30" i="1" s="1"/>
  <c r="AH30" i="1"/>
  <c r="AC30" i="1"/>
  <c r="AA30" i="1"/>
  <c r="Z30" i="1"/>
  <c r="AB30" i="1" s="1"/>
  <c r="Y30" i="1"/>
  <c r="X30" i="1"/>
  <c r="W30" i="1"/>
  <c r="V30" i="1"/>
  <c r="U30" i="1"/>
  <c r="T30" i="1"/>
  <c r="R30" i="1"/>
  <c r="Q30" i="1"/>
  <c r="AY29" i="1"/>
  <c r="AX29" i="1"/>
  <c r="AZ29" i="1" s="1"/>
  <c r="AS29" i="1"/>
  <c r="AO29" i="1"/>
  <c r="AH29" i="1"/>
  <c r="Y29" i="1"/>
  <c r="X29" i="1"/>
  <c r="AA29" i="1" s="1"/>
  <c r="W29" i="1"/>
  <c r="Z29" i="1" s="1"/>
  <c r="AB29" i="1" s="1"/>
  <c r="V29" i="1"/>
  <c r="U29" i="1"/>
  <c r="AC29" i="1" s="1"/>
  <c r="T29" i="1"/>
  <c r="R29" i="1"/>
  <c r="Q29" i="1"/>
  <c r="AY28" i="1"/>
  <c r="AX28" i="1"/>
  <c r="AZ28" i="1" s="1"/>
  <c r="AH28" i="1"/>
  <c r="AC28" i="1"/>
  <c r="AB28" i="1"/>
  <c r="AA28" i="1"/>
  <c r="Y28" i="1"/>
  <c r="X28" i="1"/>
  <c r="W28" i="1"/>
  <c r="Z28" i="1" s="1"/>
  <c r="V28" i="1"/>
  <c r="U28" i="1"/>
  <c r="AO15" i="1" s="1"/>
  <c r="T28" i="1"/>
  <c r="AK15" i="1" s="1"/>
  <c r="R28" i="1"/>
  <c r="Q28" i="1"/>
  <c r="AY27" i="1"/>
  <c r="AX27" i="1"/>
  <c r="AZ27" i="1" s="1"/>
  <c r="AH27" i="1"/>
  <c r="Y27" i="1"/>
  <c r="X27" i="1"/>
  <c r="AA27" i="1" s="1"/>
  <c r="W27" i="1"/>
  <c r="Z27" i="1" s="1"/>
  <c r="AB27" i="1" s="1"/>
  <c r="V27" i="1"/>
  <c r="AC27" i="1" s="1"/>
  <c r="U27" i="1"/>
  <c r="T27" i="1"/>
  <c r="AK14" i="1" s="1"/>
  <c r="R27" i="1"/>
  <c r="Q27" i="1"/>
  <c r="AY26" i="1"/>
  <c r="AX26" i="1"/>
  <c r="AZ26" i="1" s="1"/>
  <c r="AH26" i="1"/>
  <c r="AC26" i="1"/>
  <c r="AA26" i="1"/>
  <c r="Z26" i="1"/>
  <c r="AB26" i="1" s="1"/>
  <c r="Y26" i="1"/>
  <c r="X26" i="1"/>
  <c r="W26" i="1"/>
  <c r="V26" i="1"/>
  <c r="U26" i="1"/>
  <c r="T26" i="1"/>
  <c r="R26" i="1"/>
  <c r="Q26" i="1"/>
  <c r="AY25" i="1"/>
  <c r="AX25" i="1"/>
  <c r="AZ25" i="1" s="1"/>
  <c r="AO25" i="1"/>
  <c r="AH25" i="1"/>
  <c r="Z25" i="1"/>
  <c r="AB25" i="1" s="1"/>
  <c r="Y25" i="1"/>
  <c r="X25" i="1"/>
  <c r="AA25" i="1" s="1"/>
  <c r="W25" i="1"/>
  <c r="V25" i="1"/>
  <c r="U25" i="1"/>
  <c r="T25" i="1"/>
  <c r="R25" i="1"/>
  <c r="Q25" i="1"/>
  <c r="AY24" i="1"/>
  <c r="AX24" i="1"/>
  <c r="AK24" i="1"/>
  <c r="AH24" i="1"/>
  <c r="AA24" i="1"/>
  <c r="Y24" i="1"/>
  <c r="X24" i="1"/>
  <c r="W24" i="1"/>
  <c r="Z24" i="1" s="1"/>
  <c r="AB24" i="1" s="1"/>
  <c r="V24" i="1"/>
  <c r="AS13" i="1" s="1"/>
  <c r="U24" i="1"/>
  <c r="AO13" i="1" s="1"/>
  <c r="T24" i="1"/>
  <c r="AK13" i="1" s="1"/>
  <c r="R24" i="1"/>
  <c r="Q24" i="1"/>
  <c r="AZ23" i="1"/>
  <c r="AY23" i="1"/>
  <c r="AX23" i="1"/>
  <c r="AH23" i="1"/>
  <c r="Y23" i="1"/>
  <c r="X23" i="1"/>
  <c r="AA23" i="1" s="1"/>
  <c r="W23" i="1"/>
  <c r="Z23" i="1" s="1"/>
  <c r="AB23" i="1" s="1"/>
  <c r="V23" i="1"/>
  <c r="AC23" i="1" s="1"/>
  <c r="U23" i="1"/>
  <c r="T23" i="1"/>
  <c r="R23" i="1"/>
  <c r="Q23" i="1"/>
  <c r="AY22" i="1"/>
  <c r="AX22" i="1"/>
  <c r="AZ22" i="1" s="1"/>
  <c r="AS22" i="1"/>
  <c r="AK22" i="1"/>
  <c r="AH22" i="1"/>
  <c r="AC22" i="1"/>
  <c r="Y22" i="1"/>
  <c r="X22" i="1"/>
  <c r="AA22" i="1" s="1"/>
  <c r="W22" i="1"/>
  <c r="Z22" i="1" s="1"/>
  <c r="AB22" i="1" s="1"/>
  <c r="V22" i="1"/>
  <c r="U22" i="1"/>
  <c r="AO12" i="1" s="1"/>
  <c r="T22" i="1"/>
  <c r="R22" i="1"/>
  <c r="Q22" i="1"/>
  <c r="AY21" i="1"/>
  <c r="AZ21" i="1" s="1"/>
  <c r="AX21" i="1"/>
  <c r="AH21" i="1"/>
  <c r="AC21" i="1"/>
  <c r="Z21" i="1"/>
  <c r="AB21" i="1" s="1"/>
  <c r="Y21" i="1"/>
  <c r="X21" i="1"/>
  <c r="AA21" i="1" s="1"/>
  <c r="W21" i="1"/>
  <c r="V21" i="1"/>
  <c r="U21" i="1"/>
  <c r="T21" i="1"/>
  <c r="R21" i="1"/>
  <c r="Q21" i="1"/>
  <c r="AY20" i="1"/>
  <c r="AZ20" i="1" s="1"/>
  <c r="AX20" i="1"/>
  <c r="AS20" i="1"/>
  <c r="AH20" i="1"/>
  <c r="Y20" i="1"/>
  <c r="X20" i="1"/>
  <c r="AA20" i="1" s="1"/>
  <c r="W20" i="1"/>
  <c r="Z20" i="1" s="1"/>
  <c r="AB20" i="1" s="1"/>
  <c r="V20" i="1"/>
  <c r="U20" i="1"/>
  <c r="AO11" i="1" s="1"/>
  <c r="T20" i="1"/>
  <c r="AK11" i="1" s="1"/>
  <c r="R20" i="1"/>
  <c r="Q20" i="1"/>
  <c r="AZ19" i="1"/>
  <c r="AY19" i="1"/>
  <c r="AX19" i="1"/>
  <c r="AH19" i="1"/>
  <c r="Y19" i="1"/>
  <c r="X19" i="1"/>
  <c r="AA19" i="1" s="1"/>
  <c r="W19" i="1"/>
  <c r="Z19" i="1" s="1"/>
  <c r="AB19" i="1" s="1"/>
  <c r="V19" i="1"/>
  <c r="U19" i="1"/>
  <c r="T19" i="1"/>
  <c r="R19" i="1"/>
  <c r="Q19" i="1"/>
  <c r="AY18" i="1"/>
  <c r="AX18" i="1"/>
  <c r="AZ18" i="1" s="1"/>
  <c r="AS18" i="1"/>
  <c r="AO18" i="1"/>
  <c r="AK18" i="1"/>
  <c r="AH18" i="1"/>
  <c r="AC18" i="1"/>
  <c r="AA18" i="1"/>
  <c r="Y18" i="1"/>
  <c r="X18" i="1"/>
  <c r="W18" i="1"/>
  <c r="Z18" i="1" s="1"/>
  <c r="AB18" i="1" s="1"/>
  <c r="V18" i="1"/>
  <c r="U18" i="1"/>
  <c r="T18" i="1"/>
  <c r="R18" i="1"/>
  <c r="Q18" i="1"/>
  <c r="AZ17" i="1"/>
  <c r="AY17" i="1"/>
  <c r="AX17" i="1"/>
  <c r="AH17" i="1"/>
  <c r="AC17" i="1"/>
  <c r="Y17" i="1"/>
  <c r="X17" i="1"/>
  <c r="AA17" i="1" s="1"/>
  <c r="W17" i="1"/>
  <c r="Z17" i="1" s="1"/>
  <c r="AB17" i="1" s="1"/>
  <c r="V17" i="1"/>
  <c r="U17" i="1"/>
  <c r="T17" i="1"/>
  <c r="R17" i="1"/>
  <c r="Q17" i="1"/>
  <c r="AY16" i="1"/>
  <c r="AX16" i="1"/>
  <c r="AZ16" i="1" s="1"/>
  <c r="AH16" i="1"/>
  <c r="Y16" i="1"/>
  <c r="X16" i="1"/>
  <c r="AA16" i="1" s="1"/>
  <c r="W16" i="1"/>
  <c r="Z16" i="1" s="1"/>
  <c r="AB16" i="1" s="1"/>
  <c r="V16" i="1"/>
  <c r="AS9" i="1" s="1"/>
  <c r="U16" i="1"/>
  <c r="T16" i="1"/>
  <c r="AK9" i="1" s="1"/>
  <c r="R16" i="1"/>
  <c r="Q16" i="1"/>
  <c r="AZ15" i="1"/>
  <c r="AY15" i="1"/>
  <c r="AX15" i="1"/>
  <c r="AH15" i="1"/>
  <c r="AC15" i="1"/>
  <c r="AA15" i="1"/>
  <c r="Z15" i="1"/>
  <c r="AB15" i="1" s="1"/>
  <c r="Y15" i="1"/>
  <c r="X15" i="1"/>
  <c r="W15" i="1"/>
  <c r="V15" i="1"/>
  <c r="U15" i="1"/>
  <c r="T15" i="1"/>
  <c r="R15" i="1"/>
  <c r="Q15" i="1"/>
  <c r="AY14" i="1"/>
  <c r="AX14" i="1"/>
  <c r="AZ14" i="1" s="1"/>
  <c r="AS14" i="1"/>
  <c r="AO14" i="1"/>
  <c r="AH14" i="1"/>
  <c r="Y14" i="1"/>
  <c r="X14" i="1"/>
  <c r="AA14" i="1" s="1"/>
  <c r="W14" i="1"/>
  <c r="Z14" i="1" s="1"/>
  <c r="AB14" i="1" s="1"/>
  <c r="V14" i="1"/>
  <c r="AS8" i="1" s="1"/>
  <c r="U14" i="1"/>
  <c r="T14" i="1"/>
  <c r="AK8" i="1" s="1"/>
  <c r="R14" i="1"/>
  <c r="Q14" i="1"/>
  <c r="AZ13" i="1"/>
  <c r="AY13" i="1"/>
  <c r="AX13" i="1"/>
  <c r="AH13" i="1"/>
  <c r="AC13" i="1"/>
  <c r="Z13" i="1"/>
  <c r="AB13" i="1" s="1"/>
  <c r="Y13" i="1"/>
  <c r="X13" i="1"/>
  <c r="AA13" i="1" s="1"/>
  <c r="W13" i="1"/>
  <c r="V13" i="1"/>
  <c r="U13" i="1"/>
  <c r="T13" i="1"/>
  <c r="R13" i="1"/>
  <c r="Q13" i="1"/>
  <c r="AY12" i="1"/>
  <c r="AX12" i="1"/>
  <c r="AZ12" i="1" s="1"/>
  <c r="AK12" i="1"/>
  <c r="AH12" i="1"/>
  <c r="Y12" i="1"/>
  <c r="X12" i="1"/>
  <c r="AA12" i="1" s="1"/>
  <c r="W12" i="1"/>
  <c r="Z12" i="1" s="1"/>
  <c r="AB12" i="1" s="1"/>
  <c r="V12" i="1"/>
  <c r="U12" i="1"/>
  <c r="T12" i="1"/>
  <c r="R12" i="1"/>
  <c r="Q12" i="1"/>
  <c r="AY11" i="1"/>
  <c r="AX11" i="1"/>
  <c r="AZ11" i="1" s="1"/>
  <c r="AS11" i="1"/>
  <c r="AH11" i="1"/>
  <c r="Y11" i="1"/>
  <c r="X11" i="1"/>
  <c r="AA11" i="1" s="1"/>
  <c r="W11" i="1"/>
  <c r="Z11" i="1" s="1"/>
  <c r="AB11" i="1" s="1"/>
  <c r="V11" i="1"/>
  <c r="U11" i="1"/>
  <c r="AC11" i="1" s="1"/>
  <c r="T11" i="1"/>
  <c r="R11" i="1"/>
  <c r="Q11" i="1"/>
  <c r="AY10" i="1"/>
  <c r="AX10" i="1"/>
  <c r="AZ10" i="1" s="1"/>
  <c r="AS10" i="1"/>
  <c r="AO10" i="1"/>
  <c r="AK10" i="1"/>
  <c r="AH10" i="1"/>
  <c r="AB10" i="1"/>
  <c r="AA10" i="1"/>
  <c r="Y10" i="1"/>
  <c r="X10" i="1"/>
  <c r="W10" i="1"/>
  <c r="Z10" i="1" s="1"/>
  <c r="V10" i="1"/>
  <c r="U10" i="1"/>
  <c r="T10" i="1"/>
  <c r="R10" i="1"/>
  <c r="Q10" i="1"/>
  <c r="AY9" i="1"/>
  <c r="BC4" i="1" s="1"/>
  <c r="AX9" i="1"/>
  <c r="AZ9" i="1" s="1"/>
  <c r="AH9" i="1"/>
  <c r="AA9" i="1"/>
  <c r="Y9" i="1"/>
  <c r="X9" i="1"/>
  <c r="W9" i="1"/>
  <c r="Z9" i="1" s="1"/>
  <c r="AB9" i="1" s="1"/>
  <c r="V9" i="1"/>
  <c r="U9" i="1"/>
  <c r="AC9" i="1" s="1"/>
  <c r="T9" i="1"/>
  <c r="R9" i="1"/>
  <c r="Q9" i="1"/>
  <c r="AZ8" i="1"/>
  <c r="AY8" i="1"/>
  <c r="AX8" i="1"/>
  <c r="AH8" i="1"/>
  <c r="AJ8" i="1" s="1"/>
  <c r="AA8" i="1"/>
  <c r="Z8" i="1"/>
  <c r="AB8" i="1" s="1"/>
  <c r="Y8" i="1"/>
  <c r="X8" i="1"/>
  <c r="W8" i="1"/>
  <c r="V8" i="1"/>
  <c r="U8" i="1"/>
  <c r="AC8" i="1" s="1"/>
  <c r="T8" i="1"/>
  <c r="AK5" i="1" s="1"/>
  <c r="R8" i="1"/>
  <c r="Q8" i="1"/>
  <c r="AY7" i="1"/>
  <c r="AZ7" i="1" s="1"/>
  <c r="AX7" i="1"/>
  <c r="AO7" i="1"/>
  <c r="AK7" i="1"/>
  <c r="AH7" i="1"/>
  <c r="AJ7" i="1" s="1"/>
  <c r="AC7" i="1"/>
  <c r="Y7" i="1"/>
  <c r="X7" i="1"/>
  <c r="AA7" i="1" s="1"/>
  <c r="W7" i="1"/>
  <c r="Z7" i="1" s="1"/>
  <c r="AB7" i="1" s="1"/>
  <c r="V7" i="1"/>
  <c r="U7" i="1"/>
  <c r="T7" i="1"/>
  <c r="R7" i="1"/>
  <c r="Q7" i="1"/>
  <c r="AY6" i="1"/>
  <c r="AX6" i="1"/>
  <c r="AZ6" i="1" s="1"/>
  <c r="AS6" i="1"/>
  <c r="AH6" i="1"/>
  <c r="Y6" i="1"/>
  <c r="X6" i="1"/>
  <c r="AA6" i="1" s="1"/>
  <c r="W6" i="1"/>
  <c r="Z6" i="1" s="1"/>
  <c r="AB6" i="1" s="1"/>
  <c r="V6" i="1"/>
  <c r="AS4" i="1" s="1"/>
  <c r="U6" i="1"/>
  <c r="AC6" i="1" s="1"/>
  <c r="T6" i="1"/>
  <c r="R6" i="1"/>
  <c r="Q6" i="1"/>
  <c r="AY5" i="1"/>
  <c r="AX5" i="1"/>
  <c r="AS5" i="1"/>
  <c r="AH5" i="1"/>
  <c r="AJ5" i="1" s="1"/>
  <c r="AC5" i="1"/>
  <c r="Y5" i="1"/>
  <c r="X5" i="1"/>
  <c r="AA5" i="1" s="1"/>
  <c r="W5" i="1"/>
  <c r="Z5" i="1" s="1"/>
  <c r="AB5" i="1" s="1"/>
  <c r="V5" i="1"/>
  <c r="U5" i="1"/>
  <c r="T5" i="1"/>
  <c r="R5" i="1"/>
  <c r="Q5" i="1"/>
  <c r="AY4" i="1"/>
  <c r="AX4" i="1"/>
  <c r="AK4" i="1"/>
  <c r="AH4" i="1"/>
  <c r="AJ4" i="1" s="1"/>
  <c r="Y4" i="1"/>
  <c r="X4" i="1"/>
  <c r="AA4" i="1" s="1"/>
  <c r="W4" i="1"/>
  <c r="Z4" i="1" s="1"/>
  <c r="AB4" i="1" s="1"/>
  <c r="V4" i="1"/>
  <c r="AS3" i="1" s="1"/>
  <c r="U4" i="1"/>
  <c r="AC4" i="1" s="1"/>
  <c r="T4" i="1"/>
  <c r="AK3" i="1" s="1"/>
  <c r="R4" i="1"/>
  <c r="Q4" i="1"/>
  <c r="BC3" i="1"/>
  <c r="AZ3" i="1"/>
  <c r="AY3" i="1"/>
  <c r="AX3" i="1"/>
  <c r="AO3" i="1"/>
  <c r="AH3" i="1"/>
  <c r="AJ3" i="1" s="1"/>
  <c r="Y3" i="1"/>
  <c r="X3" i="1"/>
  <c r="AA3" i="1" s="1"/>
  <c r="W3" i="1"/>
  <c r="Z3" i="1" s="1"/>
  <c r="AB3" i="1" s="1"/>
  <c r="V3" i="1"/>
  <c r="U3" i="1"/>
  <c r="AC3" i="1" s="1"/>
  <c r="T3" i="1"/>
  <c r="R3" i="1"/>
  <c r="Q3" i="1"/>
  <c r="AY2" i="1"/>
  <c r="AX2" i="1"/>
  <c r="AO2" i="1"/>
  <c r="AH2" i="1"/>
  <c r="AC2" i="1"/>
  <c r="Y2" i="1"/>
  <c r="X2" i="1"/>
  <c r="AA2" i="1" s="1"/>
  <c r="W2" i="1"/>
  <c r="Z2" i="1" s="1"/>
  <c r="V2" i="1"/>
  <c r="U2" i="1"/>
  <c r="R2" i="1"/>
  <c r="Q2" i="1"/>
  <c r="AL6" i="1" l="1"/>
  <c r="AL7" i="1"/>
  <c r="AU6" i="1"/>
  <c r="AT6" i="1"/>
  <c r="AT5" i="1"/>
  <c r="Z468" i="1"/>
  <c r="AA469" i="1"/>
  <c r="AA466" i="1"/>
  <c r="AA467" i="1"/>
  <c r="AA468" i="1"/>
  <c r="AQ6" i="1"/>
  <c r="AC33" i="1"/>
  <c r="AO17" i="1"/>
  <c r="AX466" i="1"/>
  <c r="AO21" i="1"/>
  <c r="AC40" i="1"/>
  <c r="AY466" i="1"/>
  <c r="AC199" i="1"/>
  <c r="AO100" i="1"/>
  <c r="AQ7" i="1" s="1"/>
  <c r="AZ2" i="1"/>
  <c r="AC440" i="1"/>
  <c r="AO222" i="1"/>
  <c r="AP6" i="1" s="1"/>
  <c r="Z466" i="1"/>
  <c r="AB2" i="1"/>
  <c r="AO72" i="1"/>
  <c r="AC155" i="1"/>
  <c r="AO78" i="1"/>
  <c r="AC208" i="1"/>
  <c r="AS105" i="1"/>
  <c r="BC6" i="1"/>
  <c r="AC236" i="1"/>
  <c r="AO119" i="1"/>
  <c r="AS166" i="1"/>
  <c r="AU4" i="1" s="1"/>
  <c r="AS7" i="1"/>
  <c r="AC12" i="1"/>
  <c r="AC106" i="1"/>
  <c r="AO54" i="1"/>
  <c r="AC129" i="1"/>
  <c r="AC234" i="1"/>
  <c r="AO118" i="1"/>
  <c r="AO55" i="1"/>
  <c r="AC136" i="1"/>
  <c r="AO69" i="1"/>
  <c r="AS83" i="1"/>
  <c r="AC164" i="1"/>
  <c r="AC177" i="1"/>
  <c r="AS89" i="1"/>
  <c r="AO202" i="1"/>
  <c r="BC8" i="1"/>
  <c r="AC70" i="1"/>
  <c r="AO36" i="1"/>
  <c r="AC217" i="1"/>
  <c r="AO109" i="1"/>
  <c r="AC59" i="1"/>
  <c r="AO30" i="1"/>
  <c r="AO104" i="1"/>
  <c r="AC207" i="1"/>
  <c r="AC330" i="1"/>
  <c r="AO166" i="1"/>
  <c r="S5" i="1"/>
  <c r="AO4" i="1"/>
  <c r="AU5" i="1"/>
  <c r="AS25" i="1"/>
  <c r="AO46" i="1"/>
  <c r="AC88" i="1"/>
  <c r="AS182" i="1"/>
  <c r="AC47" i="1"/>
  <c r="AS57" i="1"/>
  <c r="AC84" i="1"/>
  <c r="BC5" i="1"/>
  <c r="BC2" i="1"/>
  <c r="AJ6" i="1"/>
  <c r="AO16" i="1"/>
  <c r="V468" i="1"/>
  <c r="AC20" i="1"/>
  <c r="AO22" i="1"/>
  <c r="AC42" i="1"/>
  <c r="AO61" i="1"/>
  <c r="BB4" i="1"/>
  <c r="AM6" i="1"/>
  <c r="AC10" i="1"/>
  <c r="AC25" i="1"/>
  <c r="AC37" i="1"/>
  <c r="AC72" i="1"/>
  <c r="AO84" i="1"/>
  <c r="AO47" i="1"/>
  <c r="AC92" i="1"/>
  <c r="AO50" i="1"/>
  <c r="AC98" i="1"/>
  <c r="AO138" i="1"/>
  <c r="AO216" i="1"/>
  <c r="AC222" i="1"/>
  <c r="AZ327" i="1"/>
  <c r="AO181" i="1"/>
  <c r="AC360" i="1"/>
  <c r="AC364" i="1"/>
  <c r="AO183" i="1"/>
  <c r="AC16" i="1"/>
  <c r="AO9" i="1"/>
  <c r="AC194" i="1"/>
  <c r="AO98" i="1"/>
  <c r="AC219" i="1"/>
  <c r="AO110" i="1"/>
  <c r="BB8" i="1"/>
  <c r="BB7" i="1"/>
  <c r="AC151" i="1"/>
  <c r="AO76" i="1"/>
  <c r="AO28" i="1"/>
  <c r="AP8" i="1" s="1"/>
  <c r="AC110" i="1"/>
  <c r="AC14" i="1"/>
  <c r="AC466" i="1" s="1"/>
  <c r="AO8" i="1"/>
  <c r="AC74" i="1"/>
  <c r="AO38" i="1"/>
  <c r="T468" i="1"/>
  <c r="S3" i="1"/>
  <c r="BB2" i="1"/>
  <c r="AO92" i="1"/>
  <c r="AO146" i="1"/>
  <c r="AO33" i="1"/>
  <c r="AO39" i="1"/>
  <c r="AC144" i="1"/>
  <c r="AK76" i="1"/>
  <c r="AC204" i="1"/>
  <c r="AO103" i="1"/>
  <c r="AK6" i="1"/>
  <c r="AO26" i="1"/>
  <c r="AS175" i="1"/>
  <c r="Z469" i="1"/>
  <c r="Z467" i="1"/>
  <c r="AO44" i="1"/>
  <c r="AC90" i="1"/>
  <c r="AO53" i="1"/>
  <c r="AC132" i="1"/>
  <c r="AO67" i="1"/>
  <c r="BC7" i="1"/>
  <c r="AO23" i="1"/>
  <c r="AQ8" i="1" s="1"/>
  <c r="AC44" i="1"/>
  <c r="BB6" i="1"/>
  <c r="AO178" i="1"/>
  <c r="AC94" i="1"/>
  <c r="AO48" i="1"/>
  <c r="AC140" i="1"/>
  <c r="AO71" i="1"/>
  <c r="AS216" i="1"/>
  <c r="AJ2" i="1"/>
  <c r="BB5" i="1"/>
  <c r="AC127" i="1"/>
  <c r="AO64" i="1"/>
  <c r="U468" i="1"/>
  <c r="AZ4" i="1"/>
  <c r="AZ5" i="1"/>
  <c r="S7" i="1"/>
  <c r="AO6" i="1"/>
  <c r="AP3" i="1" s="1"/>
  <c r="AP7" i="1"/>
  <c r="AO51" i="1"/>
  <c r="V466" i="1"/>
  <c r="V469" i="1"/>
  <c r="V467" i="1"/>
  <c r="AS2" i="1"/>
  <c r="AO20" i="1"/>
  <c r="AS12" i="1"/>
  <c r="AC24" i="1"/>
  <c r="AO27" i="1"/>
  <c r="AZ51" i="1"/>
  <c r="BD4" i="1" s="1"/>
  <c r="AC52" i="1"/>
  <c r="AC61" i="1"/>
  <c r="AO81" i="1"/>
  <c r="AO93" i="1"/>
  <c r="AZ112" i="1"/>
  <c r="AS58" i="1"/>
  <c r="AC130" i="1"/>
  <c r="AC134" i="1"/>
  <c r="AO68" i="1"/>
  <c r="AK78" i="1"/>
  <c r="AL2" i="1" s="1"/>
  <c r="AC157" i="1"/>
  <c r="AC158" i="1"/>
  <c r="AO80" i="1"/>
  <c r="AC170" i="1"/>
  <c r="AZ175" i="1"/>
  <c r="AZ199" i="1"/>
  <c r="AC292" i="1"/>
  <c r="AC295" i="1"/>
  <c r="AO148" i="1"/>
  <c r="AC358" i="1"/>
  <c r="AO180" i="1"/>
  <c r="V472" i="1"/>
  <c r="U472" i="1"/>
  <c r="T472" i="1"/>
  <c r="AK17" i="1"/>
  <c r="AK29" i="1"/>
  <c r="AS64" i="1"/>
  <c r="AT4" i="1" s="1"/>
  <c r="AC247" i="1"/>
  <c r="AO124" i="1"/>
  <c r="AO169" i="1"/>
  <c r="AC336" i="1"/>
  <c r="AS225" i="1"/>
  <c r="AC446" i="1"/>
  <c r="AS227" i="1"/>
  <c r="AC459" i="1"/>
  <c r="AO231" i="1"/>
  <c r="AS45" i="1"/>
  <c r="AU2" i="1" s="1"/>
  <c r="AO227" i="1"/>
  <c r="AC450" i="1"/>
  <c r="AS187" i="1"/>
  <c r="AC220" i="1"/>
  <c r="AS111" i="1"/>
  <c r="AK168" i="1"/>
  <c r="AC335" i="1"/>
  <c r="AO197" i="1"/>
  <c r="AC392" i="1"/>
  <c r="AS87" i="1"/>
  <c r="AC172" i="1"/>
  <c r="AO102" i="1"/>
  <c r="AC202" i="1"/>
  <c r="AZ24" i="1"/>
  <c r="BD6" i="1" s="1"/>
  <c r="V473" i="1"/>
  <c r="U473" i="1"/>
  <c r="T473" i="1"/>
  <c r="T466" i="1"/>
  <c r="T467" i="1"/>
  <c r="T469" i="1"/>
  <c r="BB3" i="1"/>
  <c r="AC19" i="1"/>
  <c r="AS51" i="1"/>
  <c r="AC103" i="1"/>
  <c r="AC145" i="1"/>
  <c r="AC153" i="1"/>
  <c r="AS99" i="1"/>
  <c r="AT2" i="1" s="1"/>
  <c r="AC240" i="1"/>
  <c r="AC334" i="1"/>
  <c r="AS231" i="1"/>
  <c r="AC458" i="1"/>
  <c r="AM7" i="1"/>
  <c r="AS15" i="1"/>
  <c r="AT3" i="1" s="1"/>
  <c r="U466" i="1"/>
  <c r="U467" i="1"/>
  <c r="U469" i="1"/>
  <c r="AO5" i="1"/>
  <c r="AZ52" i="1"/>
  <c r="BD8" i="1" s="1"/>
  <c r="AC67" i="1"/>
  <c r="AZ78" i="1"/>
  <c r="AC115" i="1"/>
  <c r="AC296" i="1"/>
  <c r="AZ313" i="1"/>
  <c r="AC332" i="1"/>
  <c r="AK183" i="1"/>
  <c r="AO157" i="1"/>
  <c r="AC312" i="1"/>
  <c r="AK164" i="1"/>
  <c r="AK176" i="1"/>
  <c r="AK188" i="1"/>
  <c r="AC79" i="1"/>
  <c r="AK65" i="1"/>
  <c r="AL5" i="1" s="1"/>
  <c r="AC139" i="1"/>
  <c r="AS75" i="1"/>
  <c r="AZ150" i="1"/>
  <c r="AC161" i="1"/>
  <c r="AC166" i="1"/>
  <c r="AC190" i="1"/>
  <c r="AC250" i="1"/>
  <c r="AC288" i="1"/>
  <c r="AC311" i="1"/>
  <c r="AC326" i="1"/>
  <c r="AO164" i="1"/>
  <c r="AO176" i="1"/>
  <c r="AC350" i="1"/>
  <c r="AC374" i="1"/>
  <c r="AO188" i="1"/>
  <c r="AZ380" i="1"/>
  <c r="AC452" i="1"/>
  <c r="AO228" i="1"/>
  <c r="AZ465" i="1"/>
  <c r="AK53" i="1"/>
  <c r="AC187" i="1"/>
  <c r="AO94" i="1"/>
  <c r="AO196" i="1"/>
  <c r="AC209" i="1"/>
  <c r="AC248" i="1"/>
  <c r="AC286" i="1"/>
  <c r="AC287" i="1"/>
  <c r="AZ292" i="1"/>
  <c r="AC310" i="1"/>
  <c r="AO203" i="1"/>
  <c r="AC404" i="1"/>
  <c r="AS211" i="1"/>
  <c r="AC420" i="1"/>
  <c r="AC451" i="1"/>
  <c r="AZ462" i="1"/>
  <c r="AZ165" i="1"/>
  <c r="AO182" i="1"/>
  <c r="AC216" i="1"/>
  <c r="AK152" i="1"/>
  <c r="AC384" i="1"/>
  <c r="AO193" i="1"/>
  <c r="AZ399" i="1"/>
  <c r="AC412" i="1"/>
  <c r="AO207" i="1"/>
  <c r="AC278" i="1"/>
  <c r="AC302" i="1"/>
  <c r="AC316" i="1"/>
  <c r="AO159" i="1"/>
  <c r="AZ333" i="1"/>
  <c r="AC340" i="1"/>
  <c r="AO171" i="1"/>
  <c r="AC432" i="1"/>
  <c r="AZ447" i="1"/>
  <c r="AO232" i="1"/>
  <c r="AC460" i="1"/>
  <c r="AZ177" i="1"/>
  <c r="AZ219" i="1"/>
  <c r="BD3" i="1" s="1"/>
  <c r="AZ228" i="1"/>
  <c r="AC356" i="1"/>
  <c r="AC382" i="1"/>
  <c r="AC383" i="1"/>
  <c r="AC411" i="1"/>
  <c r="AC224" i="1"/>
  <c r="AZ247" i="1"/>
  <c r="AC268" i="1"/>
  <c r="AC306" i="1"/>
  <c r="AZ309" i="1"/>
  <c r="AC378" i="1"/>
  <c r="AC387" i="1"/>
  <c r="AC426" i="1"/>
  <c r="AC435" i="1"/>
  <c r="AO220" i="1"/>
  <c r="AC212" i="1"/>
  <c r="AS208" i="1"/>
  <c r="AS220" i="1"/>
  <c r="AM4" i="1" l="1"/>
  <c r="AM5" i="1"/>
  <c r="AL8" i="1"/>
  <c r="AM2" i="1"/>
  <c r="AQ4" i="1"/>
  <c r="AP4" i="1"/>
  <c r="AM8" i="1"/>
  <c r="BC10" i="1"/>
  <c r="BC11" i="1"/>
  <c r="BC12" i="1"/>
  <c r="AL3" i="1"/>
  <c r="AM3" i="1"/>
  <c r="AQ3" i="1"/>
  <c r="AL4" i="1"/>
  <c r="BD2" i="1"/>
  <c r="BB10" i="1"/>
  <c r="BB12" i="1"/>
  <c r="BB11" i="1"/>
  <c r="AQ5" i="1"/>
  <c r="AP5" i="1"/>
  <c r="AU7" i="1"/>
  <c r="AT7" i="1"/>
  <c r="AQ2" i="1"/>
  <c r="AP2" i="1"/>
  <c r="AC467" i="1"/>
  <c r="BD5" i="1"/>
  <c r="AU3" i="1"/>
  <c r="AZ466" i="1"/>
  <c r="BD7" i="1"/>
  <c r="AT8" i="1"/>
  <c r="AU8" i="1"/>
  <c r="AB469" i="1"/>
  <c r="AB466" i="1"/>
  <c r="AB467" i="1"/>
  <c r="AB468" i="1"/>
  <c r="BD10" i="1" l="1"/>
  <c r="BD11" i="1"/>
  <c r="BD12" i="1"/>
</calcChain>
</file>

<file path=xl/sharedStrings.xml><?xml version="1.0" encoding="utf-8"?>
<sst xmlns="http://schemas.openxmlformats.org/spreadsheetml/2006/main" count="1968" uniqueCount="325">
  <si>
    <t>name</t>
  </si>
  <si>
    <t>year</t>
  </si>
  <si>
    <t>pop_n</t>
  </si>
  <si>
    <t>pop_u</t>
  </si>
  <si>
    <t>wat_bas_n</t>
  </si>
  <si>
    <t>wat_lim_n</t>
  </si>
  <si>
    <t>wat_unimp_n</t>
  </si>
  <si>
    <t>wat_sur_n</t>
  </si>
  <si>
    <t>wat_bas_r</t>
  </si>
  <si>
    <t>wat_lim_r</t>
  </si>
  <si>
    <t>wat_unimp_r</t>
  </si>
  <si>
    <t>wat_sur_r</t>
  </si>
  <si>
    <t>wat_bas_u</t>
  </si>
  <si>
    <t>wat_lim_u</t>
  </si>
  <si>
    <t>wat_unimp_u</t>
  </si>
  <si>
    <t>wat_sur_u</t>
  </si>
  <si>
    <t>name_year_column</t>
  </si>
  <si>
    <t>y_difference</t>
  </si>
  <si>
    <t>Q2: 4.8</t>
  </si>
  <si>
    <t>arc_n</t>
  </si>
  <si>
    <t>arc_r</t>
  </si>
  <si>
    <t>arc_u</t>
  </si>
  <si>
    <t>wat_bas_n(rounded)</t>
  </si>
  <si>
    <t>wat_bas_r(rounded)</t>
  </si>
  <si>
    <t>wat_bas_u(rounded)</t>
  </si>
  <si>
    <t>ARC_n_full</t>
  </si>
  <si>
    <t>ARC_r_full</t>
  </si>
  <si>
    <t>ARC_u_full</t>
  </si>
  <si>
    <t>ARC_Diff</t>
  </si>
  <si>
    <t>region</t>
  </si>
  <si>
    <t>new_column</t>
  </si>
  <si>
    <t>countries_per_region</t>
  </si>
  <si>
    <t>ARC_N_PER_COUNTRY</t>
  </si>
  <si>
    <t>ARC_N_PER_REGION</t>
  </si>
  <si>
    <t>avg_arc_n_per_region</t>
  </si>
  <si>
    <t>ARC_R_PER_COUNTRY</t>
  </si>
  <si>
    <t>ARC_R_PER_REGION</t>
  </si>
  <si>
    <t>avg_arc_r_per_region</t>
  </si>
  <si>
    <t>ARC_U_PER_COUNTRY</t>
  </si>
  <si>
    <t>ARC_U_PER_REGION</t>
  </si>
  <si>
    <t>avg_arc_u_per_region</t>
  </si>
  <si>
    <t>question10_working_out</t>
  </si>
  <si>
    <t>population_n_per_country</t>
  </si>
  <si>
    <t>population_u_per_country</t>
  </si>
  <si>
    <t>population_r_per_country</t>
  </si>
  <si>
    <t>population_n_region</t>
  </si>
  <si>
    <t>population_u_region</t>
  </si>
  <si>
    <t>population_r_region</t>
  </si>
  <si>
    <t>Afghanistan</t>
  </si>
  <si>
    <t>avg_year_diff_per_country</t>
  </si>
  <si>
    <t>South Asia</t>
  </si>
  <si>
    <t>East Asia &amp; Pacific</t>
  </si>
  <si>
    <t>Albania</t>
  </si>
  <si>
    <t>Europe &amp; Central Asia</t>
  </si>
  <si>
    <t>min_year_diff</t>
  </si>
  <si>
    <t>Algeria</t>
  </si>
  <si>
    <t>Middle East &amp; North Africa</t>
  </si>
  <si>
    <t>Latin America &amp; Caribbean</t>
  </si>
  <si>
    <t>American Samoa</t>
  </si>
  <si>
    <t>max_year_diff</t>
  </si>
  <si>
    <t>Andorra</t>
  </si>
  <si>
    <t>North America</t>
  </si>
  <si>
    <t>Angola</t>
  </si>
  <si>
    <t>Sub-Saharan Africa</t>
  </si>
  <si>
    <t>null</t>
  </si>
  <si>
    <t>Anguilla</t>
  </si>
  <si>
    <t>Antigua and Barbuda</t>
  </si>
  <si>
    <t>Argentina</t>
  </si>
  <si>
    <t>SUM</t>
  </si>
  <si>
    <t>Armenia</t>
  </si>
  <si>
    <t>MAX</t>
  </si>
  <si>
    <t>Aruba</t>
  </si>
  <si>
    <t>MIN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</si>
  <si>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</si>
  <si>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</si>
  <si>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</si>
  <si>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</si>
  <si>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</si>
  <si>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</si>
  <si>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</si>
  <si>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</si>
  <si>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</si>
  <si>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</si>
  <si>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</si>
  <si>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</si>
  <si>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</si>
  <si>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 (Plurinational State of)</t>
  </si>
  <si>
    <t>Bosnia and Herzegovina</t>
  </si>
  <si>
    <t>Botswana</t>
  </si>
  <si>
    <t>Brazil</t>
  </si>
  <si>
    <t>British Virgin Islands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</si>
  <si>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</si>
  <si>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</si>
  <si>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</si>
  <si>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</si>
  <si>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</si>
  <si>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</si>
  <si>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</si>
  <si>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</si>
  <si>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Cayman Islands</t>
  </si>
  <si>
    <t>Central African Republic</t>
  </si>
  <si>
    <t>Chad</t>
  </si>
  <si>
    <t>Channel Islands</t>
  </si>
  <si>
    <t>Chile</t>
  </si>
  <si>
    <t>China</t>
  </si>
  <si>
    <t>China, Hong Kong SAR</t>
  </si>
  <si>
    <t>China, Macao SAR</t>
  </si>
  <si>
    <t>Colombia</t>
  </si>
  <si>
    <t>Comoros</t>
  </si>
  <si>
    <t>Congo</t>
  </si>
  <si>
    <t>Cook Islands</t>
  </si>
  <si>
    <t>Costa Rica</t>
  </si>
  <si>
    <t>Côte d'Ivoire</t>
  </si>
  <si>
    <t>Croatia</t>
  </si>
  <si>
    <t>Cuba</t>
  </si>
  <si>
    <t>Curaçao</t>
  </si>
  <si>
    <t>Cyprus</t>
  </si>
  <si>
    <t>Czech Republic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</si>
  <si>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</si>
  <si>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</si>
  <si>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</si>
  <si>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</si>
  <si>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</si>
  <si>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</si>
  <si>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</si>
  <si>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</si>
  <si>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</si>
  <si>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</si>
  <si>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</si>
  <si>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</si>
  <si>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</si>
  <si>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</si>
  <si>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Faeroe Islands</t>
  </si>
  <si>
    <t>Falkland Islands (Malvinas)</t>
  </si>
  <si>
    <t>Fiji</t>
  </si>
  <si>
    <t>Finland</t>
  </si>
  <si>
    <t>France</t>
  </si>
  <si>
    <t>French Guiana</t>
  </si>
  <si>
    <t>French Polynesia</t>
  </si>
  <si>
    <t>Gabon</t>
  </si>
  <si>
    <t>Gambia</t>
  </si>
  <si>
    <t>Georgia</t>
  </si>
  <si>
    <t>Germany</t>
  </si>
  <si>
    <t>Ghana</t>
  </si>
  <si>
    <t>Gibraltar</t>
  </si>
  <si>
    <t>Greece</t>
  </si>
  <si>
    <t>Greenland</t>
  </si>
  <si>
    <t>Grenada</t>
  </si>
  <si>
    <t>Guadeloupe</t>
  </si>
  <si>
    <t>Guam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</si>
  <si>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</si>
  <si>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</si>
  <si>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</si>
  <si>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</si>
  <si>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</si>
  <si>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</si>
  <si>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</si>
  <si>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</si>
  <si>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</si>
  <si>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</si>
  <si>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</si>
  <si>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</si>
  <si>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</si>
  <si>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Isle of Man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</si>
  <si>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</si>
  <si>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</si>
  <si>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</si>
  <si>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</si>
  <si>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</si>
  <si>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</si>
  <si>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</si>
  <si>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</si>
  <si>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</si>
  <si>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</si>
  <si>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</si>
  <si>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</si>
  <si>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</si>
  <si>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</si>
  <si>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</si>
  <si>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</si>
  <si>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</si>
  <si>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</si>
  <si>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</si>
  <si>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</si>
  <si>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</si>
  <si>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</si>
  <si>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</si>
  <si>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</si>
  <si>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</si>
  <si>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</si>
  <si>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Martinique</t>
  </si>
  <si>
    <t>Mauritania</t>
  </si>
  <si>
    <t>Mauritius</t>
  </si>
  <si>
    <t>Mayotte</t>
  </si>
  <si>
    <t>Mexico</t>
  </si>
  <si>
    <t>Micronesia (Federated States of)</t>
  </si>
  <si>
    <t>Monaco</t>
  </si>
  <si>
    <t>Mongolia</t>
  </si>
  <si>
    <t>Montenegro</t>
  </si>
  <si>
    <t>Montserrat</t>
  </si>
  <si>
    <t>Morocco</t>
  </si>
  <si>
    <t>Mozambique</t>
  </si>
  <si>
    <t>Myanmar</t>
  </si>
  <si>
    <t>Namibia</t>
  </si>
  <si>
    <t>Nauru</t>
  </si>
  <si>
    <t>Nepal</t>
  </si>
  <si>
    <t>Netherlands</t>
  </si>
  <si>
    <t>New Caledonia</t>
  </si>
  <si>
    <t>New Zealand</t>
  </si>
  <si>
    <t>Nicaragua</t>
  </si>
  <si>
    <t>Niger</t>
  </si>
  <si>
    <t>Nigeria</t>
  </si>
  <si>
    <t>Niue</t>
  </si>
  <si>
    <t>North Macedonia</t>
  </si>
  <si>
    <t>Northern Mariana Islands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</si>
  <si>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</si>
  <si>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</si>
  <si>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</si>
  <si>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</si>
  <si>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</si>
  <si>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</si>
  <si>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</si>
  <si>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</si>
  <si>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</si>
  <si>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</si>
  <si>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</si>
  <si>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Puerto Rico</t>
  </si>
  <si>
    <t>Qatar</t>
  </si>
  <si>
    <t>Republic of Korea</t>
  </si>
  <si>
    <t>Republic of Moldova</t>
  </si>
  <si>
    <t>Réunion</t>
  </si>
  <si>
    <t>Romania</t>
  </si>
  <si>
    <t>Russian Federation</t>
  </si>
  <si>
    <t>Rwanda</t>
  </si>
  <si>
    <t>Saint Barthelemy</t>
  </si>
  <si>
    <t>Saint Helena</t>
  </si>
  <si>
    <t>Saint Kitts and Nevis</t>
  </si>
  <si>
    <t>Saint Lucia</t>
  </si>
  <si>
    <t>Saint Martin (French part)</t>
  </si>
  <si>
    <t>Saint Pierre and Miquelon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</si>
  <si>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</si>
  <si>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</si>
  <si>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</si>
  <si>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</si>
  <si>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</si>
  <si>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</si>
  <si>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</si>
  <si>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</si>
  <si>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</si>
  <si>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</si>
  <si>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 (Dutch part)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</si>
  <si>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</si>
  <si>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</si>
  <si>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</si>
  <si>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</si>
  <si>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</si>
  <si>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</si>
  <si>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</si>
  <si>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</si>
  <si>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</si>
  <si>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</si>
  <si>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Sweden</t>
  </si>
  <si>
    <t>Switzerland</t>
  </si>
  <si>
    <t>Syrian Arab Republic</t>
  </si>
  <si>
    <t>Tajikistan</t>
  </si>
  <si>
    <t>Thailand</t>
  </si>
  <si>
    <t>Timor-Leste</t>
  </si>
  <si>
    <t>Togo</t>
  </si>
  <si>
    <t>Tokelau</t>
  </si>
  <si>
    <t>Tonga</t>
  </si>
  <si>
    <t>Trinidad and Tobago</t>
  </si>
  <si>
    <t>Tunisia</t>
  </si>
  <si>
    <t>Turkey</t>
  </si>
  <si>
    <t>Turkmenistan</t>
  </si>
  <si>
    <t>Turks and Caicos Islands</t>
  </si>
  <si>
    <t>Tuvalu</t>
  </si>
  <si>
    <t>Uganda</t>
  </si>
  <si>
    <t>Ukraine</t>
  </si>
  <si>
    <t>United Arab Emirates</t>
  </si>
  <si>
    <t>United Kingdom</t>
  </si>
  <si>
    <t>United Republic of Tanzania</t>
  </si>
  <si>
    <t>United States</t>
  </si>
  <si>
    <t>United States of America</t>
  </si>
  <si>
    <t>United States Virgin Islands</t>
  </si>
  <si>
    <t>Uruguay</t>
  </si>
  <si>
    <t>Uzbekistan</t>
  </si>
  <si>
    <t>Vanuatu</t>
  </si>
  <si>
    <t>Venezuela (Bolivarian Republic of)</t>
  </si>
  <si>
    <t>Viet Nam</t>
  </si>
  <si>
    <t>Wallis and Futuna Islands</t>
  </si>
  <si>
    <t>West Bank and Gaza Strip</t>
  </si>
  <si>
    <t>Yemen</t>
  </si>
  <si>
    <t>Zambia</t>
  </si>
  <si>
    <t>Zimbabwe</t>
  </si>
  <si>
    <t>avg</t>
  </si>
  <si>
    <t>sum_of_fully_accessible</t>
  </si>
  <si>
    <t>MEAN</t>
  </si>
  <si>
    <t>Q8</t>
  </si>
  <si>
    <t>SUM_Total_Population</t>
  </si>
  <si>
    <t>confirmed_answers</t>
  </si>
  <si>
    <t>wrong</t>
  </si>
  <si>
    <t xml:space="preserve">Q10: working out </t>
  </si>
  <si>
    <t>MCQ Test Result</t>
  </si>
  <si>
    <t>min</t>
  </si>
  <si>
    <t>sum_of_ARC_equals_zero_and_is_fully_accessible</t>
  </si>
  <si>
    <t>MEDIAN</t>
  </si>
  <si>
    <t>Q1: False</t>
  </si>
  <si>
    <t>max</t>
  </si>
  <si>
    <t>sum_of_ARC_&lt;zero_and_doesnt_have_fully_accessible</t>
  </si>
  <si>
    <t>no_of_countries_with_missing_arc_values</t>
  </si>
  <si>
    <t>sum_of_ARC_&gt;zero_and_doesnt_have_fully_accessible</t>
  </si>
  <si>
    <t>Q3: 2 distinct peaks multiple choice option</t>
  </si>
  <si>
    <t>no_of_countries_with_100%_service_levels</t>
  </si>
  <si>
    <t>Q5_ Wrong</t>
  </si>
  <si>
    <t>Q4: 0.48</t>
  </si>
  <si>
    <t>Q6: More countries had full access to basic water services in urban areas</t>
  </si>
  <si>
    <t>Q5: 21</t>
  </si>
  <si>
    <t>no_of_countries_with_0%_ARC_and_100_service_level</t>
  </si>
  <si>
    <t>Q5</t>
  </si>
  <si>
    <t>no_of_countries_with_0%_ARC_excluding_100_service_level</t>
  </si>
  <si>
    <t>Q7: South Sudan and Morocco</t>
  </si>
  <si>
    <t>Q8: More countries had higher ARC Rural than Urban</t>
  </si>
  <si>
    <t>Q9:Sub-Saharan Africa</t>
  </si>
  <si>
    <t>Q10: only BCD</t>
  </si>
  <si>
    <t>NOTE: I did guess work for Q10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</si>
</sst>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1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11"/>
      <color rgb="FF1F1F1F"/>
      <name val="Arial"/>
      <scheme val="minor"/>
    </font>
    <font>
      <sz val="10"/>
      <color rgb="FF1F1F1F"/>
      <name val="Arial"/>
    </font>
    <font>
      <b/>
      <sz val="10"/>
      <color rgb="FF1F1F1F"/>
      <name val="Arial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F9CB9C"/>
        <bgColor rgb="FFF9C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1" fillId="3" borderId="0" xfId="0" applyFont="1" applyFill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2" borderId="0" xfId="0" applyFont="1" applyFill="1"/>
    <xf numFmtId="0" fontId="5" fillId="0" borderId="0" xfId="0" applyFont="1"/>
    <xf numFmtId="0" fontId="4" fillId="4" borderId="0" xfId="0" applyFont="1" applyFill="1"/>
    <xf numFmtId="0" fontId="4" fillId="5" borderId="0" xfId="0" applyFont="1" applyFill="1"/>
    <xf numFmtId="0" fontId="7" fillId="5" borderId="0" xfId="0" applyFont="1" applyFill="1"/>
    <xf numFmtId="0" fontId="4" fillId="0" borderId="0" xfId="0" applyFont="1" applyAlignment="1">
      <alignment horizontal="right"/>
    </xf>
    <xf numFmtId="4" fontId="2" fillId="0" borderId="0" xfId="0" applyNumberFormat="1" applyFont="1"/>
    <xf numFmtId="0" fontId="8" fillId="2" borderId="0" xfId="0" applyFont="1" applyFill="1"/>
    <xf numFmtId="0" fontId="7" fillId="0" borderId="0" xfId="0" applyFont="1"/>
    <xf numFmtId="0" fontId="2" fillId="3" borderId="0" xfId="0" applyFont="1" applyFill="1"/>
    <xf numFmtId="0" fontId="2" fillId="2" borderId="0" xfId="0" applyFont="1" applyFill="1"/>
    <xf numFmtId="0" fontId="2" fillId="6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0" borderId="0" xfId="0" applyFont="1" applyAlignment="1">
      <alignment wrapText="1"/>
    </xf>
    <xf numFmtId="0" fontId="9" fillId="0" borderId="0" xfId="0" applyFont="1"/>
    <xf numFmtId="0" fontId="10" fillId="0" borderId="0" xfId="0" applyFont="1"/>
    <xf numFmtId="0" fontId="2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National ARCs per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8B4-4EE1-A403-4B456034A72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8B4-4EE1-A403-4B456034A72F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8B4-4EE1-A403-4B456034A72F}"/>
              </c:ext>
            </c:extLst>
          </c:dPt>
          <c:dPt>
            <c:idx val="3"/>
            <c:invertIfNegative val="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8B4-4EE1-A403-4B456034A72F}"/>
              </c:ext>
            </c:extLst>
          </c:dPt>
          <c:dPt>
            <c:idx val="4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8B4-4EE1-A403-4B456034A72F}"/>
              </c:ext>
            </c:extLst>
          </c:dPt>
          <c:dPt>
            <c:idx val="5"/>
            <c:invertIfNegative val="1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8B4-4EE1-A403-4B456034A72F}"/>
              </c:ext>
            </c:extLst>
          </c:dPt>
          <c:dPt>
            <c:idx val="6"/>
            <c:invertIfNegative val="1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8B4-4EE1-A403-4B456034A72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'Estimates of the use of water ('!$AI$2:$AI$8</c:f>
              <c:strCache>
                <c:ptCount val="7"/>
                <c:pt idx="0">
                  <c:v>East Asia &amp; Pacific</c:v>
                </c:pt>
                <c:pt idx="1">
                  <c:v>Europe &amp; Central Asia</c:v>
                </c:pt>
                <c:pt idx="2">
                  <c:v>Latin America &amp; Caribbean</c:v>
                </c:pt>
                <c:pt idx="3">
                  <c:v>Middle East &amp; North Africa</c:v>
                </c:pt>
                <c:pt idx="4">
                  <c:v>North America</c:v>
                </c:pt>
                <c:pt idx="5">
                  <c:v>South Asia</c:v>
                </c:pt>
                <c:pt idx="6">
                  <c:v>Sub-Saharan Africa</c:v>
                </c:pt>
              </c:strCache>
            </c:strRef>
          </c:cat>
          <c:val>
            <c:numRef>
              <c:f>'Estimates of the use of water ('!$AM$2:$AM$8</c:f>
              <c:numCache>
                <c:formatCode>General</c:formatCode>
                <c:ptCount val="7"/>
                <c:pt idx="0">
                  <c:v>0.27843490218750017</c:v>
                </c:pt>
                <c:pt idx="1">
                  <c:v>0.10994069037500029</c:v>
                </c:pt>
                <c:pt idx="2">
                  <c:v>0.14141600237500015</c:v>
                </c:pt>
                <c:pt idx="3">
                  <c:v>0.34556302339999972</c:v>
                </c:pt>
                <c:pt idx="4">
                  <c:v>1.4298663000000052E-2</c:v>
                </c:pt>
                <c:pt idx="5">
                  <c:v>0.48023040018181767</c:v>
                </c:pt>
                <c:pt idx="6">
                  <c:v>0.55828082074528296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86-47B5-B0B9-36076E4CF9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77552604"/>
        <c:axId val="1959512332"/>
      </c:barChart>
      <c:catAx>
        <c:axId val="4775526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9512332"/>
        <c:crosses val="autoZero"/>
        <c:auto val="1"/>
        <c:lblAlgn val="ctr"/>
        <c:lblOffset val="100"/>
        <c:noMultiLvlLbl val="1"/>
      </c:catAx>
      <c:valAx>
        <c:axId val="1959512332"/>
        <c:scaling>
          <c:orientation val="minMax"/>
          <c:max val="0.7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ARC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4775526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ZA" b="0">
                <a:solidFill>
                  <a:srgbClr val="757575"/>
                </a:solidFill>
                <a:latin typeface="+mn-lt"/>
              </a:rPr>
              <a:t>Rural ARCs per Region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'Estimates of the use of water ('!$AQ$1</c:f>
              <c:strCache>
                <c:ptCount val="1"/>
                <c:pt idx="0">
                  <c:v>avg_arc_r_per_region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'Estimates of the use of water ('!$AI$2:$AI$9</c:f>
              <c:strCache>
                <c:ptCount val="7"/>
                <c:pt idx="0">
                  <c:v>East Asia &amp; Pacific</c:v>
                </c:pt>
                <c:pt idx="1">
                  <c:v>Europe &amp; Central Asia</c:v>
                </c:pt>
                <c:pt idx="2">
                  <c:v>Latin America &amp; Caribbean</c:v>
                </c:pt>
                <c:pt idx="3">
                  <c:v>Middle East &amp; North Africa</c:v>
                </c:pt>
                <c:pt idx="4">
                  <c:v>North America</c:v>
                </c:pt>
                <c:pt idx="5">
                  <c:v>South Asia</c:v>
                </c:pt>
                <c:pt idx="6">
                  <c:v>Sub-Saharan Africa</c:v>
                </c:pt>
              </c:strCache>
            </c:strRef>
          </c:cat>
          <c:val>
            <c:numRef>
              <c:f>'Estimates of the use of water ('!$AQ$2:$AQ$8</c:f>
              <c:numCache>
                <c:formatCode>General</c:formatCode>
                <c:ptCount val="7"/>
                <c:pt idx="0">
                  <c:v>0.30467688104999985</c:v>
                </c:pt>
                <c:pt idx="1">
                  <c:v>0.17181368293750007</c:v>
                </c:pt>
                <c:pt idx="2">
                  <c:v>0.32598402979166652</c:v>
                </c:pt>
                <c:pt idx="3">
                  <c:v>0.58958978319999988</c:v>
                </c:pt>
                <c:pt idx="4">
                  <c:v>7.1165655000000549E-2</c:v>
                </c:pt>
                <c:pt idx="5">
                  <c:v>0.55914462672727272</c:v>
                </c:pt>
                <c:pt idx="6">
                  <c:v>0.55861472052830197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2E-4B0E-83B9-234073C12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6069249"/>
        <c:axId val="1968598447"/>
      </c:barChart>
      <c:catAx>
        <c:axId val="1026069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ZA" b="0">
                    <a:solidFill>
                      <a:srgbClr val="000000"/>
                    </a:solidFill>
                    <a:latin typeface="+mn-lt"/>
                  </a:rPr>
                  <a:t>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8598447"/>
        <c:crosses val="autoZero"/>
        <c:auto val="1"/>
        <c:lblAlgn val="ctr"/>
        <c:lblOffset val="100"/>
        <c:noMultiLvlLbl val="1"/>
      </c:catAx>
      <c:valAx>
        <c:axId val="1968598447"/>
        <c:scaling>
          <c:orientation val="minMax"/>
          <c:max val="0.7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ZA" b="0">
                    <a:solidFill>
                      <a:srgbClr val="000000"/>
                    </a:solidFill>
                    <a:latin typeface="+mn-lt"/>
                  </a:rPr>
                  <a:t>ARC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60692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ZA" b="0">
                <a:solidFill>
                  <a:srgbClr val="757575"/>
                </a:solidFill>
                <a:latin typeface="+mn-lt"/>
              </a:rPr>
              <a:t>Urban ARCs per Region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'Estimates of the use of water ('!$AI$2:$AI$8</c:f>
              <c:strCache>
                <c:ptCount val="7"/>
                <c:pt idx="0">
                  <c:v>East Asia &amp; Pacific</c:v>
                </c:pt>
                <c:pt idx="1">
                  <c:v>Europe &amp; Central Asia</c:v>
                </c:pt>
                <c:pt idx="2">
                  <c:v>Latin America &amp; Caribbean</c:v>
                </c:pt>
                <c:pt idx="3">
                  <c:v>Middle East &amp; North Africa</c:v>
                </c:pt>
                <c:pt idx="4">
                  <c:v>North America</c:v>
                </c:pt>
                <c:pt idx="5">
                  <c:v>South Asia</c:v>
                </c:pt>
                <c:pt idx="6">
                  <c:v>Sub-Saharan Africa</c:v>
                </c:pt>
              </c:strCache>
            </c:strRef>
          </c:cat>
          <c:val>
            <c:numRef>
              <c:f>'Estimates of the use of water ('!$AU$2:$AU$8</c:f>
              <c:numCache>
                <c:formatCode>General</c:formatCode>
                <c:ptCount val="7"/>
                <c:pt idx="0">
                  <c:v>0.15724659679999997</c:v>
                </c:pt>
                <c:pt idx="1">
                  <c:v>3.8917913593750082E-2</c:v>
                </c:pt>
                <c:pt idx="2">
                  <c:v>4.3210963333333352E-2</c:v>
                </c:pt>
                <c:pt idx="3">
                  <c:v>9.9182435999999236E-2</c:v>
                </c:pt>
                <c:pt idx="4">
                  <c:v>1.3554490000004195E-3</c:v>
                </c:pt>
                <c:pt idx="5">
                  <c:v>0.26548867309090962</c:v>
                </c:pt>
                <c:pt idx="6">
                  <c:v>0.2499616391320755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5C-47AC-AFAE-28572FA55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216882"/>
        <c:axId val="1184168969"/>
      </c:barChart>
      <c:catAx>
        <c:axId val="12392168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ZA" b="0">
                    <a:solidFill>
                      <a:srgbClr val="000000"/>
                    </a:solidFill>
                    <a:latin typeface="+mn-lt"/>
                  </a:rPr>
                  <a:t>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84168969"/>
        <c:crosses val="autoZero"/>
        <c:auto val="1"/>
        <c:lblAlgn val="ctr"/>
        <c:lblOffset val="100"/>
        <c:noMultiLvlLbl val="1"/>
      </c:catAx>
      <c:valAx>
        <c:axId val="1184168969"/>
        <c:scaling>
          <c:orientation val="minMax"/>
          <c:max val="0.3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ZA" b="0">
                    <a:solidFill>
                      <a:srgbClr val="000000"/>
                    </a:solidFill>
                    <a:latin typeface="+mn-lt"/>
                  </a:rPr>
                  <a:t>ARC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392168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National Population per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'Estimates of the use of water ('!$BB$1</c:f>
              <c:strCache>
                <c:ptCount val="1"/>
                <c:pt idx="0">
                  <c:v>population_n_region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F2D-448E-8623-A096EF484D05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F2D-448E-8623-A096EF484D05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F2D-448E-8623-A096EF484D05}"/>
              </c:ext>
            </c:extLst>
          </c:dPt>
          <c:dPt>
            <c:idx val="3"/>
            <c:invertIfNegative val="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F2D-448E-8623-A096EF484D05}"/>
              </c:ext>
            </c:extLst>
          </c:dPt>
          <c:dPt>
            <c:idx val="4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F2D-448E-8623-A096EF484D05}"/>
              </c:ext>
            </c:extLst>
          </c:dPt>
          <c:dPt>
            <c:idx val="5"/>
            <c:invertIfNegative val="1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F2D-448E-8623-A096EF484D05}"/>
              </c:ext>
            </c:extLst>
          </c:dPt>
          <c:dPt>
            <c:idx val="6"/>
            <c:invertIfNegative val="1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F2D-448E-8623-A096EF484D05}"/>
              </c:ext>
            </c:extLst>
          </c:dPt>
          <c:dPt>
            <c:idx val="7"/>
            <c:invertIfNegative val="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F2D-448E-8623-A096EF484D05}"/>
              </c:ext>
            </c:extLst>
          </c:dPt>
          <c:cat>
            <c:strRef>
              <c:f>'Estimates of the use of water ('!$BA$2:$BA$9</c:f>
              <c:strCache>
                <c:ptCount val="7"/>
                <c:pt idx="0">
                  <c:v>East Asia &amp; Pacific</c:v>
                </c:pt>
                <c:pt idx="1">
                  <c:v>Europe &amp; Central Asia</c:v>
                </c:pt>
                <c:pt idx="2">
                  <c:v>Latin America &amp; Caribbean</c:v>
                </c:pt>
                <c:pt idx="3">
                  <c:v>Middle East &amp; North Africa</c:v>
                </c:pt>
                <c:pt idx="4">
                  <c:v>North America</c:v>
                </c:pt>
                <c:pt idx="5">
                  <c:v>South Asia</c:v>
                </c:pt>
                <c:pt idx="6">
                  <c:v>Sub-Saharan Africa</c:v>
                </c:pt>
              </c:strCache>
            </c:strRef>
          </c:cat>
          <c:val>
            <c:numRef>
              <c:f>'Estimates of the use of water ('!$BB$2:$BB$9</c:f>
              <c:numCache>
                <c:formatCode>General</c:formatCode>
                <c:ptCount val="8"/>
                <c:pt idx="0">
                  <c:v>381466.79532582604</c:v>
                </c:pt>
                <c:pt idx="1">
                  <c:v>1357668.8128964999</c:v>
                </c:pt>
                <c:pt idx="2">
                  <c:v>3434209.7716033407</c:v>
                </c:pt>
                <c:pt idx="3">
                  <c:v>413178.92651149997</c:v>
                </c:pt>
                <c:pt idx="4">
                  <c:v>91110.254886999988</c:v>
                </c:pt>
                <c:pt idx="5">
                  <c:v>367930.44382455002</c:v>
                </c:pt>
                <c:pt idx="6">
                  <c:v>3984795.4044202105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CD-4E32-8527-AA9837B00A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0815066"/>
        <c:axId val="1767949463"/>
      </c:barChart>
      <c:catAx>
        <c:axId val="158081506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Z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Z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949463"/>
        <c:crosses val="autoZero"/>
        <c:auto val="1"/>
        <c:lblAlgn val="ctr"/>
        <c:lblOffset val="100"/>
        <c:noMultiLvlLbl val="1"/>
      </c:catAx>
      <c:valAx>
        <c:axId val="1767949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Population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081506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52</xdr:col>
      <xdr:colOff>85821</xdr:colOff>
      <xdr:row>30</xdr:row>
      <xdr:rowOff>130342</xdr:rowOff>
    </xdr:from>
    <xdr:ext cx="8165838" cy="4193006"/>
    <xdr:graphicFrame macro="">
      <xdr:nvGraphicFramePr>
        <xdr:cNvPr id="3" name="Chart 3" titl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39</xdr:col>
      <xdr:colOff>524200</xdr:colOff>
      <xdr:row>8</xdr:row>
      <xdr:rowOff>34515</xdr:rowOff>
    </xdr:from>
    <xdr:ext cx="3790950" cy="3533775"/>
    <xdr:graphicFrame macro="">
      <xdr:nvGraphicFramePr>
        <xdr:cNvPr id="4" name="Chart 4" titl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44</xdr:col>
      <xdr:colOff>849942</xdr:colOff>
      <xdr:row>8</xdr:row>
      <xdr:rowOff>9876</xdr:rowOff>
    </xdr:from>
    <xdr:ext cx="3501480" cy="35337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52</xdr:col>
      <xdr:colOff>30168</xdr:colOff>
      <xdr:row>11</xdr:row>
      <xdr:rowOff>198361</xdr:rowOff>
    </xdr:from>
    <xdr:ext cx="5715000" cy="3533775"/>
    <xdr:graphicFrame macro="">
      <xdr:nvGraphicFramePr>
        <xdr:cNvPr id="6" name="Chart 6" title="Chart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G1000"/>
  <sheetViews>
    <sheetView tabSelected="1" topLeftCell="AG1" zoomScale="52" zoomScaleNormal="76" zoomScaleSheetLayoutView="86" zoomScalePageLayoutView="85" workbookViewId="0">
      <selection activeCell="BD25" sqref="BD25"/>
    </sheetView>
  </sheetViews>
  <sheetFormatPr defaultColWidth="12.6640625" defaultRowHeight="15.75" customHeight="1" x14ac:dyDescent="0.25"/>
  <cols>
    <col min="2" max="2" width="7.44140625" customWidth="1"/>
    <col min="3" max="3" width="8.6640625" customWidth="1"/>
    <col min="35" max="35" width="25.21875" customWidth="1"/>
    <col min="37" max="37" width="14.44140625" customWidth="1"/>
    <col min="38" max="38" width="12.44140625" customWidth="1"/>
    <col min="39" max="39" width="14.44140625" customWidth="1"/>
  </cols>
  <sheetData>
    <row r="1" spans="1:59" x14ac:dyDescent="0.25">
      <c r="A1" s="1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  <c r="Q1" s="3" t="s">
        <v>16</v>
      </c>
      <c r="R1" s="3" t="s">
        <v>17</v>
      </c>
      <c r="S1" s="4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5"/>
      <c r="AE1" s="24" t="s">
        <v>0</v>
      </c>
      <c r="AF1" s="24" t="s">
        <v>29</v>
      </c>
      <c r="AG1" s="3"/>
      <c r="AH1" s="7" t="s">
        <v>30</v>
      </c>
      <c r="AI1" s="7" t="s">
        <v>31</v>
      </c>
      <c r="AJ1" s="6"/>
      <c r="AK1" s="7" t="s">
        <v>32</v>
      </c>
      <c r="AL1" s="7" t="s">
        <v>33</v>
      </c>
      <c r="AM1" s="8" t="s">
        <v>34</v>
      </c>
      <c r="AN1" s="6"/>
      <c r="AO1" s="7" t="s">
        <v>35</v>
      </c>
      <c r="AP1" s="7" t="s">
        <v>36</v>
      </c>
      <c r="AQ1" s="8" t="s">
        <v>37</v>
      </c>
      <c r="AR1" s="9"/>
      <c r="AS1" s="7" t="s">
        <v>38</v>
      </c>
      <c r="AT1" s="7" t="s">
        <v>39</v>
      </c>
      <c r="AU1" s="8" t="s">
        <v>40</v>
      </c>
      <c r="AV1" s="1"/>
      <c r="AW1" s="3" t="s">
        <v>41</v>
      </c>
      <c r="AX1" s="1" t="s">
        <v>42</v>
      </c>
      <c r="AY1" s="1" t="s">
        <v>43</v>
      </c>
      <c r="AZ1" s="1" t="s">
        <v>44</v>
      </c>
      <c r="BA1" s="7" t="s">
        <v>31</v>
      </c>
      <c r="BB1" s="1" t="s">
        <v>45</v>
      </c>
      <c r="BC1" s="1" t="s">
        <v>46</v>
      </c>
      <c r="BD1" s="1" t="s">
        <v>47</v>
      </c>
      <c r="BE1" s="1"/>
      <c r="BF1" s="1"/>
      <c r="BG1" s="1"/>
    </row>
    <row r="2" spans="1:59" x14ac:dyDescent="0.25">
      <c r="A2" s="2" t="s">
        <v>48</v>
      </c>
      <c r="B2" s="2">
        <v>2015</v>
      </c>
      <c r="C2" s="2">
        <v>34413.601560000003</v>
      </c>
      <c r="D2" s="2">
        <v>24.802999499999999</v>
      </c>
      <c r="E2" s="2">
        <v>61.339780810000001</v>
      </c>
      <c r="F2" s="2">
        <v>3.5111995139999999</v>
      </c>
      <c r="G2" s="2">
        <v>22.168783829999999</v>
      </c>
      <c r="H2" s="2">
        <v>12.98023585</v>
      </c>
      <c r="I2" s="2">
        <v>52.988502019999999</v>
      </c>
      <c r="J2" s="2">
        <v>3.8611366170000001</v>
      </c>
      <c r="K2" s="2">
        <v>26.553267569999999</v>
      </c>
      <c r="L2" s="2">
        <v>16.597093789999999</v>
      </c>
      <c r="M2" s="2">
        <v>86.658940720000004</v>
      </c>
      <c r="N2" s="2">
        <v>2.450270561</v>
      </c>
      <c r="O2" s="2">
        <v>8.8760357320000001</v>
      </c>
      <c r="P2" s="2">
        <v>2.0147529870000001</v>
      </c>
      <c r="Q2" s="2" t="str">
        <f t="shared" ref="Q2:Q256" si="0">A2 &amp; "|" &amp; B2</f>
        <v>Afghanistan|2015</v>
      </c>
      <c r="R2" s="2">
        <f t="shared" ref="R2:R256" si="1">IF(A3=A2, B3-B2," ")</f>
        <v>5</v>
      </c>
      <c r="S2" s="3" t="s">
        <v>49</v>
      </c>
      <c r="T2" s="2">
        <f>IFERROR(IF($A3=$A2,(E3-E2)/($B3-$B2)),"null")</f>
        <v>2.7503264880000002</v>
      </c>
      <c r="U2" s="2">
        <f>IFERROR(IF($A3=$A2, ($I3-$I2)/($B3-$B2)),"null")</f>
        <v>2.6678826380000005</v>
      </c>
      <c r="V2" s="2">
        <f t="shared" ref="V2:V256" si="2">IFERROR(IF($A3=$A2,(M3-M2)/($B3-$B2)),"null")</f>
        <v>2.6682118559999992</v>
      </c>
      <c r="W2" s="2">
        <f t="shared" ref="W2:W256" si="3">IFERROR(ROUND(E2:E465, 0), FALSE)</f>
        <v>61</v>
      </c>
      <c r="X2" s="2">
        <f t="shared" ref="X2:X256" si="4">IFERROR(ROUND(I2:I465, 0), FALSE)</f>
        <v>53</v>
      </c>
      <c r="Y2" s="2">
        <f t="shared" ref="Y2:Y256" si="5">IFERROR(ROUND(M2:M465, 0), FALSE)</f>
        <v>87</v>
      </c>
      <c r="Z2" s="2" t="str">
        <f t="shared" ref="Z2:Z256" si="6">IF(AND(A2=A3, W2&gt;100), "Fully Accessible", "")</f>
        <v/>
      </c>
      <c r="AA2" s="2" t="str">
        <f t="shared" ref="AA2:AA256" si="7">IF(AND(A2=A3, X2&gt;100), "Fully Accessible", "")</f>
        <v/>
      </c>
      <c r="AB2" s="2" t="str">
        <f t="shared" ref="AB2:AB256" si="8">IF(AND(A2=A3, Z2&gt;100), "Fully Accessible", "")</f>
        <v>Fully Accessible</v>
      </c>
      <c r="AC2" s="2">
        <f t="shared" ref="AC2:AC256" si="9">IFERROR(SUM(U2-V2), FALSE)</f>
        <v>-3.2921799999874324E-4</v>
      </c>
      <c r="AE2" s="10" t="s">
        <v>48</v>
      </c>
      <c r="AF2" s="11" t="s">
        <v>50</v>
      </c>
      <c r="AH2" s="6" t="str">
        <f t="shared" ref="AH2:AH233" si="10">VLOOKUP(AE2, $AE$2:$AF$233, 2, TRUE)</f>
        <v>South Asia</v>
      </c>
      <c r="AI2" s="12" t="s">
        <v>51</v>
      </c>
      <c r="AJ2" s="13">
        <f>COUNTIF(AH2:AH233, "East Asia &amp; Pacific")</f>
        <v>40</v>
      </c>
      <c r="AK2" s="10">
        <f>SUMIF($A$2:$A$465, $AE2, $T$2:$T$465)</f>
        <v>2.7503264880000002</v>
      </c>
      <c r="AL2" s="11">
        <f t="shared" ref="AL2:AL8" si="11">SUMIF($AF$2:$AF$233, $AI2, $AK$2:$AK$233)</f>
        <v>11.137396087500006</v>
      </c>
      <c r="AM2" s="6">
        <f>IFERROR(SUMIF($AF$2:$AF$233, $AI2, $AK$2:$AK$233)/COUNTIF($AF$2:$AF$233, $AI2), "null")</f>
        <v>0.27843490218750017</v>
      </c>
      <c r="AN2" s="6"/>
      <c r="AO2" s="10">
        <f t="shared" ref="AO2:AO233" si="12">SUMIF($A$2:$A$465, $AE2, $U$2:$U$465)</f>
        <v>2.6678826380000005</v>
      </c>
      <c r="AP2" s="11">
        <f t="shared" ref="AP2:AP8" si="13">SUMIF($AF$2:$AF$233, $AI2, $AO$2:$AO$233)</f>
        <v>12.187075241999993</v>
      </c>
      <c r="AQ2" s="6">
        <f t="shared" ref="AQ2:AQ8" si="14">IFERROR(SUMIF($AF$2:$AF$233, $AI2, $AO$2:$AO$233)/COUNTIF($AF$2:$AF$233, $AI2), "null")</f>
        <v>0.30467688104999985</v>
      </c>
      <c r="AR2" s="6"/>
      <c r="AS2" s="10">
        <f t="shared" ref="AS2:AS233" si="15">SUMIF($A$2:$A$465, $AE2, $V$2:$V$465)</f>
        <v>2.6682118559999992</v>
      </c>
      <c r="AT2" s="11">
        <f t="shared" ref="AT2:AT8" si="16">SUMIF($AF$2:$AF$233, $AI2, $AS$2:$AS$233)</f>
        <v>6.2898638719999989</v>
      </c>
      <c r="AU2" s="6">
        <f t="shared" ref="AU2:AU8" si="17">IFERROR(SUMIF($AF$2:$AF$233, $AI2, $AS$2:$AS$233)/COUNTIF($AF$2:$AF$233, $AI2), "null")</f>
        <v>0.15724659679999997</v>
      </c>
      <c r="AX2" s="2">
        <f t="shared" ref="AX2:AX256" si="18">IF($A3=$A2,SUM($C3+$C2), "null")</f>
        <v>73341.941400000011</v>
      </c>
      <c r="AY2" s="2">
        <f t="shared" ref="AY2:AY256" si="19">IF($A3=$A2,SUM($D3+$D2), "null")</f>
        <v>50.828998569999996</v>
      </c>
      <c r="AZ2" s="2">
        <f t="shared" ref="AZ2:AZ256" si="20">IFERROR(AX2-AY2, "null")</f>
        <v>73291.112401430015</v>
      </c>
      <c r="BA2" s="12" t="s">
        <v>51</v>
      </c>
      <c r="BB2" s="2">
        <f t="shared" ref="BB2:BB8" si="21">SUMIF($AF$2:$AF$233, $BA2, $AX$2:$AX$233)</f>
        <v>381466.79532582604</v>
      </c>
      <c r="BC2" s="2">
        <f t="shared" ref="BC2:BC8" si="22">SUMIF($AF$2:$AF$233, $BA2, $AY$2:$AY$233)</f>
        <v>2590.1670074499998</v>
      </c>
      <c r="BD2" s="2">
        <f t="shared" ref="BD2:BD8" si="23">SUMIF($AF$2:$AF$233, $BA2, $AZ$2:$AZ$233)</f>
        <v>378876.62831837591</v>
      </c>
    </row>
    <row r="3" spans="1:59" x14ac:dyDescent="0.25">
      <c r="A3" s="2" t="s">
        <v>48</v>
      </c>
      <c r="B3" s="2">
        <v>2020</v>
      </c>
      <c r="C3" s="2">
        <v>38928.339840000001</v>
      </c>
      <c r="D3" s="2">
        <v>26.025999070000001</v>
      </c>
      <c r="E3" s="2">
        <v>75.091413250000002</v>
      </c>
      <c r="F3" s="2">
        <v>1.447541688</v>
      </c>
      <c r="G3" s="2">
        <v>14.56026288</v>
      </c>
      <c r="H3" s="2">
        <v>8.9007821739999997</v>
      </c>
      <c r="I3" s="2">
        <v>66.32791521</v>
      </c>
      <c r="J3" s="2">
        <v>1.9568248509999999</v>
      </c>
      <c r="K3" s="2">
        <v>19.68294895</v>
      </c>
      <c r="L3" s="2">
        <v>12.03231098</v>
      </c>
      <c r="M3" s="2">
        <v>100</v>
      </c>
      <c r="N3" s="2">
        <v>0</v>
      </c>
      <c r="O3" s="2">
        <v>0</v>
      </c>
      <c r="P3" s="2">
        <v>0</v>
      </c>
      <c r="Q3" s="2" t="str">
        <f t="shared" si="0"/>
        <v>Afghanistan|2020</v>
      </c>
      <c r="R3" s="2" t="str">
        <f t="shared" si="1"/>
        <v xml:space="preserve"> </v>
      </c>
      <c r="S3" s="2">
        <f>ROUND(AVERAGE(R2:R465), 2)</f>
        <v>4.8</v>
      </c>
      <c r="T3" s="2" t="b">
        <f t="shared" ref="T3:T256" si="24">IFERROR(IF($A4=$A3,(E4-E3)/($B4-$B3)),"null")</f>
        <v>0</v>
      </c>
      <c r="U3" s="2" t="b">
        <f t="shared" ref="U3:U8" si="25">IFERROR(IF($A4=$A3,($I4-$I3)/($B4-$B3)),"null")</f>
        <v>0</v>
      </c>
      <c r="V3" s="2" t="b">
        <f t="shared" si="2"/>
        <v>0</v>
      </c>
      <c r="W3" s="2">
        <f t="shared" si="3"/>
        <v>75</v>
      </c>
      <c r="X3" s="2">
        <f t="shared" si="4"/>
        <v>66</v>
      </c>
      <c r="Y3" s="2">
        <f t="shared" si="5"/>
        <v>100</v>
      </c>
      <c r="Z3" s="2" t="str">
        <f t="shared" si="6"/>
        <v/>
      </c>
      <c r="AA3" s="2" t="str">
        <f t="shared" si="7"/>
        <v/>
      </c>
      <c r="AB3" s="2" t="str">
        <f t="shared" si="8"/>
        <v/>
      </c>
      <c r="AC3" s="2">
        <f t="shared" si="9"/>
        <v>0</v>
      </c>
      <c r="AE3" s="10" t="s">
        <v>52</v>
      </c>
      <c r="AF3" s="11" t="s">
        <v>53</v>
      </c>
      <c r="AH3" s="6" t="str">
        <f t="shared" si="10"/>
        <v>Europe &amp; Central Asia</v>
      </c>
      <c r="AI3" s="11" t="s">
        <v>53</v>
      </c>
      <c r="AJ3" s="13">
        <f>COUNTIF(AH3:AH234, "Europe &amp; Central Asia")</f>
        <v>64</v>
      </c>
      <c r="AK3" s="10">
        <f t="shared" ref="AK3:AK233" si="26">SUMIF($A$2:$A$465, $AE3, $T$2:$T$465)</f>
        <v>0.33474269800000228</v>
      </c>
      <c r="AL3" s="11">
        <f t="shared" si="11"/>
        <v>7.0362041840000185</v>
      </c>
      <c r="AM3" s="6">
        <f t="shared" ref="AM3:AM8" si="27">IFERROR(SUMIF($AF$2:$AF$233, $AI3, $AK$2:$AK$233)/COUNTIF($AF$2:$AF$233, $AI3), "null")</f>
        <v>0.10994069037500029</v>
      </c>
      <c r="AN3" s="6"/>
      <c r="AO3" s="10">
        <f t="shared" si="12"/>
        <v>0.69281669000000079</v>
      </c>
      <c r="AP3" s="11">
        <f t="shared" si="13"/>
        <v>10.996075708000005</v>
      </c>
      <c r="AQ3" s="6">
        <f t="shared" si="14"/>
        <v>0.17181368293750007</v>
      </c>
      <c r="AR3" s="6"/>
      <c r="AS3" s="10">
        <f t="shared" si="15"/>
        <v>4.3748431999998158E-2</v>
      </c>
      <c r="AT3" s="11">
        <f t="shared" si="16"/>
        <v>2.4907464700000053</v>
      </c>
      <c r="AU3" s="6">
        <f t="shared" si="17"/>
        <v>3.8917913593750082E-2</v>
      </c>
      <c r="AX3" s="2" t="str">
        <f t="shared" si="18"/>
        <v>null</v>
      </c>
      <c r="AY3" s="2" t="str">
        <f t="shared" si="19"/>
        <v>null</v>
      </c>
      <c r="AZ3" s="2" t="str">
        <f t="shared" si="20"/>
        <v>null</v>
      </c>
      <c r="BA3" s="11" t="s">
        <v>53</v>
      </c>
      <c r="BB3" s="2">
        <f t="shared" si="21"/>
        <v>1357668.8128964999</v>
      </c>
      <c r="BC3" s="2">
        <f t="shared" si="22"/>
        <v>3895.0309715499998</v>
      </c>
      <c r="BD3" s="2">
        <f t="shared" si="23"/>
        <v>1353773.7819249502</v>
      </c>
    </row>
    <row r="4" spans="1:59" x14ac:dyDescent="0.25">
      <c r="A4" s="2" t="s">
        <v>52</v>
      </c>
      <c r="B4" s="2">
        <v>2015</v>
      </c>
      <c r="C4" s="2">
        <v>2890.5239259999998</v>
      </c>
      <c r="D4" s="2">
        <v>57.433998109999997</v>
      </c>
      <c r="E4" s="2">
        <v>93.394325339999995</v>
      </c>
      <c r="F4" s="2">
        <v>3.626383658</v>
      </c>
      <c r="G4" s="2">
        <v>2.9792910039999998</v>
      </c>
      <c r="H4" s="2">
        <v>0</v>
      </c>
      <c r="I4" s="2">
        <v>90.627274610000001</v>
      </c>
      <c r="J4" s="2">
        <v>5.2631726480000003</v>
      </c>
      <c r="K4" s="2">
        <v>4.1095527440000001</v>
      </c>
      <c r="L4" s="2">
        <v>0</v>
      </c>
      <c r="M4" s="2">
        <v>95.445066960000005</v>
      </c>
      <c r="N4" s="2">
        <v>2.4133118200000001</v>
      </c>
      <c r="O4" s="2">
        <v>2.1416212159999999</v>
      </c>
      <c r="P4" s="2">
        <v>0</v>
      </c>
      <c r="Q4" s="2" t="str">
        <f t="shared" si="0"/>
        <v>Albania|2015</v>
      </c>
      <c r="R4" s="2">
        <f t="shared" si="1"/>
        <v>5</v>
      </c>
      <c r="S4" s="3" t="s">
        <v>54</v>
      </c>
      <c r="T4" s="2">
        <f t="shared" si="24"/>
        <v>0.33474269800000228</v>
      </c>
      <c r="U4" s="2">
        <f t="shared" si="25"/>
        <v>0.69281669000000079</v>
      </c>
      <c r="V4" s="2">
        <f t="shared" si="2"/>
        <v>4.3748431999998158E-2</v>
      </c>
      <c r="W4" s="2">
        <f t="shared" si="3"/>
        <v>93</v>
      </c>
      <c r="X4" s="2">
        <f t="shared" si="4"/>
        <v>91</v>
      </c>
      <c r="Y4" s="2">
        <f t="shared" si="5"/>
        <v>95</v>
      </c>
      <c r="Z4" s="2" t="str">
        <f t="shared" si="6"/>
        <v/>
      </c>
      <c r="AA4" s="2" t="str">
        <f t="shared" si="7"/>
        <v/>
      </c>
      <c r="AB4" s="2" t="str">
        <f t="shared" si="8"/>
        <v>Fully Accessible</v>
      </c>
      <c r="AC4" s="2">
        <f t="shared" si="9"/>
        <v>0.64906825800000267</v>
      </c>
      <c r="AE4" s="10" t="s">
        <v>55</v>
      </c>
      <c r="AF4" s="11" t="s">
        <v>56</v>
      </c>
      <c r="AH4" s="6" t="str">
        <f t="shared" si="10"/>
        <v>Middle East &amp; North Africa</v>
      </c>
      <c r="AI4" s="12" t="s">
        <v>57</v>
      </c>
      <c r="AJ4" s="13">
        <f>COUNTIF(AH4:AH235, "East Asia &amp; Pacific")</f>
        <v>40</v>
      </c>
      <c r="AK4" s="10">
        <f t="shared" si="26"/>
        <v>0.20555368599999896</v>
      </c>
      <c r="AL4" s="11">
        <f t="shared" si="11"/>
        <v>6.7879681140000079</v>
      </c>
      <c r="AM4" s="6">
        <f t="shared" si="27"/>
        <v>0.14141600237500015</v>
      </c>
      <c r="AN4" s="6"/>
      <c r="AO4" s="10">
        <f t="shared" si="12"/>
        <v>0.33696620999999993</v>
      </c>
      <c r="AP4" s="11">
        <f t="shared" si="13"/>
        <v>15.647233429999993</v>
      </c>
      <c r="AQ4" s="6">
        <f t="shared" si="14"/>
        <v>0.32598402979166652</v>
      </c>
      <c r="AR4" s="6"/>
      <c r="AS4" s="10">
        <f t="shared" si="15"/>
        <v>0.10288423199999955</v>
      </c>
      <c r="AT4" s="11">
        <f t="shared" si="16"/>
        <v>2.0741262400000009</v>
      </c>
      <c r="AU4" s="6">
        <f t="shared" si="17"/>
        <v>4.3210963333333352E-2</v>
      </c>
      <c r="AX4" s="2">
        <f t="shared" si="18"/>
        <v>5768.3239749999993</v>
      </c>
      <c r="AY4" s="2">
        <f t="shared" si="19"/>
        <v>119.54599761999999</v>
      </c>
      <c r="AZ4" s="2">
        <f t="shared" si="20"/>
        <v>5648.7779773799994</v>
      </c>
      <c r="BA4" s="12" t="s">
        <v>57</v>
      </c>
      <c r="BB4" s="2">
        <f t="shared" si="21"/>
        <v>3434209.7716033407</v>
      </c>
      <c r="BC4" s="2">
        <f t="shared" si="22"/>
        <v>3540.6407785199999</v>
      </c>
      <c r="BD4" s="2">
        <f t="shared" si="23"/>
        <v>3430669.1308248197</v>
      </c>
    </row>
    <row r="5" spans="1:59" x14ac:dyDescent="0.25">
      <c r="A5" s="2" t="s">
        <v>52</v>
      </c>
      <c r="B5" s="2">
        <v>2020</v>
      </c>
      <c r="C5" s="2">
        <v>2877.8000489999999</v>
      </c>
      <c r="D5" s="2">
        <v>62.111999509999997</v>
      </c>
      <c r="E5" s="2">
        <v>95.068038830000006</v>
      </c>
      <c r="F5" s="2">
        <v>1.8846560919999999</v>
      </c>
      <c r="G5" s="2">
        <v>3.0473050810000002</v>
      </c>
      <c r="H5" s="2">
        <v>0</v>
      </c>
      <c r="I5" s="2">
        <v>94.091358060000005</v>
      </c>
      <c r="J5" s="2">
        <v>2.3052649550000002</v>
      </c>
      <c r="K5" s="2">
        <v>3.6033769859999998</v>
      </c>
      <c r="L5" s="2">
        <v>0</v>
      </c>
      <c r="M5" s="2">
        <v>95.663809119999996</v>
      </c>
      <c r="N5" s="2">
        <v>1.62808683</v>
      </c>
      <c r="O5" s="2">
        <v>2.7081040540000001</v>
      </c>
      <c r="P5" s="2">
        <v>0</v>
      </c>
      <c r="Q5" s="2" t="str">
        <f t="shared" si="0"/>
        <v>Albania|2020</v>
      </c>
      <c r="R5" s="2" t="str">
        <f t="shared" si="1"/>
        <v xml:space="preserve"> </v>
      </c>
      <c r="S5" s="2">
        <f>MIN(R2:R1000)</f>
        <v>1</v>
      </c>
      <c r="T5" s="2" t="b">
        <f t="shared" si="24"/>
        <v>0</v>
      </c>
      <c r="U5" s="2" t="b">
        <f t="shared" si="25"/>
        <v>0</v>
      </c>
      <c r="V5" s="2" t="b">
        <f t="shared" si="2"/>
        <v>0</v>
      </c>
      <c r="W5" s="2">
        <f t="shared" si="3"/>
        <v>95</v>
      </c>
      <c r="X5" s="2">
        <f t="shared" si="4"/>
        <v>94</v>
      </c>
      <c r="Y5" s="2">
        <f t="shared" si="5"/>
        <v>96</v>
      </c>
      <c r="Z5" s="2" t="str">
        <f t="shared" si="6"/>
        <v/>
      </c>
      <c r="AA5" s="2" t="str">
        <f t="shared" si="7"/>
        <v/>
      </c>
      <c r="AB5" s="2" t="str">
        <f t="shared" si="8"/>
        <v/>
      </c>
      <c r="AC5" s="2">
        <f t="shared" si="9"/>
        <v>0</v>
      </c>
      <c r="AE5" s="10" t="s">
        <v>58</v>
      </c>
      <c r="AF5" s="11" t="s">
        <v>51</v>
      </c>
      <c r="AH5" s="6" t="str">
        <f t="shared" si="10"/>
        <v>East Asia &amp; Pacific</v>
      </c>
      <c r="AI5" s="12" t="s">
        <v>56</v>
      </c>
      <c r="AJ5" s="13">
        <f>COUNTIF(AH5:AH236, "Middle East &amp; North Africa")</f>
        <v>9</v>
      </c>
      <c r="AK5" s="10">
        <f t="shared" si="26"/>
        <v>3.0933701999998675E-2</v>
      </c>
      <c r="AL5" s="11">
        <f t="shared" si="11"/>
        <v>3.4556302339999974</v>
      </c>
      <c r="AM5" s="6">
        <f t="shared" si="27"/>
        <v>0.34556302339999972</v>
      </c>
      <c r="AN5" s="6"/>
      <c r="AO5" s="10">
        <f t="shared" si="12"/>
        <v>0</v>
      </c>
      <c r="AP5" s="11">
        <f t="shared" si="13"/>
        <v>5.8958978319999984</v>
      </c>
      <c r="AQ5" s="6">
        <f t="shared" si="14"/>
        <v>0.58958978319999988</v>
      </c>
      <c r="AR5" s="6"/>
      <c r="AS5" s="10">
        <f t="shared" si="15"/>
        <v>0</v>
      </c>
      <c r="AT5" s="11">
        <f t="shared" si="16"/>
        <v>0.99182435999999241</v>
      </c>
      <c r="AU5" s="6">
        <f t="shared" si="17"/>
        <v>9.9182435999999236E-2</v>
      </c>
      <c r="AX5" s="2" t="str">
        <f t="shared" si="18"/>
        <v>null</v>
      </c>
      <c r="AY5" s="2" t="str">
        <f t="shared" si="19"/>
        <v>null</v>
      </c>
      <c r="AZ5" s="2" t="str">
        <f t="shared" si="20"/>
        <v>null</v>
      </c>
      <c r="BA5" s="12" t="s">
        <v>56</v>
      </c>
      <c r="BB5" s="2">
        <f t="shared" si="21"/>
        <v>413178.92651149997</v>
      </c>
      <c r="BC5" s="2">
        <f t="shared" si="22"/>
        <v>753.34999847999995</v>
      </c>
      <c r="BD5" s="2">
        <f t="shared" si="23"/>
        <v>412425.57651301997</v>
      </c>
    </row>
    <row r="6" spans="1:59" x14ac:dyDescent="0.25">
      <c r="A6" s="2" t="s">
        <v>55</v>
      </c>
      <c r="B6" s="2">
        <v>2015</v>
      </c>
      <c r="C6" s="2">
        <v>39728.019529999998</v>
      </c>
      <c r="D6" s="2">
        <v>70.847999569999999</v>
      </c>
      <c r="E6" s="2">
        <v>93.409561530000005</v>
      </c>
      <c r="F6" s="2">
        <v>5.157780893</v>
      </c>
      <c r="G6" s="2">
        <v>1.2754646839999999</v>
      </c>
      <c r="H6" s="2">
        <v>0.1571928913</v>
      </c>
      <c r="I6" s="2">
        <v>88.352706859999998</v>
      </c>
      <c r="J6" s="2">
        <v>8.6857531209999994</v>
      </c>
      <c r="K6" s="2">
        <v>2.580431801</v>
      </c>
      <c r="L6" s="2">
        <v>0.38110821550000001</v>
      </c>
      <c r="M6" s="2">
        <v>95.490314699999999</v>
      </c>
      <c r="N6" s="2">
        <v>3.7061173169999999</v>
      </c>
      <c r="O6" s="2">
        <v>0.73851008510000005</v>
      </c>
      <c r="P6" s="2">
        <v>6.5057897530000006E-2</v>
      </c>
      <c r="Q6" s="2" t="str">
        <f t="shared" si="0"/>
        <v>Algeria|2015</v>
      </c>
      <c r="R6" s="2">
        <f t="shared" si="1"/>
        <v>5</v>
      </c>
      <c r="S6" s="3" t="s">
        <v>59</v>
      </c>
      <c r="T6" s="2">
        <f t="shared" si="24"/>
        <v>0.20555368599999896</v>
      </c>
      <c r="U6" s="2">
        <f t="shared" si="25"/>
        <v>0.33696620999999993</v>
      </c>
      <c r="V6" s="2">
        <f t="shared" si="2"/>
        <v>0.10288423199999955</v>
      </c>
      <c r="W6" s="2">
        <f t="shared" si="3"/>
        <v>93</v>
      </c>
      <c r="X6" s="2">
        <f t="shared" si="4"/>
        <v>88</v>
      </c>
      <c r="Y6" s="2">
        <f t="shared" si="5"/>
        <v>95</v>
      </c>
      <c r="Z6" s="2" t="str">
        <f t="shared" si="6"/>
        <v/>
      </c>
      <c r="AA6" s="2" t="str">
        <f t="shared" si="7"/>
        <v/>
      </c>
      <c r="AB6" s="2" t="str">
        <f t="shared" si="8"/>
        <v>Fully Accessible</v>
      </c>
      <c r="AC6" s="2">
        <f t="shared" si="9"/>
        <v>0.23408197800000038</v>
      </c>
      <c r="AE6" s="10" t="s">
        <v>60</v>
      </c>
      <c r="AF6" s="11" t="s">
        <v>53</v>
      </c>
      <c r="AH6" s="6" t="str">
        <f t="shared" si="10"/>
        <v>Europe &amp; Central Asia</v>
      </c>
      <c r="AI6" s="11" t="s">
        <v>61</v>
      </c>
      <c r="AJ6" s="13">
        <f>COUNTIF(AH6:AH237, "North America")</f>
        <v>6</v>
      </c>
      <c r="AK6" s="10">
        <f t="shared" si="26"/>
        <v>1.229999998031417E-6</v>
      </c>
      <c r="AL6" s="11">
        <f t="shared" si="11"/>
        <v>8.579197800000031E-2</v>
      </c>
      <c r="AM6" s="6">
        <f t="shared" si="27"/>
        <v>1.4298663000000052E-2</v>
      </c>
      <c r="AN6" s="6"/>
      <c r="AO6" s="10">
        <f t="shared" si="12"/>
        <v>0</v>
      </c>
      <c r="AP6" s="11">
        <f t="shared" si="13"/>
        <v>0.4269939300000033</v>
      </c>
      <c r="AQ6" s="6">
        <f t="shared" si="14"/>
        <v>7.1165655000000549E-2</v>
      </c>
      <c r="AR6" s="6"/>
      <c r="AS6" s="10">
        <f t="shared" si="15"/>
        <v>0</v>
      </c>
      <c r="AT6" s="11">
        <f t="shared" si="16"/>
        <v>8.1326940000025164E-3</v>
      </c>
      <c r="AU6" s="6">
        <f t="shared" si="17"/>
        <v>1.3554490000004195E-3</v>
      </c>
      <c r="AX6" s="2">
        <f t="shared" si="18"/>
        <v>83579.0625</v>
      </c>
      <c r="AY6" s="2">
        <f t="shared" si="19"/>
        <v>144.58100128000001</v>
      </c>
      <c r="AZ6" s="2">
        <f t="shared" si="20"/>
        <v>83434.481498719993</v>
      </c>
      <c r="BA6" s="11" t="s">
        <v>61</v>
      </c>
      <c r="BB6" s="2">
        <f t="shared" si="21"/>
        <v>91110.254886999988</v>
      </c>
      <c r="BC6" s="2">
        <f t="shared" si="22"/>
        <v>728.60600281000006</v>
      </c>
      <c r="BD6" s="2">
        <f t="shared" si="23"/>
        <v>90381.648884189985</v>
      </c>
    </row>
    <row r="7" spans="1:59" x14ac:dyDescent="0.25">
      <c r="A7" s="2" t="s">
        <v>55</v>
      </c>
      <c r="B7" s="2">
        <v>2020</v>
      </c>
      <c r="C7" s="2">
        <v>43851.042970000002</v>
      </c>
      <c r="D7" s="2">
        <v>73.733001709999996</v>
      </c>
      <c r="E7" s="2">
        <v>94.43732996</v>
      </c>
      <c r="F7" s="2">
        <v>4.9858808420000003</v>
      </c>
      <c r="G7" s="2">
        <v>0.53183666380000005</v>
      </c>
      <c r="H7" s="2">
        <v>4.495253272E-2</v>
      </c>
      <c r="I7" s="2">
        <v>90.037537909999998</v>
      </c>
      <c r="J7" s="2">
        <v>8.79672214</v>
      </c>
      <c r="K7" s="2">
        <v>0.99460302810000001</v>
      </c>
      <c r="L7" s="2">
        <v>0.17113692580000001</v>
      </c>
      <c r="M7" s="2">
        <v>96.004735859999997</v>
      </c>
      <c r="N7" s="2">
        <v>3.628288591</v>
      </c>
      <c r="O7" s="2">
        <v>0.36697554780000002</v>
      </c>
      <c r="P7" s="2">
        <v>0</v>
      </c>
      <c r="Q7" s="2" t="str">
        <f t="shared" si="0"/>
        <v>Algeria|2020</v>
      </c>
      <c r="R7" s="2" t="str">
        <f t="shared" si="1"/>
        <v xml:space="preserve"> </v>
      </c>
      <c r="S7" s="14">
        <f>MAX(R2:R465)</f>
        <v>5</v>
      </c>
      <c r="T7" s="2" t="b">
        <f t="shared" si="24"/>
        <v>0</v>
      </c>
      <c r="U7" s="2" t="b">
        <f t="shared" si="25"/>
        <v>0</v>
      </c>
      <c r="V7" s="2" t="b">
        <f t="shared" si="2"/>
        <v>0</v>
      </c>
      <c r="W7" s="2">
        <f t="shared" si="3"/>
        <v>94</v>
      </c>
      <c r="X7" s="2">
        <f t="shared" si="4"/>
        <v>90</v>
      </c>
      <c r="Y7" s="2">
        <f t="shared" si="5"/>
        <v>96</v>
      </c>
      <c r="Z7" s="2" t="str">
        <f t="shared" si="6"/>
        <v/>
      </c>
      <c r="AA7" s="2" t="str">
        <f t="shared" si="7"/>
        <v/>
      </c>
      <c r="AB7" s="2" t="str">
        <f t="shared" si="8"/>
        <v/>
      </c>
      <c r="AC7" s="2">
        <f t="shared" si="9"/>
        <v>0</v>
      </c>
      <c r="AE7" s="10" t="s">
        <v>62</v>
      </c>
      <c r="AF7" s="11" t="s">
        <v>63</v>
      </c>
      <c r="AH7" s="6" t="str">
        <f t="shared" si="10"/>
        <v>Sub-Saharan Africa</v>
      </c>
      <c r="AI7" s="11" t="s">
        <v>50</v>
      </c>
      <c r="AJ7" s="13">
        <f>COUNTIF(AH7:AH238, "South Asia")</f>
        <v>10</v>
      </c>
      <c r="AK7" s="10">
        <f t="shared" si="26"/>
        <v>0.57016185399999986</v>
      </c>
      <c r="AL7" s="11">
        <f t="shared" si="11"/>
        <v>5.2825344019999942</v>
      </c>
      <c r="AM7" s="6">
        <f t="shared" si="27"/>
        <v>0.48023040018181767</v>
      </c>
      <c r="AN7" s="6"/>
      <c r="AO7" s="10">
        <f t="shared" si="12"/>
        <v>0.2187714419999999</v>
      </c>
      <c r="AP7" s="11">
        <f t="shared" si="13"/>
        <v>6.1505908940000005</v>
      </c>
      <c r="AQ7" s="6">
        <f t="shared" si="14"/>
        <v>0.55914462672727272</v>
      </c>
      <c r="AR7" s="6"/>
      <c r="AS7" s="10">
        <f t="shared" si="15"/>
        <v>0.30463670000000037</v>
      </c>
      <c r="AT7" s="11">
        <f t="shared" si="16"/>
        <v>2.9203754040000058</v>
      </c>
      <c r="AU7" s="6">
        <f t="shared" si="17"/>
        <v>0.26548867309090962</v>
      </c>
      <c r="AX7" s="2" t="str">
        <f t="shared" si="18"/>
        <v>null</v>
      </c>
      <c r="AY7" s="2" t="str">
        <f t="shared" si="19"/>
        <v>null</v>
      </c>
      <c r="AZ7" s="2" t="str">
        <f t="shared" si="20"/>
        <v>null</v>
      </c>
      <c r="BA7" s="11" t="s">
        <v>50</v>
      </c>
      <c r="BB7" s="2">
        <f t="shared" si="21"/>
        <v>367930.44382455002</v>
      </c>
      <c r="BC7" s="2">
        <f t="shared" si="22"/>
        <v>818.77099610000005</v>
      </c>
      <c r="BD7" s="2">
        <f t="shared" si="23"/>
        <v>367111.67282845004</v>
      </c>
    </row>
    <row r="8" spans="1:59" x14ac:dyDescent="0.25">
      <c r="A8" s="2" t="s">
        <v>58</v>
      </c>
      <c r="B8" s="2">
        <v>2015</v>
      </c>
      <c r="C8" s="2">
        <v>55.805999759999999</v>
      </c>
      <c r="D8" s="2">
        <v>87.238006589999998</v>
      </c>
      <c r="E8" s="2">
        <v>99.619103150000001</v>
      </c>
      <c r="F8" s="2">
        <v>0</v>
      </c>
      <c r="G8" s="2">
        <v>0.38089684610000002</v>
      </c>
      <c r="H8" s="2">
        <v>0</v>
      </c>
      <c r="I8" s="2" t="s">
        <v>64</v>
      </c>
      <c r="J8" s="2" t="s">
        <v>64</v>
      </c>
      <c r="K8" s="2" t="s">
        <v>64</v>
      </c>
      <c r="L8" s="2" t="s">
        <v>64</v>
      </c>
      <c r="M8" s="2" t="s">
        <v>64</v>
      </c>
      <c r="N8" s="2" t="s">
        <v>64</v>
      </c>
      <c r="O8" s="2" t="s">
        <v>64</v>
      </c>
      <c r="P8" s="2" t="s">
        <v>64</v>
      </c>
      <c r="Q8" s="2" t="str">
        <f t="shared" si="0"/>
        <v>American Samoa|2015</v>
      </c>
      <c r="R8" s="2">
        <f t="shared" si="1"/>
        <v>5</v>
      </c>
      <c r="T8" s="2">
        <f t="shared" si="24"/>
        <v>3.0933701999998675E-2</v>
      </c>
      <c r="U8" s="2" t="str">
        <f t="shared" si="25"/>
        <v>null</v>
      </c>
      <c r="V8" s="2" t="str">
        <f t="shared" si="2"/>
        <v>null</v>
      </c>
      <c r="W8" s="2">
        <f t="shared" si="3"/>
        <v>100</v>
      </c>
      <c r="X8" s="2" t="b">
        <f t="shared" si="4"/>
        <v>0</v>
      </c>
      <c r="Y8" s="2" t="b">
        <f t="shared" si="5"/>
        <v>0</v>
      </c>
      <c r="Z8" s="2" t="str">
        <f t="shared" si="6"/>
        <v/>
      </c>
      <c r="AA8" s="2" t="str">
        <f t="shared" si="7"/>
        <v>Fully Accessible</v>
      </c>
      <c r="AB8" s="2" t="str">
        <f t="shared" si="8"/>
        <v>Fully Accessible</v>
      </c>
      <c r="AC8" s="2" t="b">
        <f t="shared" si="9"/>
        <v>0</v>
      </c>
      <c r="AE8" s="10" t="s">
        <v>65</v>
      </c>
      <c r="AF8" s="11" t="s">
        <v>57</v>
      </c>
      <c r="AH8" s="6" t="str">
        <f t="shared" si="10"/>
        <v>Latin America &amp; Caribbean</v>
      </c>
      <c r="AI8" s="11" t="s">
        <v>63</v>
      </c>
      <c r="AJ8" s="13">
        <f>COUNTIF(AH8:AH239, "Sub-Saharan Africa")</f>
        <v>52</v>
      </c>
      <c r="AK8" s="10">
        <f t="shared" si="26"/>
        <v>0</v>
      </c>
      <c r="AL8" s="11">
        <f t="shared" si="11"/>
        <v>29.5888834995</v>
      </c>
      <c r="AM8" s="6">
        <f t="shared" si="27"/>
        <v>0.55828082074528296</v>
      </c>
      <c r="AN8" s="6"/>
      <c r="AO8" s="10">
        <f t="shared" si="12"/>
        <v>0</v>
      </c>
      <c r="AP8" s="11">
        <f t="shared" si="13"/>
        <v>29.606580188000006</v>
      </c>
      <c r="AQ8" s="6">
        <f t="shared" si="14"/>
        <v>0.55861472052830197</v>
      </c>
      <c r="AR8" s="6"/>
      <c r="AS8" s="10">
        <f t="shared" si="15"/>
        <v>0</v>
      </c>
      <c r="AT8" s="11">
        <f t="shared" si="16"/>
        <v>13.247966874000001</v>
      </c>
      <c r="AU8" s="6">
        <f t="shared" si="17"/>
        <v>0.2499616391320755</v>
      </c>
      <c r="AX8" s="2">
        <f t="shared" si="18"/>
        <v>111.00299835999999</v>
      </c>
      <c r="AY8" s="2">
        <f t="shared" si="19"/>
        <v>174.39100646999998</v>
      </c>
      <c r="AZ8" s="2">
        <f t="shared" si="20"/>
        <v>-63.388008109999987</v>
      </c>
      <c r="BA8" s="11" t="s">
        <v>63</v>
      </c>
      <c r="BB8" s="2">
        <f t="shared" si="21"/>
        <v>3984795.4044202105</v>
      </c>
      <c r="BC8" s="2">
        <f t="shared" si="22"/>
        <v>2514.9200019799996</v>
      </c>
      <c r="BD8" s="2">
        <f t="shared" si="23"/>
        <v>3982280.4844182297</v>
      </c>
    </row>
    <row r="9" spans="1:59" x14ac:dyDescent="0.25">
      <c r="A9" s="2" t="s">
        <v>58</v>
      </c>
      <c r="B9" s="2">
        <v>2020</v>
      </c>
      <c r="C9" s="2">
        <v>55.196998600000001</v>
      </c>
      <c r="D9" s="2">
        <v>87.152999879999996</v>
      </c>
      <c r="E9" s="2">
        <v>99.773771659999994</v>
      </c>
      <c r="F9" s="2">
        <v>0</v>
      </c>
      <c r="G9" s="2">
        <v>0.22622834150000001</v>
      </c>
      <c r="H9" s="2">
        <v>0</v>
      </c>
      <c r="I9" s="2" t="s">
        <v>64</v>
      </c>
      <c r="J9" s="2" t="s">
        <v>64</v>
      </c>
      <c r="K9" s="2" t="s">
        <v>64</v>
      </c>
      <c r="L9" s="2" t="s">
        <v>64</v>
      </c>
      <c r="M9" s="2" t="s">
        <v>64</v>
      </c>
      <c r="N9" s="2" t="s">
        <v>64</v>
      </c>
      <c r="O9" s="2" t="s">
        <v>64</v>
      </c>
      <c r="P9" s="2" t="s">
        <v>64</v>
      </c>
      <c r="Q9" s="2" t="str">
        <f t="shared" si="0"/>
        <v>American Samoa|2020</v>
      </c>
      <c r="R9" s="2" t="str">
        <f t="shared" si="1"/>
        <v xml:space="preserve"> </v>
      </c>
      <c r="T9" s="2" t="b">
        <f t="shared" si="24"/>
        <v>0</v>
      </c>
      <c r="U9" s="2" t="b">
        <f t="shared" ref="U9:U263" si="28">IFERROR(IF($A10=$A9,(I10-I9)/($B10-$B9)),"null")</f>
        <v>0</v>
      </c>
      <c r="V9" s="2" t="b">
        <f t="shared" si="2"/>
        <v>0</v>
      </c>
      <c r="W9" s="2">
        <f t="shared" si="3"/>
        <v>100</v>
      </c>
      <c r="X9" s="2" t="b">
        <f t="shared" si="4"/>
        <v>0</v>
      </c>
      <c r="Y9" s="2" t="b">
        <f t="shared" si="5"/>
        <v>0</v>
      </c>
      <c r="Z9" s="2" t="str">
        <f t="shared" si="6"/>
        <v/>
      </c>
      <c r="AA9" s="2" t="str">
        <f t="shared" si="7"/>
        <v/>
      </c>
      <c r="AB9" s="2" t="str">
        <f t="shared" si="8"/>
        <v/>
      </c>
      <c r="AC9" s="2">
        <f t="shared" si="9"/>
        <v>0</v>
      </c>
      <c r="AE9" s="10" t="s">
        <v>66</v>
      </c>
      <c r="AF9" s="11" t="s">
        <v>57</v>
      </c>
      <c r="AH9" s="6" t="str">
        <f t="shared" si="10"/>
        <v>Latin America &amp; Caribbean</v>
      </c>
      <c r="AI9" s="6"/>
      <c r="AJ9" s="6"/>
      <c r="AK9" s="10">
        <f t="shared" si="26"/>
        <v>0</v>
      </c>
      <c r="AL9" s="6"/>
      <c r="AM9" s="6"/>
      <c r="AN9" s="6"/>
      <c r="AO9" s="10">
        <f t="shared" si="12"/>
        <v>0</v>
      </c>
      <c r="AP9" s="6"/>
      <c r="AQ9" s="6"/>
      <c r="AR9" s="6"/>
      <c r="AS9" s="10">
        <f t="shared" si="15"/>
        <v>0</v>
      </c>
      <c r="AT9" s="6"/>
      <c r="AU9" s="6"/>
      <c r="AX9" s="2" t="str">
        <f t="shared" si="18"/>
        <v>null</v>
      </c>
      <c r="AY9" s="2" t="str">
        <f t="shared" si="19"/>
        <v>null</v>
      </c>
      <c r="AZ9" s="2" t="str">
        <f t="shared" si="20"/>
        <v>null</v>
      </c>
      <c r="BA9" s="6"/>
    </row>
    <row r="10" spans="1:59" x14ac:dyDescent="0.25">
      <c r="A10" s="2" t="s">
        <v>60</v>
      </c>
      <c r="B10" s="2">
        <v>2015</v>
      </c>
      <c r="C10" s="2">
        <v>77.992996219999995</v>
      </c>
      <c r="D10" s="2">
        <v>88.344993590000001</v>
      </c>
      <c r="E10" s="2">
        <v>99.999997550000003</v>
      </c>
      <c r="F10" s="2">
        <v>0</v>
      </c>
      <c r="G10" s="2">
        <v>2.4455383569999998E-6</v>
      </c>
      <c r="H10" s="2">
        <v>0</v>
      </c>
      <c r="I10" s="2">
        <v>100</v>
      </c>
      <c r="J10" s="2">
        <v>0</v>
      </c>
      <c r="K10" s="2">
        <v>0</v>
      </c>
      <c r="L10" s="2">
        <v>0</v>
      </c>
      <c r="M10" s="2">
        <v>100</v>
      </c>
      <c r="N10" s="2">
        <v>0</v>
      </c>
      <c r="O10" s="2">
        <v>0</v>
      </c>
      <c r="P10" s="2">
        <v>0</v>
      </c>
      <c r="Q10" s="2" t="str">
        <f t="shared" si="0"/>
        <v>Andorra|2015</v>
      </c>
      <c r="R10" s="2">
        <f t="shared" si="1"/>
        <v>5</v>
      </c>
      <c r="T10" s="2">
        <f t="shared" si="24"/>
        <v>1.229999998031417E-6</v>
      </c>
      <c r="U10" s="2">
        <f t="shared" si="28"/>
        <v>0</v>
      </c>
      <c r="V10" s="2">
        <f t="shared" si="2"/>
        <v>0</v>
      </c>
      <c r="W10" s="2">
        <f t="shared" si="3"/>
        <v>100</v>
      </c>
      <c r="X10" s="2">
        <f t="shared" si="4"/>
        <v>100</v>
      </c>
      <c r="Y10" s="2">
        <f t="shared" si="5"/>
        <v>100</v>
      </c>
      <c r="Z10" s="2" t="str">
        <f t="shared" si="6"/>
        <v/>
      </c>
      <c r="AA10" s="2" t="str">
        <f t="shared" si="7"/>
        <v/>
      </c>
      <c r="AB10" s="2" t="str">
        <f t="shared" si="8"/>
        <v>Fully Accessible</v>
      </c>
      <c r="AC10" s="2">
        <f t="shared" si="9"/>
        <v>0</v>
      </c>
      <c r="AE10" s="10" t="s">
        <v>67</v>
      </c>
      <c r="AF10" s="11" t="s">
        <v>57</v>
      </c>
      <c r="AH10" s="6" t="str">
        <f t="shared" si="10"/>
        <v>Latin America &amp; Caribbean</v>
      </c>
      <c r="AI10" s="6"/>
      <c r="AJ10" s="6"/>
      <c r="AK10" s="10">
        <f t="shared" si="26"/>
        <v>0</v>
      </c>
      <c r="AL10" s="6"/>
      <c r="AM10" s="6"/>
      <c r="AN10" s="6"/>
      <c r="AO10" s="10">
        <f t="shared" si="12"/>
        <v>0</v>
      </c>
      <c r="AP10" s="6"/>
      <c r="AQ10" s="6"/>
      <c r="AR10" s="6"/>
      <c r="AS10" s="10">
        <f t="shared" si="15"/>
        <v>5.3651519999999661E-2</v>
      </c>
      <c r="AT10" s="6"/>
      <c r="AU10" s="6"/>
      <c r="AX10" s="2">
        <f t="shared" si="18"/>
        <v>155.25799560999999</v>
      </c>
      <c r="AY10" s="2">
        <f t="shared" si="19"/>
        <v>176.26099396000001</v>
      </c>
      <c r="AZ10" s="2">
        <f t="shared" si="20"/>
        <v>-21.002998350000013</v>
      </c>
      <c r="BA10" s="15" t="s">
        <v>68</v>
      </c>
      <c r="BB10" s="2">
        <f t="shared" ref="BB10:BD10" si="29">SUM(BB2:BB8)</f>
        <v>10030360.409468926</v>
      </c>
      <c r="BC10" s="2">
        <f t="shared" si="29"/>
        <v>14841.485756889999</v>
      </c>
      <c r="BD10" s="2">
        <f t="shared" si="29"/>
        <v>10015518.923712036</v>
      </c>
    </row>
    <row r="11" spans="1:59" x14ac:dyDescent="0.25">
      <c r="A11" s="2" t="s">
        <v>60</v>
      </c>
      <c r="B11" s="2">
        <v>2020</v>
      </c>
      <c r="C11" s="2">
        <v>77.26499939</v>
      </c>
      <c r="D11" s="2">
        <v>87.916000370000006</v>
      </c>
      <c r="E11" s="2">
        <v>100.00000369999999</v>
      </c>
      <c r="F11" s="2">
        <v>0</v>
      </c>
      <c r="G11" s="2">
        <v>0</v>
      </c>
      <c r="H11" s="2">
        <v>0</v>
      </c>
      <c r="I11" s="2">
        <v>100</v>
      </c>
      <c r="J11" s="2">
        <v>0</v>
      </c>
      <c r="K11" s="2">
        <v>0</v>
      </c>
      <c r="L11" s="2">
        <v>0</v>
      </c>
      <c r="M11" s="2">
        <v>100</v>
      </c>
      <c r="N11" s="2">
        <v>0</v>
      </c>
      <c r="O11" s="2">
        <v>0</v>
      </c>
      <c r="P11" s="2">
        <v>0</v>
      </c>
      <c r="Q11" s="2" t="str">
        <f t="shared" si="0"/>
        <v>Andorra|2020</v>
      </c>
      <c r="R11" s="2" t="str">
        <f t="shared" si="1"/>
        <v xml:space="preserve"> </v>
      </c>
      <c r="T11" s="2" t="b">
        <f t="shared" si="24"/>
        <v>0</v>
      </c>
      <c r="U11" s="2" t="b">
        <f t="shared" si="28"/>
        <v>0</v>
      </c>
      <c r="V11" s="2" t="b">
        <f t="shared" si="2"/>
        <v>0</v>
      </c>
      <c r="W11" s="2">
        <f t="shared" si="3"/>
        <v>100</v>
      </c>
      <c r="X11" s="2">
        <f t="shared" si="4"/>
        <v>100</v>
      </c>
      <c r="Y11" s="2">
        <f t="shared" si="5"/>
        <v>100</v>
      </c>
      <c r="Z11" s="2" t="str">
        <f t="shared" si="6"/>
        <v/>
      </c>
      <c r="AA11" s="2" t="str">
        <f t="shared" si="7"/>
        <v/>
      </c>
      <c r="AB11" s="2" t="str">
        <f t="shared" si="8"/>
        <v/>
      </c>
      <c r="AC11" s="2">
        <f t="shared" si="9"/>
        <v>0</v>
      </c>
      <c r="AE11" s="10" t="s">
        <v>69</v>
      </c>
      <c r="AF11" s="11" t="s">
        <v>53</v>
      </c>
      <c r="AH11" s="6" t="str">
        <f t="shared" si="10"/>
        <v>Europe &amp; Central Asia</v>
      </c>
      <c r="AI11" s="6"/>
      <c r="AJ11" s="6"/>
      <c r="AK11" s="10">
        <f t="shared" si="26"/>
        <v>8.3722797999999446E-2</v>
      </c>
      <c r="AL11" s="6"/>
      <c r="AM11" s="6"/>
      <c r="AN11" s="6"/>
      <c r="AO11" s="10">
        <f t="shared" si="12"/>
        <v>0.18904414600000052</v>
      </c>
      <c r="AP11" s="6"/>
      <c r="AQ11" s="6"/>
      <c r="AR11" s="6"/>
      <c r="AS11" s="10">
        <f t="shared" si="15"/>
        <v>2.2125564000000965E-2</v>
      </c>
      <c r="AT11" s="6"/>
      <c r="AU11" s="6"/>
      <c r="AX11" s="2" t="str">
        <f t="shared" si="18"/>
        <v>null</v>
      </c>
      <c r="AY11" s="2" t="str">
        <f t="shared" si="19"/>
        <v>null</v>
      </c>
      <c r="AZ11" s="2" t="str">
        <f t="shared" si="20"/>
        <v>null</v>
      </c>
      <c r="BA11" s="15" t="s">
        <v>70</v>
      </c>
      <c r="BB11" s="2">
        <f t="shared" ref="BB11:BD11" si="30">MAX(BB2:BB8)</f>
        <v>3984795.4044202105</v>
      </c>
      <c r="BC11" s="2">
        <f t="shared" si="30"/>
        <v>3895.0309715499998</v>
      </c>
      <c r="BD11" s="2">
        <f t="shared" si="30"/>
        <v>3982280.4844182297</v>
      </c>
    </row>
    <row r="12" spans="1:59" x14ac:dyDescent="0.25">
      <c r="A12" s="2" t="s">
        <v>62</v>
      </c>
      <c r="B12" s="2">
        <v>2015</v>
      </c>
      <c r="C12" s="2">
        <v>27884.380860000001</v>
      </c>
      <c r="D12" s="2">
        <v>63.445995330000002</v>
      </c>
      <c r="E12" s="2">
        <v>54.316928349999998</v>
      </c>
      <c r="F12" s="2">
        <v>11.368618659999999</v>
      </c>
      <c r="G12" s="2">
        <v>17.37235635</v>
      </c>
      <c r="H12" s="2">
        <v>16.942096639999999</v>
      </c>
      <c r="I12" s="2">
        <v>26.714369399999999</v>
      </c>
      <c r="J12" s="2">
        <v>9.9310692879999998</v>
      </c>
      <c r="K12" s="2">
        <v>21.725307619999999</v>
      </c>
      <c r="L12" s="2">
        <v>41.629253689999999</v>
      </c>
      <c r="M12" s="2">
        <v>70.219965119999998</v>
      </c>
      <c r="N12" s="2">
        <v>12.196853490000001</v>
      </c>
      <c r="O12" s="2">
        <v>14.86443147</v>
      </c>
      <c r="P12" s="2">
        <v>2.7187499210000001</v>
      </c>
      <c r="Q12" s="2" t="str">
        <f t="shared" si="0"/>
        <v>Angola|2015</v>
      </c>
      <c r="R12" s="2">
        <f t="shared" si="1"/>
        <v>5</v>
      </c>
      <c r="T12" s="2">
        <f t="shared" si="24"/>
        <v>0.57016185399999986</v>
      </c>
      <c r="U12" s="2">
        <f t="shared" si="28"/>
        <v>0.2187714419999999</v>
      </c>
      <c r="V12" s="2">
        <f t="shared" si="2"/>
        <v>0.30463670000000037</v>
      </c>
      <c r="W12" s="2">
        <f t="shared" si="3"/>
        <v>54</v>
      </c>
      <c r="X12" s="2">
        <f t="shared" si="4"/>
        <v>27</v>
      </c>
      <c r="Y12" s="2">
        <f t="shared" si="5"/>
        <v>70</v>
      </c>
      <c r="Z12" s="2" t="str">
        <f t="shared" si="6"/>
        <v/>
      </c>
      <c r="AA12" s="2" t="str">
        <f t="shared" si="7"/>
        <v/>
      </c>
      <c r="AB12" s="2" t="str">
        <f t="shared" si="8"/>
        <v>Fully Accessible</v>
      </c>
      <c r="AC12" s="2">
        <f t="shared" si="9"/>
        <v>-8.5865258000000472E-2</v>
      </c>
      <c r="AE12" s="10" t="s">
        <v>71</v>
      </c>
      <c r="AF12" s="11" t="s">
        <v>57</v>
      </c>
      <c r="AH12" s="6" t="str">
        <f t="shared" si="10"/>
        <v>Latin America &amp; Caribbean</v>
      </c>
      <c r="AI12" s="6"/>
      <c r="AJ12" s="6"/>
      <c r="AK12" s="10">
        <f t="shared" si="26"/>
        <v>0</v>
      </c>
      <c r="AL12" s="6"/>
      <c r="AM12" s="6"/>
      <c r="AN12" s="6"/>
      <c r="AO12" s="10">
        <f t="shared" si="12"/>
        <v>0</v>
      </c>
      <c r="AP12" s="6"/>
      <c r="AQ12" s="6"/>
      <c r="AR12" s="6"/>
      <c r="AS12" s="10">
        <f t="shared" si="15"/>
        <v>0</v>
      </c>
      <c r="AT12" s="6"/>
      <c r="AU12" s="6"/>
      <c r="AX12" s="2">
        <f t="shared" si="18"/>
        <v>60750.650389999995</v>
      </c>
      <c r="AY12" s="2">
        <f t="shared" si="19"/>
        <v>130.27099228</v>
      </c>
      <c r="AZ12" s="2">
        <f t="shared" si="20"/>
        <v>60620.379397719997</v>
      </c>
      <c r="BA12" s="15" t="s">
        <v>72</v>
      </c>
      <c r="BB12" s="2">
        <f t="shared" ref="BB12:BD12" si="31">MIN(BB2:BB8)</f>
        <v>91110.254886999988</v>
      </c>
      <c r="BC12" s="2">
        <f t="shared" si="31"/>
        <v>728.60600281000006</v>
      </c>
      <c r="BD12" s="2">
        <f t="shared" si="31"/>
        <v>90381.648884189985</v>
      </c>
    </row>
    <row r="13" spans="1:59" x14ac:dyDescent="0.25">
      <c r="A13" s="2" t="s">
        <v>62</v>
      </c>
      <c r="B13" s="2">
        <v>2020</v>
      </c>
      <c r="C13" s="2">
        <v>32866.269529999998</v>
      </c>
      <c r="D13" s="2">
        <v>66.824996949999999</v>
      </c>
      <c r="E13" s="2">
        <v>57.167737619999997</v>
      </c>
      <c r="F13" s="2">
        <v>9.2873499190000004</v>
      </c>
      <c r="G13" s="2">
        <v>19.450825340000002</v>
      </c>
      <c r="H13" s="2">
        <v>14.094087119999999</v>
      </c>
      <c r="I13" s="2">
        <v>27.808226609999998</v>
      </c>
      <c r="J13" s="2">
        <v>8.7404883889999994</v>
      </c>
      <c r="K13" s="2">
        <v>22.933152580000002</v>
      </c>
      <c r="L13" s="2">
        <v>40.518132420000001</v>
      </c>
      <c r="M13" s="2">
        <v>71.743148619999999</v>
      </c>
      <c r="N13" s="2">
        <v>9.5588374890000001</v>
      </c>
      <c r="O13" s="2">
        <v>17.722034730000001</v>
      </c>
      <c r="P13" s="2">
        <v>0.97597916289999997</v>
      </c>
      <c r="Q13" s="2" t="str">
        <f t="shared" si="0"/>
        <v>Angola|2020</v>
      </c>
      <c r="R13" s="2" t="str">
        <f t="shared" si="1"/>
        <v xml:space="preserve"> </v>
      </c>
      <c r="T13" s="2" t="b">
        <f t="shared" si="24"/>
        <v>0</v>
      </c>
      <c r="U13" s="2" t="b">
        <f t="shared" si="28"/>
        <v>0</v>
      </c>
      <c r="V13" s="2" t="b">
        <f t="shared" si="2"/>
        <v>0</v>
      </c>
      <c r="W13" s="2">
        <f t="shared" si="3"/>
        <v>57</v>
      </c>
      <c r="X13" s="2">
        <f t="shared" si="4"/>
        <v>28</v>
      </c>
      <c r="Y13" s="2">
        <f t="shared" si="5"/>
        <v>72</v>
      </c>
      <c r="Z13" s="2" t="str">
        <f t="shared" si="6"/>
        <v/>
      </c>
      <c r="AA13" s="2" t="str">
        <f t="shared" si="7"/>
        <v/>
      </c>
      <c r="AB13" s="2" t="str">
        <f t="shared" si="8"/>
        <v/>
      </c>
      <c r="AC13" s="2">
        <f t="shared" si="9"/>
        <v>0</v>
      </c>
      <c r="AE13" s="10" t="s">
        <v>73</v>
      </c>
      <c r="AF13" s="11" t="s">
        <v>51</v>
      </c>
      <c r="AH13" s="6" t="str">
        <f t="shared" si="10"/>
        <v>East Asia &amp; Pacific</v>
      </c>
      <c r="AI13" s="6"/>
      <c r="AJ13" s="6"/>
      <c r="AK13" s="10">
        <f t="shared" si="26"/>
        <v>-3.8770000000454277E-5</v>
      </c>
      <c r="AL13" s="6"/>
      <c r="AM13" s="6"/>
      <c r="AN13" s="6"/>
      <c r="AO13" s="10">
        <f t="shared" si="12"/>
        <v>0</v>
      </c>
      <c r="AP13" s="6"/>
      <c r="AQ13" s="6"/>
      <c r="AR13" s="6"/>
      <c r="AS13" s="10">
        <f t="shared" si="15"/>
        <v>0</v>
      </c>
      <c r="AT13" s="6"/>
      <c r="AU13" s="6"/>
      <c r="AX13" s="2" t="str">
        <f t="shared" si="18"/>
        <v>null</v>
      </c>
      <c r="AY13" s="2" t="str">
        <f t="shared" si="19"/>
        <v>null</v>
      </c>
      <c r="AZ13" s="2" t="str">
        <f t="shared" si="20"/>
        <v>null</v>
      </c>
      <c r="BA13" s="16"/>
    </row>
    <row r="14" spans="1:59" x14ac:dyDescent="0.25">
      <c r="A14" s="2" t="s">
        <v>65</v>
      </c>
      <c r="B14" s="2">
        <v>2015</v>
      </c>
      <c r="C14" s="2">
        <v>14.27900028</v>
      </c>
      <c r="D14" s="2">
        <v>100</v>
      </c>
      <c r="E14" s="2">
        <v>97.482274250000003</v>
      </c>
      <c r="F14" s="2">
        <v>0</v>
      </c>
      <c r="G14" s="2">
        <v>2.5177257530000001</v>
      </c>
      <c r="H14" s="2">
        <v>0</v>
      </c>
      <c r="I14" s="2" t="s">
        <v>64</v>
      </c>
      <c r="J14" s="2" t="s">
        <v>64</v>
      </c>
      <c r="K14" s="2" t="s">
        <v>64</v>
      </c>
      <c r="L14" s="2" t="s">
        <v>64</v>
      </c>
      <c r="M14" s="2">
        <v>97.482274250000003</v>
      </c>
      <c r="N14" s="2">
        <v>0</v>
      </c>
      <c r="O14" s="2">
        <v>2.5177257530000001</v>
      </c>
      <c r="P14" s="2">
        <v>0</v>
      </c>
      <c r="Q14" s="2" t="str">
        <f t="shared" si="0"/>
        <v>Anguilla|2015</v>
      </c>
      <c r="R14" s="2">
        <f t="shared" si="1"/>
        <v>2</v>
      </c>
      <c r="T14" s="2">
        <f t="shared" si="24"/>
        <v>0</v>
      </c>
      <c r="U14" s="2" t="str">
        <f t="shared" si="28"/>
        <v>null</v>
      </c>
      <c r="V14" s="2">
        <f t="shared" si="2"/>
        <v>0</v>
      </c>
      <c r="W14" s="2">
        <f t="shared" si="3"/>
        <v>97</v>
      </c>
      <c r="X14" s="2" t="b">
        <f t="shared" si="4"/>
        <v>0</v>
      </c>
      <c r="Y14" s="2">
        <f t="shared" si="5"/>
        <v>97</v>
      </c>
      <c r="Z14" s="2" t="str">
        <f t="shared" si="6"/>
        <v/>
      </c>
      <c r="AA14" s="2" t="str">
        <f t="shared" si="7"/>
        <v>Fully Accessible</v>
      </c>
      <c r="AB14" s="2" t="str">
        <f t="shared" si="8"/>
        <v>Fully Accessible</v>
      </c>
      <c r="AC14" s="2" t="b">
        <f t="shared" si="9"/>
        <v>0</v>
      </c>
      <c r="AE14" s="10" t="s">
        <v>74</v>
      </c>
      <c r="AF14" s="11" t="s">
        <v>53</v>
      </c>
      <c r="AH14" s="6" t="str">
        <f t="shared" si="10"/>
        <v>Europe &amp; Central Asia</v>
      </c>
      <c r="AI14" s="6"/>
      <c r="AJ14" s="6"/>
      <c r="AK14" s="10">
        <f t="shared" si="26"/>
        <v>0</v>
      </c>
      <c r="AL14" s="6"/>
      <c r="AM14" s="6"/>
      <c r="AN14" s="6"/>
      <c r="AO14" s="10">
        <f t="shared" si="12"/>
        <v>0</v>
      </c>
      <c r="AP14" s="6"/>
      <c r="AQ14" s="6"/>
      <c r="AR14" s="6"/>
      <c r="AS14" s="10">
        <f t="shared" si="15"/>
        <v>0</v>
      </c>
      <c r="AT14" s="6"/>
      <c r="AU14" s="6"/>
      <c r="AX14" s="2">
        <f t="shared" si="18"/>
        <v>28.867000579999999</v>
      </c>
      <c r="AY14" s="2">
        <f t="shared" si="19"/>
        <v>200</v>
      </c>
      <c r="AZ14" s="2">
        <f t="shared" si="20"/>
        <v>-171.13299942</v>
      </c>
      <c r="BA14" s="6"/>
    </row>
    <row r="15" spans="1:59" x14ac:dyDescent="0.25">
      <c r="A15" s="2" t="s">
        <v>65</v>
      </c>
      <c r="B15" s="2">
        <v>2017</v>
      </c>
      <c r="C15" s="2">
        <v>14.588000299999999</v>
      </c>
      <c r="D15" s="2">
        <v>100</v>
      </c>
      <c r="E15" s="2">
        <v>97.482274250000003</v>
      </c>
      <c r="F15" s="2">
        <v>0</v>
      </c>
      <c r="G15" s="2">
        <v>2.5177257530000001</v>
      </c>
      <c r="H15" s="2">
        <v>0</v>
      </c>
      <c r="I15" s="2" t="s">
        <v>64</v>
      </c>
      <c r="J15" s="2" t="s">
        <v>64</v>
      </c>
      <c r="K15" s="2" t="s">
        <v>64</v>
      </c>
      <c r="L15" s="2" t="s">
        <v>64</v>
      </c>
      <c r="M15" s="2">
        <v>97.482274250000003</v>
      </c>
      <c r="N15" s="2">
        <v>0</v>
      </c>
      <c r="O15" s="2">
        <v>2.5177257530000001</v>
      </c>
      <c r="P15" s="2">
        <v>0</v>
      </c>
      <c r="Q15" s="2" t="str">
        <f t="shared" si="0"/>
        <v>Anguilla|2017</v>
      </c>
      <c r="R15" s="2" t="str">
        <f t="shared" si="1"/>
        <v xml:space="preserve"> </v>
      </c>
      <c r="T15" s="2" t="b">
        <f t="shared" si="24"/>
        <v>0</v>
      </c>
      <c r="U15" s="2" t="b">
        <f t="shared" si="28"/>
        <v>0</v>
      </c>
      <c r="V15" s="2" t="b">
        <f t="shared" si="2"/>
        <v>0</v>
      </c>
      <c r="W15" s="2">
        <f t="shared" si="3"/>
        <v>97</v>
      </c>
      <c r="X15" s="2" t="b">
        <f t="shared" si="4"/>
        <v>0</v>
      </c>
      <c r="Y15" s="2">
        <f t="shared" si="5"/>
        <v>97</v>
      </c>
      <c r="Z15" s="2" t="str">
        <f t="shared" si="6"/>
        <v/>
      </c>
      <c r="AA15" s="2" t="str">
        <f t="shared" si="7"/>
        <v/>
      </c>
      <c r="AB15" s="2" t="str">
        <f t="shared" si="8"/>
        <v/>
      </c>
      <c r="AC15" s="2">
        <f t="shared" si="9"/>
        <v>0</v>
      </c>
      <c r="AE15" s="10" t="s">
        <v>75</v>
      </c>
      <c r="AF15" s="11" t="s">
        <v>53</v>
      </c>
      <c r="AH15" s="6" t="str">
        <f t="shared" si="10"/>
        <v>Europe &amp; Central Asia</v>
      </c>
      <c r="AI15" s="6"/>
      <c r="AJ15" s="6"/>
      <c r="AK15" s="10">
        <f t="shared" si="26"/>
        <v>0.72461242999999909</v>
      </c>
      <c r="AL15" s="6"/>
      <c r="AM15" s="6"/>
      <c r="AN15" s="6"/>
      <c r="AO15" s="10">
        <f t="shared" si="12"/>
        <v>1.3565169359999998</v>
      </c>
      <c r="AP15" s="6"/>
      <c r="AQ15" s="6"/>
      <c r="AR15" s="6"/>
      <c r="AS15" s="10">
        <f t="shared" si="15"/>
        <v>0.14576959400000078</v>
      </c>
      <c r="AT15" s="6"/>
      <c r="AU15" s="6"/>
      <c r="AX15" s="2" t="str">
        <f t="shared" si="18"/>
        <v>null</v>
      </c>
      <c r="AY15" s="2" t="str">
        <f t="shared" si="19"/>
        <v>null</v>
      </c>
      <c r="AZ15" s="2" t="str">
        <f t="shared" si="20"/>
        <v>null</v>
      </c>
      <c r="BA15" s="6"/>
    </row>
    <row r="16" spans="1:59" x14ac:dyDescent="0.25">
      <c r="A16" s="2" t="s">
        <v>66</v>
      </c>
      <c r="B16" s="2">
        <v>2015</v>
      </c>
      <c r="C16" s="2">
        <v>93.570999150000006</v>
      </c>
      <c r="D16" s="2">
        <v>25</v>
      </c>
      <c r="E16" s="2">
        <v>96.739186279999998</v>
      </c>
      <c r="F16" s="2">
        <v>0</v>
      </c>
      <c r="G16" s="2">
        <v>3.1663476099999999</v>
      </c>
      <c r="H16" s="2">
        <v>9.4466114089999997E-2</v>
      </c>
      <c r="I16" s="2" t="s">
        <v>64</v>
      </c>
      <c r="J16" s="2" t="s">
        <v>64</v>
      </c>
      <c r="K16" s="2" t="s">
        <v>64</v>
      </c>
      <c r="L16" s="2" t="s">
        <v>64</v>
      </c>
      <c r="M16" s="2" t="s">
        <v>64</v>
      </c>
      <c r="N16" s="2" t="s">
        <v>64</v>
      </c>
      <c r="O16" s="2" t="s">
        <v>64</v>
      </c>
      <c r="P16" s="2" t="s">
        <v>64</v>
      </c>
      <c r="Q16" s="2" t="str">
        <f t="shared" si="0"/>
        <v>Antigua and Barbuda|2015</v>
      </c>
      <c r="R16" s="2">
        <f t="shared" si="1"/>
        <v>2</v>
      </c>
      <c r="T16" s="2">
        <f t="shared" si="24"/>
        <v>0</v>
      </c>
      <c r="U16" s="2" t="str">
        <f t="shared" si="28"/>
        <v>null</v>
      </c>
      <c r="V16" s="2" t="str">
        <f t="shared" si="2"/>
        <v>null</v>
      </c>
      <c r="W16" s="2">
        <f t="shared" si="3"/>
        <v>97</v>
      </c>
      <c r="X16" s="2" t="b">
        <f t="shared" si="4"/>
        <v>0</v>
      </c>
      <c r="Y16" s="2" t="b">
        <f t="shared" si="5"/>
        <v>0</v>
      </c>
      <c r="Z16" s="2" t="str">
        <f t="shared" si="6"/>
        <v/>
      </c>
      <c r="AA16" s="2" t="str">
        <f t="shared" si="7"/>
        <v>Fully Accessible</v>
      </c>
      <c r="AB16" s="2" t="str">
        <f t="shared" si="8"/>
        <v>Fully Accessible</v>
      </c>
      <c r="AC16" s="2" t="b">
        <f t="shared" si="9"/>
        <v>0</v>
      </c>
      <c r="AE16" s="10" t="s">
        <v>76</v>
      </c>
      <c r="AF16" s="11" t="s">
        <v>57</v>
      </c>
      <c r="AH16" s="6" t="str">
        <f t="shared" si="10"/>
        <v>Latin America &amp; Caribbean</v>
      </c>
      <c r="AI16" s="6"/>
      <c r="AJ16" s="6"/>
      <c r="AK16" s="10">
        <f t="shared" si="26"/>
        <v>0</v>
      </c>
      <c r="AL16" s="6"/>
      <c r="AM16" s="6"/>
      <c r="AN16" s="6"/>
      <c r="AO16" s="10">
        <f t="shared" si="12"/>
        <v>0</v>
      </c>
      <c r="AP16" s="6"/>
      <c r="AQ16" s="6"/>
      <c r="AR16" s="6"/>
      <c r="AS16" s="10">
        <f t="shared" si="15"/>
        <v>0</v>
      </c>
      <c r="AT16" s="6"/>
      <c r="AU16" s="6"/>
      <c r="AX16" s="2">
        <f t="shared" si="18"/>
        <v>188.99600220000002</v>
      </c>
      <c r="AY16" s="2">
        <f t="shared" si="19"/>
        <v>49.713001250000005</v>
      </c>
      <c r="AZ16" s="2">
        <f t="shared" si="20"/>
        <v>139.28300095000003</v>
      </c>
      <c r="BA16" s="6"/>
    </row>
    <row r="17" spans="1:53" x14ac:dyDescent="0.25">
      <c r="A17" s="2" t="s">
        <v>66</v>
      </c>
      <c r="B17" s="2">
        <v>2017</v>
      </c>
      <c r="C17" s="2">
        <v>95.425003050000001</v>
      </c>
      <c r="D17" s="2">
        <v>24.713001250000001</v>
      </c>
      <c r="E17" s="2">
        <v>96.739186279999998</v>
      </c>
      <c r="F17" s="2">
        <v>0</v>
      </c>
      <c r="G17" s="2">
        <v>3.1663476099999999</v>
      </c>
      <c r="H17" s="2">
        <v>9.4466114089999997E-2</v>
      </c>
      <c r="I17" s="2" t="s">
        <v>64</v>
      </c>
      <c r="J17" s="2" t="s">
        <v>64</v>
      </c>
      <c r="K17" s="2" t="s">
        <v>64</v>
      </c>
      <c r="L17" s="2" t="s">
        <v>64</v>
      </c>
      <c r="M17" s="2" t="s">
        <v>64</v>
      </c>
      <c r="N17" s="2" t="s">
        <v>64</v>
      </c>
      <c r="O17" s="2" t="s">
        <v>64</v>
      </c>
      <c r="P17" s="2" t="s">
        <v>64</v>
      </c>
      <c r="Q17" s="2" t="str">
        <f t="shared" si="0"/>
        <v>Antigua and Barbuda|2017</v>
      </c>
      <c r="R17" s="2" t="str">
        <f t="shared" si="1"/>
        <v xml:space="preserve"> </v>
      </c>
      <c r="T17" s="2" t="b">
        <f t="shared" si="24"/>
        <v>0</v>
      </c>
      <c r="U17" s="2" t="b">
        <f t="shared" si="28"/>
        <v>0</v>
      </c>
      <c r="V17" s="2" t="b">
        <f t="shared" si="2"/>
        <v>0</v>
      </c>
      <c r="W17" s="2">
        <f t="shared" si="3"/>
        <v>97</v>
      </c>
      <c r="X17" s="2" t="b">
        <f t="shared" si="4"/>
        <v>0</v>
      </c>
      <c r="Y17" s="2" t="b">
        <f t="shared" si="5"/>
        <v>0</v>
      </c>
      <c r="Z17" s="2" t="str">
        <f t="shared" si="6"/>
        <v/>
      </c>
      <c r="AA17" s="2" t="str">
        <f t="shared" si="7"/>
        <v/>
      </c>
      <c r="AB17" s="2" t="str">
        <f t="shared" si="8"/>
        <v/>
      </c>
      <c r="AC17" s="2">
        <f t="shared" si="9"/>
        <v>0</v>
      </c>
      <c r="AE17" s="10" t="s">
        <v>77</v>
      </c>
      <c r="AF17" s="11" t="s">
        <v>53</v>
      </c>
      <c r="AH17" s="6" t="str">
        <f t="shared" si="10"/>
        <v>Europe &amp; Central Asia</v>
      </c>
      <c r="AI17" s="6"/>
      <c r="AJ17" s="6"/>
      <c r="AK17" s="10">
        <f t="shared" si="26"/>
        <v>0</v>
      </c>
      <c r="AL17" s="6"/>
      <c r="AM17" s="6"/>
      <c r="AN17" s="6"/>
      <c r="AO17" s="10">
        <f t="shared" si="12"/>
        <v>0</v>
      </c>
      <c r="AP17" s="6"/>
      <c r="AQ17" s="6"/>
      <c r="AR17" s="6"/>
      <c r="AS17" s="10">
        <f t="shared" si="15"/>
        <v>0</v>
      </c>
      <c r="AT17" s="6"/>
      <c r="AU17" s="6"/>
      <c r="AX17" s="2" t="str">
        <f t="shared" si="18"/>
        <v>null</v>
      </c>
      <c r="AY17" s="2" t="str">
        <f t="shared" si="19"/>
        <v>null</v>
      </c>
      <c r="AZ17" s="2" t="str">
        <f t="shared" si="20"/>
        <v>null</v>
      </c>
      <c r="BA17" s="6"/>
    </row>
    <row r="18" spans="1:53" x14ac:dyDescent="0.25">
      <c r="A18" s="2" t="s">
        <v>67</v>
      </c>
      <c r="B18" s="2">
        <v>2015</v>
      </c>
      <c r="C18" s="2">
        <v>43075.414060000003</v>
      </c>
      <c r="D18" s="2">
        <v>91.502998349999999</v>
      </c>
      <c r="E18" s="2">
        <v>98.966588150000007</v>
      </c>
      <c r="F18" s="2">
        <v>0</v>
      </c>
      <c r="G18" s="2">
        <v>0.66491437909999995</v>
      </c>
      <c r="H18" s="2">
        <v>0.36849747420000001</v>
      </c>
      <c r="I18" s="2">
        <v>92.983660049999997</v>
      </c>
      <c r="J18" s="2">
        <v>0</v>
      </c>
      <c r="K18" s="2">
        <v>2.6795448990000001</v>
      </c>
      <c r="L18" s="2">
        <v>4.3367950510000002</v>
      </c>
      <c r="M18" s="2">
        <v>99.522163050000003</v>
      </c>
      <c r="N18" s="2">
        <v>0</v>
      </c>
      <c r="O18" s="2">
        <v>0.47783694729999998</v>
      </c>
      <c r="P18" s="2">
        <v>0</v>
      </c>
      <c r="Q18" s="2" t="str">
        <f t="shared" si="0"/>
        <v>Argentina|2015</v>
      </c>
      <c r="R18" s="2">
        <f t="shared" si="1"/>
        <v>5</v>
      </c>
      <c r="T18" s="2" t="str">
        <f t="shared" si="24"/>
        <v>null</v>
      </c>
      <c r="U18" s="2" t="str">
        <f t="shared" si="28"/>
        <v>null</v>
      </c>
      <c r="V18" s="2">
        <f t="shared" si="2"/>
        <v>5.3651519999999661E-2</v>
      </c>
      <c r="W18" s="2">
        <f t="shared" si="3"/>
        <v>99</v>
      </c>
      <c r="X18" s="2">
        <f t="shared" si="4"/>
        <v>93</v>
      </c>
      <c r="Y18" s="2">
        <f t="shared" si="5"/>
        <v>100</v>
      </c>
      <c r="Z18" s="2" t="str">
        <f t="shared" si="6"/>
        <v/>
      </c>
      <c r="AA18" s="2" t="str">
        <f t="shared" si="7"/>
        <v/>
      </c>
      <c r="AB18" s="2" t="str">
        <f t="shared" si="8"/>
        <v>Fully Accessible</v>
      </c>
      <c r="AC18" s="2" t="b">
        <f t="shared" si="9"/>
        <v>0</v>
      </c>
      <c r="AE18" s="10" t="s">
        <v>78</v>
      </c>
      <c r="AF18" s="11" t="s">
        <v>50</v>
      </c>
      <c r="AH18" s="6" t="str">
        <f t="shared" si="10"/>
        <v>South Asia</v>
      </c>
      <c r="AI18" s="6"/>
      <c r="AJ18" s="6"/>
      <c r="AK18" s="10">
        <f t="shared" si="26"/>
        <v>0.11927155599999821</v>
      </c>
      <c r="AL18" s="6"/>
      <c r="AM18" s="6"/>
      <c r="AN18" s="6"/>
      <c r="AO18" s="10">
        <f t="shared" si="12"/>
        <v>0.22144529599999885</v>
      </c>
      <c r="AP18" s="6"/>
      <c r="AQ18" s="6"/>
      <c r="AR18" s="6"/>
      <c r="AS18" s="10">
        <f t="shared" si="15"/>
        <v>-6.5600341999999048E-2</v>
      </c>
      <c r="AT18" s="6"/>
      <c r="AU18" s="6"/>
      <c r="AX18" s="2">
        <f t="shared" si="18"/>
        <v>88271.191400000011</v>
      </c>
      <c r="AY18" s="2">
        <f t="shared" si="19"/>
        <v>183.61399840999999</v>
      </c>
      <c r="AZ18" s="2">
        <f t="shared" si="20"/>
        <v>88087.57740159001</v>
      </c>
      <c r="BA18" s="16"/>
    </row>
    <row r="19" spans="1:53" x14ac:dyDescent="0.25">
      <c r="A19" s="2" t="s">
        <v>67</v>
      </c>
      <c r="B19" s="2">
        <v>2020</v>
      </c>
      <c r="C19" s="2">
        <v>45195.777340000001</v>
      </c>
      <c r="D19" s="2">
        <v>92.111000059999995</v>
      </c>
      <c r="E19" s="2" t="s">
        <v>64</v>
      </c>
      <c r="F19" s="2" t="s">
        <v>64</v>
      </c>
      <c r="G19" s="2" t="s">
        <v>64</v>
      </c>
      <c r="H19" s="2" t="s">
        <v>64</v>
      </c>
      <c r="I19" s="2" t="s">
        <v>64</v>
      </c>
      <c r="J19" s="2" t="s">
        <v>64</v>
      </c>
      <c r="K19" s="2" t="s">
        <v>64</v>
      </c>
      <c r="L19" s="2" t="s">
        <v>64</v>
      </c>
      <c r="M19" s="2">
        <v>99.790420650000002</v>
      </c>
      <c r="N19" s="2">
        <v>0</v>
      </c>
      <c r="O19" s="2">
        <v>0.20957935010000001</v>
      </c>
      <c r="P19" s="2">
        <v>0</v>
      </c>
      <c r="Q19" s="2" t="str">
        <f t="shared" si="0"/>
        <v>Argentina|2020</v>
      </c>
      <c r="R19" s="2" t="str">
        <f t="shared" si="1"/>
        <v xml:space="preserve"> </v>
      </c>
      <c r="T19" s="2" t="b">
        <f t="shared" si="24"/>
        <v>0</v>
      </c>
      <c r="U19" s="2" t="b">
        <f t="shared" si="28"/>
        <v>0</v>
      </c>
      <c r="V19" s="2" t="b">
        <f t="shared" si="2"/>
        <v>0</v>
      </c>
      <c r="W19" s="2" t="b">
        <f t="shared" si="3"/>
        <v>0</v>
      </c>
      <c r="X19" s="2" t="b">
        <f t="shared" si="4"/>
        <v>0</v>
      </c>
      <c r="Y19" s="2">
        <f t="shared" si="5"/>
        <v>100</v>
      </c>
      <c r="Z19" s="2" t="str">
        <f t="shared" si="6"/>
        <v/>
      </c>
      <c r="AA19" s="2" t="str">
        <f t="shared" si="7"/>
        <v/>
      </c>
      <c r="AB19" s="2" t="str">
        <f t="shared" si="8"/>
        <v/>
      </c>
      <c r="AC19" s="2">
        <f t="shared" si="9"/>
        <v>0</v>
      </c>
      <c r="AE19" s="10" t="s">
        <v>79</v>
      </c>
      <c r="AF19" s="11" t="s">
        <v>57</v>
      </c>
      <c r="AH19" s="6" t="str">
        <f t="shared" si="10"/>
        <v>Latin America &amp; Caribbean</v>
      </c>
      <c r="AI19" s="6"/>
      <c r="AJ19" s="6"/>
      <c r="AK19" s="10">
        <f t="shared" si="26"/>
        <v>8.0011360000014527E-3</v>
      </c>
      <c r="AL19" s="6"/>
      <c r="AM19" s="6"/>
      <c r="AN19" s="6"/>
      <c r="AO19" s="10">
        <f t="shared" si="12"/>
        <v>0</v>
      </c>
      <c r="AP19" s="6"/>
      <c r="AQ19" s="6"/>
      <c r="AR19" s="6"/>
      <c r="AS19" s="10">
        <f t="shared" si="15"/>
        <v>0</v>
      </c>
      <c r="AT19" s="6"/>
      <c r="AU19" s="6"/>
      <c r="AX19" s="2" t="str">
        <f t="shared" si="18"/>
        <v>null</v>
      </c>
      <c r="AY19" s="2" t="str">
        <f t="shared" si="19"/>
        <v>null</v>
      </c>
      <c r="AZ19" s="2" t="str">
        <f t="shared" si="20"/>
        <v>null</v>
      </c>
      <c r="BA19" s="6"/>
    </row>
    <row r="20" spans="1:53" x14ac:dyDescent="0.25">
      <c r="A20" s="2" t="s">
        <v>69</v>
      </c>
      <c r="B20" s="2">
        <v>2015</v>
      </c>
      <c r="C20" s="2">
        <v>2925.5590820000002</v>
      </c>
      <c r="D20" s="2">
        <v>63.085002899999999</v>
      </c>
      <c r="E20" s="2">
        <v>99.5525667</v>
      </c>
      <c r="F20" s="2">
        <v>0</v>
      </c>
      <c r="G20" s="2">
        <v>9.8505083660000006E-2</v>
      </c>
      <c r="H20" s="2">
        <v>0.3489282205</v>
      </c>
      <c r="I20" s="2">
        <v>99.054779269999997</v>
      </c>
      <c r="J20" s="2">
        <v>0</v>
      </c>
      <c r="K20" s="2">
        <v>0</v>
      </c>
      <c r="L20" s="2">
        <v>0.94522073470000001</v>
      </c>
      <c r="M20" s="2">
        <v>99.8438534</v>
      </c>
      <c r="N20" s="2">
        <v>0</v>
      </c>
      <c r="O20" s="2">
        <v>0.15614659810000001</v>
      </c>
      <c r="P20" s="2">
        <v>0</v>
      </c>
      <c r="Q20" s="2" t="str">
        <f t="shared" si="0"/>
        <v>Armenia|2015</v>
      </c>
      <c r="R20" s="2">
        <f t="shared" si="1"/>
        <v>5</v>
      </c>
      <c r="T20" s="2">
        <f t="shared" si="24"/>
        <v>8.3722797999999446E-2</v>
      </c>
      <c r="U20" s="2">
        <f t="shared" si="28"/>
        <v>0.18904414600000052</v>
      </c>
      <c r="V20" s="2">
        <f t="shared" si="2"/>
        <v>2.2125564000000965E-2</v>
      </c>
      <c r="W20" s="2">
        <f t="shared" si="3"/>
        <v>100</v>
      </c>
      <c r="X20" s="2">
        <f t="shared" si="4"/>
        <v>99</v>
      </c>
      <c r="Y20" s="2">
        <f t="shared" si="5"/>
        <v>100</v>
      </c>
      <c r="Z20" s="2" t="str">
        <f t="shared" si="6"/>
        <v/>
      </c>
      <c r="AA20" s="2" t="str">
        <f t="shared" si="7"/>
        <v/>
      </c>
      <c r="AB20" s="2" t="str">
        <f t="shared" si="8"/>
        <v>Fully Accessible</v>
      </c>
      <c r="AC20" s="2">
        <f t="shared" si="9"/>
        <v>0.16691858199999957</v>
      </c>
      <c r="AE20" s="10" t="s">
        <v>80</v>
      </c>
      <c r="AF20" s="11" t="s">
        <v>53</v>
      </c>
      <c r="AH20" s="6" t="str">
        <f t="shared" si="10"/>
        <v>Europe &amp; Central Asia</v>
      </c>
      <c r="AI20" s="6"/>
      <c r="AJ20" s="6"/>
      <c r="AK20" s="10">
        <f t="shared" si="26"/>
        <v>1.1531797999998617E-2</v>
      </c>
      <c r="AL20" s="6"/>
      <c r="AM20" s="6"/>
      <c r="AN20" s="6"/>
      <c r="AO20" s="10">
        <f t="shared" si="12"/>
        <v>4.6690141999999921E-2</v>
      </c>
      <c r="AP20" s="6"/>
      <c r="AQ20" s="6"/>
      <c r="AR20" s="6"/>
      <c r="AS20" s="10">
        <f t="shared" si="15"/>
        <v>1.6367687999999703E-2</v>
      </c>
      <c r="AT20" s="6"/>
      <c r="AU20" s="6"/>
      <c r="AX20" s="2">
        <f t="shared" si="18"/>
        <v>5888.7929690000001</v>
      </c>
      <c r="AY20" s="2">
        <f t="shared" si="19"/>
        <v>126.39800263000001</v>
      </c>
      <c r="AZ20" s="2">
        <f t="shared" si="20"/>
        <v>5762.3949663700005</v>
      </c>
      <c r="BA20" s="16"/>
    </row>
    <row r="21" spans="1:53" x14ac:dyDescent="0.25">
      <c r="A21" s="2" t="s">
        <v>69</v>
      </c>
      <c r="B21" s="2">
        <v>2020</v>
      </c>
      <c r="C21" s="2">
        <v>2963.2338869999999</v>
      </c>
      <c r="D21" s="2">
        <v>63.312999730000001</v>
      </c>
      <c r="E21" s="2">
        <v>99.971180689999997</v>
      </c>
      <c r="F21" s="2">
        <v>0</v>
      </c>
      <c r="G21" s="2">
        <v>2.8819308009999999E-2</v>
      </c>
      <c r="H21" s="2">
        <v>0</v>
      </c>
      <c r="I21" s="2">
        <v>100</v>
      </c>
      <c r="J21" s="2">
        <v>0</v>
      </c>
      <c r="K21" s="2">
        <v>0</v>
      </c>
      <c r="L21" s="2">
        <v>0</v>
      </c>
      <c r="M21" s="2">
        <v>99.954481220000005</v>
      </c>
      <c r="N21" s="2">
        <v>0</v>
      </c>
      <c r="O21" s="2">
        <v>4.5518783639999998E-2</v>
      </c>
      <c r="P21" s="2">
        <v>0</v>
      </c>
      <c r="Q21" s="2" t="str">
        <f t="shared" si="0"/>
        <v>Armenia|2020</v>
      </c>
      <c r="R21" s="2" t="str">
        <f t="shared" si="1"/>
        <v xml:space="preserve"> </v>
      </c>
      <c r="T21" s="2" t="b">
        <f t="shared" si="24"/>
        <v>0</v>
      </c>
      <c r="U21" s="2" t="b">
        <f t="shared" si="28"/>
        <v>0</v>
      </c>
      <c r="V21" s="2" t="b">
        <f t="shared" si="2"/>
        <v>0</v>
      </c>
      <c r="W21" s="2">
        <f t="shared" si="3"/>
        <v>100</v>
      </c>
      <c r="X21" s="2">
        <f t="shared" si="4"/>
        <v>100</v>
      </c>
      <c r="Y21" s="2">
        <f t="shared" si="5"/>
        <v>100</v>
      </c>
      <c r="Z21" s="2" t="str">
        <f t="shared" si="6"/>
        <v/>
      </c>
      <c r="AA21" s="2" t="str">
        <f t="shared" si="7"/>
        <v/>
      </c>
      <c r="AB21" s="2" t="str">
        <f t="shared" si="8"/>
        <v/>
      </c>
      <c r="AC21" s="2">
        <f t="shared" si="9"/>
        <v>0</v>
      </c>
      <c r="AE21" s="10" t="s">
        <v>81</v>
      </c>
      <c r="AF21" s="11" t="s">
        <v>53</v>
      </c>
      <c r="AH21" s="6" t="str">
        <f t="shared" si="10"/>
        <v>Europe &amp; Central Asia</v>
      </c>
      <c r="AI21" s="6"/>
      <c r="AJ21" s="6"/>
      <c r="AK21" s="10">
        <f t="shared" si="26"/>
        <v>-2.4999999936881068E-7</v>
      </c>
      <c r="AL21" s="6"/>
      <c r="AM21" s="6"/>
      <c r="AN21" s="6"/>
      <c r="AO21" s="10">
        <f t="shared" si="12"/>
        <v>0</v>
      </c>
      <c r="AP21" s="6"/>
      <c r="AQ21" s="6"/>
      <c r="AR21" s="6"/>
      <c r="AS21" s="10">
        <f t="shared" si="15"/>
        <v>0</v>
      </c>
      <c r="AT21" s="6"/>
      <c r="AU21" s="6"/>
      <c r="AX21" s="2" t="str">
        <f t="shared" si="18"/>
        <v>null</v>
      </c>
      <c r="AY21" s="2" t="str">
        <f t="shared" si="19"/>
        <v>null</v>
      </c>
      <c r="AZ21" s="2" t="str">
        <f t="shared" si="20"/>
        <v>null</v>
      </c>
      <c r="BA21" s="16"/>
    </row>
    <row r="22" spans="1:53" x14ac:dyDescent="0.25">
      <c r="A22" s="2" t="s">
        <v>71</v>
      </c>
      <c r="B22" s="2">
        <v>2015</v>
      </c>
      <c r="C22" s="2">
        <v>104.3389969</v>
      </c>
      <c r="D22" s="2">
        <v>43.108001710000003</v>
      </c>
      <c r="E22" s="2">
        <v>97.869023380000002</v>
      </c>
      <c r="F22" s="2">
        <v>0</v>
      </c>
      <c r="G22" s="2">
        <v>1.95993621</v>
      </c>
      <c r="H22" s="2">
        <v>0.1710404089</v>
      </c>
      <c r="I22" s="2" t="s">
        <v>64</v>
      </c>
      <c r="J22" s="2" t="s">
        <v>64</v>
      </c>
      <c r="K22" s="2" t="s">
        <v>64</v>
      </c>
      <c r="L22" s="2" t="s">
        <v>64</v>
      </c>
      <c r="M22" s="2" t="s">
        <v>64</v>
      </c>
      <c r="N22" s="2" t="s">
        <v>64</v>
      </c>
      <c r="O22" s="2" t="s">
        <v>64</v>
      </c>
      <c r="P22" s="2" t="s">
        <v>64</v>
      </c>
      <c r="Q22" s="2" t="str">
        <f t="shared" si="0"/>
        <v>Aruba|2015</v>
      </c>
      <c r="R22" s="2">
        <f t="shared" si="1"/>
        <v>1</v>
      </c>
      <c r="T22" s="2">
        <f t="shared" si="24"/>
        <v>0</v>
      </c>
      <c r="U22" s="2" t="str">
        <f t="shared" si="28"/>
        <v>null</v>
      </c>
      <c r="V22" s="2" t="str">
        <f t="shared" si="2"/>
        <v>null</v>
      </c>
      <c r="W22" s="2">
        <f t="shared" si="3"/>
        <v>98</v>
      </c>
      <c r="X22" s="2" t="b">
        <f t="shared" si="4"/>
        <v>0</v>
      </c>
      <c r="Y22" s="2" t="b">
        <f t="shared" si="5"/>
        <v>0</v>
      </c>
      <c r="Z22" s="2" t="str">
        <f t="shared" si="6"/>
        <v/>
      </c>
      <c r="AA22" s="2" t="str">
        <f t="shared" si="7"/>
        <v>Fully Accessible</v>
      </c>
      <c r="AB22" s="2" t="str">
        <f t="shared" si="8"/>
        <v>Fully Accessible</v>
      </c>
      <c r="AC22" s="2" t="b">
        <f t="shared" si="9"/>
        <v>0</v>
      </c>
      <c r="AE22" s="10" t="s">
        <v>82</v>
      </c>
      <c r="AF22" s="11" t="s">
        <v>57</v>
      </c>
      <c r="AH22" s="6" t="str">
        <f t="shared" si="10"/>
        <v>Latin America &amp; Caribbean</v>
      </c>
      <c r="AI22" s="6"/>
      <c r="AJ22" s="6"/>
      <c r="AK22" s="10">
        <f t="shared" si="26"/>
        <v>0.24527193000000125</v>
      </c>
      <c r="AL22" s="6"/>
      <c r="AM22" s="6"/>
      <c r="AN22" s="6"/>
      <c r="AO22" s="10">
        <f t="shared" si="12"/>
        <v>0.46827510399999994</v>
      </c>
      <c r="AP22" s="6"/>
      <c r="AQ22" s="6"/>
      <c r="AR22" s="6"/>
      <c r="AS22" s="10">
        <f t="shared" si="15"/>
        <v>-2.5265999999999168E-2</v>
      </c>
      <c r="AT22" s="6"/>
      <c r="AU22" s="6"/>
      <c r="AX22" s="2">
        <f t="shared" si="18"/>
        <v>209.2039948</v>
      </c>
      <c r="AY22" s="2">
        <f t="shared" si="19"/>
        <v>86.299999240000005</v>
      </c>
      <c r="AZ22" s="2">
        <f t="shared" si="20"/>
        <v>122.90399556</v>
      </c>
      <c r="BA22" s="6"/>
    </row>
    <row r="23" spans="1:53" x14ac:dyDescent="0.25">
      <c r="A23" s="2" t="s">
        <v>71</v>
      </c>
      <c r="B23" s="2">
        <v>2016</v>
      </c>
      <c r="C23" s="2">
        <v>104.86499790000001</v>
      </c>
      <c r="D23" s="2">
        <v>43.191997530000002</v>
      </c>
      <c r="E23" s="2">
        <v>97.869023380000002</v>
      </c>
      <c r="F23" s="2">
        <v>0</v>
      </c>
      <c r="G23" s="2">
        <v>1.95993621</v>
      </c>
      <c r="H23" s="2">
        <v>0.1710404089</v>
      </c>
      <c r="I23" s="2" t="s">
        <v>64</v>
      </c>
      <c r="J23" s="2" t="s">
        <v>64</v>
      </c>
      <c r="K23" s="2" t="s">
        <v>64</v>
      </c>
      <c r="L23" s="2" t="s">
        <v>64</v>
      </c>
      <c r="M23" s="2" t="s">
        <v>64</v>
      </c>
      <c r="N23" s="2" t="s">
        <v>64</v>
      </c>
      <c r="O23" s="2" t="s">
        <v>64</v>
      </c>
      <c r="P23" s="2" t="s">
        <v>64</v>
      </c>
      <c r="Q23" s="2" t="str">
        <f t="shared" si="0"/>
        <v>Aruba|2016</v>
      </c>
      <c r="R23" s="2" t="str">
        <f t="shared" si="1"/>
        <v xml:space="preserve"> </v>
      </c>
      <c r="T23" s="2" t="b">
        <f t="shared" si="24"/>
        <v>0</v>
      </c>
      <c r="U23" s="2" t="b">
        <f t="shared" si="28"/>
        <v>0</v>
      </c>
      <c r="V23" s="2" t="b">
        <f t="shared" si="2"/>
        <v>0</v>
      </c>
      <c r="W23" s="2">
        <f t="shared" si="3"/>
        <v>98</v>
      </c>
      <c r="X23" s="2" t="b">
        <f t="shared" si="4"/>
        <v>0</v>
      </c>
      <c r="Y23" s="2" t="b">
        <f t="shared" si="5"/>
        <v>0</v>
      </c>
      <c r="Z23" s="2" t="str">
        <f t="shared" si="6"/>
        <v/>
      </c>
      <c r="AA23" s="2" t="str">
        <f t="shared" si="7"/>
        <v/>
      </c>
      <c r="AB23" s="2" t="str">
        <f t="shared" si="8"/>
        <v/>
      </c>
      <c r="AC23" s="2">
        <f t="shared" si="9"/>
        <v>0</v>
      </c>
      <c r="AE23" s="10" t="s">
        <v>83</v>
      </c>
      <c r="AF23" s="11" t="s">
        <v>63</v>
      </c>
      <c r="AH23" s="6" t="str">
        <f t="shared" si="10"/>
        <v>Sub-Saharan Africa</v>
      </c>
      <c r="AI23" s="6"/>
      <c r="AJ23" s="6"/>
      <c r="AK23" s="10">
        <f t="shared" si="26"/>
        <v>0.12546013799999969</v>
      </c>
      <c r="AL23" s="6"/>
      <c r="AM23" s="6"/>
      <c r="AN23" s="6"/>
      <c r="AO23" s="10">
        <f t="shared" si="12"/>
        <v>0.25358310399999906</v>
      </c>
      <c r="AP23" s="6"/>
      <c r="AQ23" s="6"/>
      <c r="AR23" s="6"/>
      <c r="AS23" s="10">
        <f t="shared" si="15"/>
        <v>-0.20782850399999972</v>
      </c>
      <c r="AT23" s="6"/>
      <c r="AU23" s="6"/>
      <c r="AX23" s="2" t="str">
        <f t="shared" si="18"/>
        <v>null</v>
      </c>
      <c r="AY23" s="2" t="str">
        <f t="shared" si="19"/>
        <v>null</v>
      </c>
      <c r="AZ23" s="2" t="str">
        <f t="shared" si="20"/>
        <v>null</v>
      </c>
      <c r="BA23" s="6"/>
    </row>
    <row r="24" spans="1:53" x14ac:dyDescent="0.25">
      <c r="A24" s="2" t="s">
        <v>73</v>
      </c>
      <c r="B24" s="2">
        <v>2015</v>
      </c>
      <c r="C24" s="2">
        <v>23932.498049999998</v>
      </c>
      <c r="D24" s="2">
        <v>85.701004030000007</v>
      </c>
      <c r="E24" s="2">
        <v>99.970005670000006</v>
      </c>
      <c r="F24" s="2">
        <v>0</v>
      </c>
      <c r="G24" s="2">
        <v>2.9994330570000002E-2</v>
      </c>
      <c r="H24" s="2">
        <v>0</v>
      </c>
      <c r="I24" s="2">
        <v>100</v>
      </c>
      <c r="J24" s="2">
        <v>0</v>
      </c>
      <c r="K24" s="2">
        <v>0</v>
      </c>
      <c r="L24" s="2">
        <v>0</v>
      </c>
      <c r="M24" s="2">
        <v>99.965000000000003</v>
      </c>
      <c r="N24" s="2">
        <v>0</v>
      </c>
      <c r="O24" s="2">
        <v>3.5000000000000003E-2</v>
      </c>
      <c r="P24" s="2">
        <v>0</v>
      </c>
      <c r="Q24" s="2" t="str">
        <f t="shared" si="0"/>
        <v>Australia|2015</v>
      </c>
      <c r="R24" s="2">
        <f t="shared" si="1"/>
        <v>5</v>
      </c>
      <c r="T24" s="2">
        <f t="shared" si="24"/>
        <v>-3.8770000000454277E-5</v>
      </c>
      <c r="U24" s="2">
        <f t="shared" si="28"/>
        <v>0</v>
      </c>
      <c r="V24" s="2">
        <f t="shared" si="2"/>
        <v>0</v>
      </c>
      <c r="W24" s="2">
        <f t="shared" si="3"/>
        <v>100</v>
      </c>
      <c r="X24" s="2">
        <f t="shared" si="4"/>
        <v>100</v>
      </c>
      <c r="Y24" s="2">
        <f t="shared" si="5"/>
        <v>100</v>
      </c>
      <c r="Z24" s="2" t="str">
        <f t="shared" si="6"/>
        <v/>
      </c>
      <c r="AA24" s="2" t="str">
        <f t="shared" si="7"/>
        <v/>
      </c>
      <c r="AB24" s="2" t="str">
        <f t="shared" si="8"/>
        <v>Fully Accessible</v>
      </c>
      <c r="AC24" s="2">
        <f t="shared" si="9"/>
        <v>0</v>
      </c>
      <c r="AE24" s="10" t="s">
        <v>84</v>
      </c>
      <c r="AF24" s="11" t="s">
        <v>61</v>
      </c>
      <c r="AH24" s="6" t="str">
        <f t="shared" si="10"/>
        <v>North America</v>
      </c>
      <c r="AI24" s="6"/>
      <c r="AJ24" s="6"/>
      <c r="AK24" s="10">
        <f t="shared" si="26"/>
        <v>0</v>
      </c>
      <c r="AL24" s="6"/>
      <c r="AM24" s="6"/>
      <c r="AN24" s="6"/>
      <c r="AO24" s="10">
        <f t="shared" si="12"/>
        <v>0</v>
      </c>
      <c r="AP24" s="6"/>
      <c r="AQ24" s="6"/>
      <c r="AR24" s="6"/>
      <c r="AS24" s="10">
        <f t="shared" si="15"/>
        <v>0</v>
      </c>
      <c r="AT24" s="6"/>
      <c r="AU24" s="6"/>
      <c r="AX24" s="2">
        <f t="shared" si="18"/>
        <v>49432.378909999999</v>
      </c>
      <c r="AY24" s="2">
        <f t="shared" si="19"/>
        <v>171.94200133999999</v>
      </c>
      <c r="AZ24" s="2">
        <f t="shared" si="20"/>
        <v>49260.436908659998</v>
      </c>
      <c r="BA24" s="6"/>
    </row>
    <row r="25" spans="1:53" x14ac:dyDescent="0.25">
      <c r="A25" s="2" t="s">
        <v>73</v>
      </c>
      <c r="B25" s="2">
        <v>2020</v>
      </c>
      <c r="C25" s="2">
        <v>25499.880860000001</v>
      </c>
      <c r="D25" s="2">
        <v>86.240997309999997</v>
      </c>
      <c r="E25" s="2">
        <v>99.969811820000004</v>
      </c>
      <c r="F25" s="2">
        <v>0</v>
      </c>
      <c r="G25" s="2">
        <v>3.0188178730000001E-2</v>
      </c>
      <c r="H25" s="2">
        <v>0</v>
      </c>
      <c r="I25" s="2">
        <v>100</v>
      </c>
      <c r="J25" s="2">
        <v>0</v>
      </c>
      <c r="K25" s="2">
        <v>0</v>
      </c>
      <c r="L25" s="2">
        <v>0</v>
      </c>
      <c r="M25" s="2">
        <v>99.965000000000003</v>
      </c>
      <c r="N25" s="2">
        <v>0</v>
      </c>
      <c r="O25" s="2">
        <v>3.5000000000000003E-2</v>
      </c>
      <c r="P25" s="2">
        <v>0</v>
      </c>
      <c r="Q25" s="2" t="str">
        <f t="shared" si="0"/>
        <v>Australia|2020</v>
      </c>
      <c r="R25" s="2" t="str">
        <f t="shared" si="1"/>
        <v xml:space="preserve"> </v>
      </c>
      <c r="T25" s="2" t="b">
        <f t="shared" si="24"/>
        <v>0</v>
      </c>
      <c r="U25" s="2" t="b">
        <f t="shared" si="28"/>
        <v>0</v>
      </c>
      <c r="V25" s="2" t="b">
        <f t="shared" si="2"/>
        <v>0</v>
      </c>
      <c r="W25" s="2">
        <f t="shared" si="3"/>
        <v>100</v>
      </c>
      <c r="X25" s="2">
        <f t="shared" si="4"/>
        <v>100</v>
      </c>
      <c r="Y25" s="2">
        <f t="shared" si="5"/>
        <v>100</v>
      </c>
      <c r="Z25" s="2" t="str">
        <f t="shared" si="6"/>
        <v/>
      </c>
      <c r="AA25" s="2" t="str">
        <f t="shared" si="7"/>
        <v/>
      </c>
      <c r="AB25" s="2" t="str">
        <f t="shared" si="8"/>
        <v/>
      </c>
      <c r="AC25" s="2">
        <f t="shared" si="9"/>
        <v>0</v>
      </c>
      <c r="AE25" s="10" t="s">
        <v>85</v>
      </c>
      <c r="AF25" s="11" t="s">
        <v>50</v>
      </c>
      <c r="AH25" s="6" t="str">
        <f t="shared" si="10"/>
        <v>South Asia</v>
      </c>
      <c r="AI25" s="6"/>
      <c r="AJ25" s="6"/>
      <c r="AK25" s="10">
        <f t="shared" si="26"/>
        <v>0.21836000799999908</v>
      </c>
      <c r="AL25" s="6"/>
      <c r="AM25" s="6"/>
      <c r="AN25" s="6"/>
      <c r="AO25" s="10">
        <f t="shared" si="12"/>
        <v>0.3133661399999994</v>
      </c>
      <c r="AP25" s="6"/>
      <c r="AQ25" s="6"/>
      <c r="AR25" s="6"/>
      <c r="AS25" s="10">
        <f t="shared" si="15"/>
        <v>4.1858342000000451E-2</v>
      </c>
      <c r="AT25" s="6"/>
      <c r="AU25" s="6"/>
      <c r="AX25" s="2" t="str">
        <f t="shared" si="18"/>
        <v>null</v>
      </c>
      <c r="AY25" s="2" t="str">
        <f t="shared" si="19"/>
        <v>null</v>
      </c>
      <c r="AZ25" s="2" t="str">
        <f t="shared" si="20"/>
        <v>null</v>
      </c>
      <c r="BA25" s="6"/>
    </row>
    <row r="26" spans="1:53" x14ac:dyDescent="0.25">
      <c r="A26" s="2" t="s">
        <v>74</v>
      </c>
      <c r="B26" s="2">
        <v>2015</v>
      </c>
      <c r="C26" s="2">
        <v>8678.6669920000004</v>
      </c>
      <c r="D26" s="2">
        <v>57.715000150000002</v>
      </c>
      <c r="E26" s="2">
        <v>100</v>
      </c>
      <c r="F26" s="2">
        <v>0</v>
      </c>
      <c r="G26" s="2">
        <v>0</v>
      </c>
      <c r="H26" s="2">
        <v>0</v>
      </c>
      <c r="I26" s="2">
        <v>100</v>
      </c>
      <c r="J26" s="2">
        <v>0</v>
      </c>
      <c r="K26" s="2">
        <v>0</v>
      </c>
      <c r="L26" s="2">
        <v>0</v>
      </c>
      <c r="M26" s="2">
        <v>100</v>
      </c>
      <c r="N26" s="2">
        <v>0</v>
      </c>
      <c r="O26" s="2">
        <v>0</v>
      </c>
      <c r="P26" s="2">
        <v>0</v>
      </c>
      <c r="Q26" s="2" t="str">
        <f t="shared" si="0"/>
        <v>Austria|2015</v>
      </c>
      <c r="R26" s="2">
        <f t="shared" si="1"/>
        <v>5</v>
      </c>
      <c r="T26" s="2">
        <f t="shared" si="24"/>
        <v>0</v>
      </c>
      <c r="U26" s="2">
        <f t="shared" si="28"/>
        <v>0</v>
      </c>
      <c r="V26" s="2">
        <f t="shared" si="2"/>
        <v>0</v>
      </c>
      <c r="W26" s="2">
        <f t="shared" si="3"/>
        <v>100</v>
      </c>
      <c r="X26" s="2">
        <f t="shared" si="4"/>
        <v>100</v>
      </c>
      <c r="Y26" s="2">
        <f t="shared" si="5"/>
        <v>100</v>
      </c>
      <c r="Z26" s="2" t="str">
        <f t="shared" si="6"/>
        <v/>
      </c>
      <c r="AA26" s="2" t="str">
        <f t="shared" si="7"/>
        <v/>
      </c>
      <c r="AB26" s="2" t="str">
        <f t="shared" si="8"/>
        <v>Fully Accessible</v>
      </c>
      <c r="AC26" s="2">
        <f t="shared" si="9"/>
        <v>0</v>
      </c>
      <c r="AE26" s="10" t="s">
        <v>86</v>
      </c>
      <c r="AF26" s="11" t="s">
        <v>57</v>
      </c>
      <c r="AH26" s="6" t="str">
        <f t="shared" si="10"/>
        <v>Latin America &amp; Caribbean</v>
      </c>
      <c r="AI26" s="6"/>
      <c r="AJ26" s="6"/>
      <c r="AK26" s="10">
        <f t="shared" si="26"/>
        <v>0.58558612399999954</v>
      </c>
      <c r="AL26" s="6"/>
      <c r="AM26" s="6"/>
      <c r="AN26" s="6"/>
      <c r="AO26" s="10">
        <f t="shared" si="12"/>
        <v>1.2392925259999998</v>
      </c>
      <c r="AP26" s="6"/>
      <c r="AQ26" s="6"/>
      <c r="AR26" s="6"/>
      <c r="AS26" s="10">
        <f t="shared" si="15"/>
        <v>0.18642424800000015</v>
      </c>
      <c r="AT26" s="6"/>
      <c r="AU26" s="6"/>
      <c r="AX26" s="2">
        <f t="shared" si="18"/>
        <v>17685.067383000001</v>
      </c>
      <c r="AY26" s="2">
        <f t="shared" si="19"/>
        <v>116.46300125</v>
      </c>
      <c r="AZ26" s="2">
        <f t="shared" si="20"/>
        <v>17568.604381750003</v>
      </c>
      <c r="BA26" s="16"/>
    </row>
    <row r="27" spans="1:53" x14ac:dyDescent="0.25">
      <c r="A27" s="2" t="s">
        <v>74</v>
      </c>
      <c r="B27" s="2">
        <v>2020</v>
      </c>
      <c r="C27" s="2">
        <v>9006.4003909999992</v>
      </c>
      <c r="D27" s="2">
        <v>58.748001100000003</v>
      </c>
      <c r="E27" s="2">
        <v>100</v>
      </c>
      <c r="F27" s="2">
        <v>0</v>
      </c>
      <c r="G27" s="2">
        <v>0</v>
      </c>
      <c r="H27" s="2">
        <v>0</v>
      </c>
      <c r="I27" s="2">
        <v>100</v>
      </c>
      <c r="J27" s="2">
        <v>0</v>
      </c>
      <c r="K27" s="2">
        <v>0</v>
      </c>
      <c r="L27" s="2">
        <v>0</v>
      </c>
      <c r="M27" s="2">
        <v>100</v>
      </c>
      <c r="N27" s="2">
        <v>0</v>
      </c>
      <c r="O27" s="2">
        <v>0</v>
      </c>
      <c r="P27" s="2">
        <v>0</v>
      </c>
      <c r="Q27" s="2" t="str">
        <f t="shared" si="0"/>
        <v>Austria|2020</v>
      </c>
      <c r="R27" s="2" t="str">
        <f t="shared" si="1"/>
        <v xml:space="preserve"> </v>
      </c>
      <c r="T27" s="2" t="b">
        <f t="shared" si="24"/>
        <v>0</v>
      </c>
      <c r="U27" s="2" t="b">
        <f t="shared" si="28"/>
        <v>0</v>
      </c>
      <c r="V27" s="2" t="b">
        <f t="shared" si="2"/>
        <v>0</v>
      </c>
      <c r="W27" s="2">
        <f t="shared" si="3"/>
        <v>100</v>
      </c>
      <c r="X27" s="2">
        <f t="shared" si="4"/>
        <v>100</v>
      </c>
      <c r="Y27" s="2">
        <f t="shared" si="5"/>
        <v>100</v>
      </c>
      <c r="Z27" s="2" t="str">
        <f t="shared" si="6"/>
        <v/>
      </c>
      <c r="AA27" s="2" t="str">
        <f t="shared" si="7"/>
        <v/>
      </c>
      <c r="AB27" s="2" t="str">
        <f t="shared" si="8"/>
        <v/>
      </c>
      <c r="AC27" s="2">
        <f t="shared" si="9"/>
        <v>0</v>
      </c>
      <c r="AE27" s="10" t="s">
        <v>87</v>
      </c>
      <c r="AF27" s="11" t="s">
        <v>53</v>
      </c>
      <c r="AH27" s="6" t="str">
        <f t="shared" si="10"/>
        <v>Europe &amp; Central Asia</v>
      </c>
      <c r="AI27" s="6"/>
      <c r="AJ27" s="6"/>
      <c r="AK27" s="10">
        <f t="shared" si="26"/>
        <v>-9.1893119999980396E-3</v>
      </c>
      <c r="AL27" s="6"/>
      <c r="AM27" s="6"/>
      <c r="AN27" s="6"/>
      <c r="AO27" s="10">
        <f t="shared" si="12"/>
        <v>0</v>
      </c>
      <c r="AP27" s="6"/>
      <c r="AQ27" s="6"/>
      <c r="AR27" s="6"/>
      <c r="AS27" s="10">
        <f t="shared" si="15"/>
        <v>0</v>
      </c>
      <c r="AT27" s="6"/>
      <c r="AU27" s="6"/>
      <c r="AX27" s="2" t="str">
        <f t="shared" si="18"/>
        <v>null</v>
      </c>
      <c r="AY27" s="2" t="str">
        <f t="shared" si="19"/>
        <v>null</v>
      </c>
      <c r="AZ27" s="2" t="str">
        <f t="shared" si="20"/>
        <v>null</v>
      </c>
      <c r="BA27" s="6"/>
    </row>
    <row r="28" spans="1:53" x14ac:dyDescent="0.25">
      <c r="A28" s="2" t="s">
        <v>75</v>
      </c>
      <c r="B28" s="2">
        <v>2015</v>
      </c>
      <c r="C28" s="2">
        <v>9622.7412110000005</v>
      </c>
      <c r="D28" s="2">
        <v>54.7140007</v>
      </c>
      <c r="E28" s="2">
        <v>92.420313980000003</v>
      </c>
      <c r="F28" s="2">
        <v>1.002242415</v>
      </c>
      <c r="G28" s="2">
        <v>4.3650895219999999</v>
      </c>
      <c r="H28" s="2">
        <v>2.2123540799999999</v>
      </c>
      <c r="I28" s="2">
        <v>84.143213270000004</v>
      </c>
      <c r="J28" s="2">
        <v>2.2131397310000001</v>
      </c>
      <c r="K28" s="2">
        <v>8.9882060060000004</v>
      </c>
      <c r="L28" s="2">
        <v>4.6554409919999999</v>
      </c>
      <c r="M28" s="2">
        <v>99.271152029999996</v>
      </c>
      <c r="N28" s="2">
        <v>0</v>
      </c>
      <c r="O28" s="2">
        <v>0.53860203449999999</v>
      </c>
      <c r="P28" s="2">
        <v>0.1902459339</v>
      </c>
      <c r="Q28" s="2" t="str">
        <f t="shared" si="0"/>
        <v>Azerbaijan|2015</v>
      </c>
      <c r="R28" s="2">
        <f t="shared" si="1"/>
        <v>5</v>
      </c>
      <c r="T28" s="2">
        <f t="shared" si="24"/>
        <v>0.72461242999999909</v>
      </c>
      <c r="U28" s="2">
        <f t="shared" si="28"/>
        <v>1.3565169359999998</v>
      </c>
      <c r="V28" s="2">
        <f t="shared" si="2"/>
        <v>0.14576959400000078</v>
      </c>
      <c r="W28" s="2">
        <f t="shared" si="3"/>
        <v>92</v>
      </c>
      <c r="X28" s="2">
        <f t="shared" si="4"/>
        <v>84</v>
      </c>
      <c r="Y28" s="2">
        <f t="shared" si="5"/>
        <v>99</v>
      </c>
      <c r="Z28" s="2" t="str">
        <f t="shared" si="6"/>
        <v/>
      </c>
      <c r="AA28" s="2" t="str">
        <f t="shared" si="7"/>
        <v/>
      </c>
      <c r="AB28" s="2" t="str">
        <f t="shared" si="8"/>
        <v>Fully Accessible</v>
      </c>
      <c r="AC28" s="2">
        <f t="shared" si="9"/>
        <v>1.210747341999999</v>
      </c>
      <c r="AE28" s="10" t="s">
        <v>88</v>
      </c>
      <c r="AF28" s="11" t="s">
        <v>63</v>
      </c>
      <c r="AH28" s="6" t="str">
        <f t="shared" si="10"/>
        <v>Sub-Saharan Africa</v>
      </c>
      <c r="AI28" s="6"/>
      <c r="AJ28" s="6"/>
      <c r="AK28" s="10">
        <f t="shared" si="26"/>
        <v>0.75345470800000103</v>
      </c>
      <c r="AL28" s="6"/>
      <c r="AM28" s="6"/>
      <c r="AN28" s="6"/>
      <c r="AO28" s="10">
        <f t="shared" si="12"/>
        <v>1.4302380059999991</v>
      </c>
      <c r="AP28" s="6"/>
      <c r="AQ28" s="6"/>
      <c r="AR28" s="6"/>
      <c r="AS28" s="10">
        <f t="shared" si="15"/>
        <v>0.21647560000000113</v>
      </c>
      <c r="AT28" s="6"/>
      <c r="AU28" s="6"/>
      <c r="AX28" s="2">
        <f t="shared" si="18"/>
        <v>19761.916011000001</v>
      </c>
      <c r="AY28" s="2">
        <f t="shared" si="19"/>
        <v>111.11100386999999</v>
      </c>
      <c r="AZ28" s="2">
        <f t="shared" si="20"/>
        <v>19650.805007130002</v>
      </c>
      <c r="BA28" s="16"/>
    </row>
    <row r="29" spans="1:53" x14ac:dyDescent="0.25">
      <c r="A29" s="2" t="s">
        <v>75</v>
      </c>
      <c r="B29" s="2">
        <v>2020</v>
      </c>
      <c r="C29" s="2">
        <v>10139.174800000001</v>
      </c>
      <c r="D29" s="2">
        <v>56.397003169999998</v>
      </c>
      <c r="E29" s="2">
        <v>96.043376129999999</v>
      </c>
      <c r="F29" s="2">
        <v>1.04278118</v>
      </c>
      <c r="G29" s="2">
        <v>2.9138426879999999</v>
      </c>
      <c r="H29" s="2">
        <v>0</v>
      </c>
      <c r="I29" s="2">
        <v>90.925797950000003</v>
      </c>
      <c r="J29" s="2">
        <v>2.3915356710000002</v>
      </c>
      <c r="K29" s="2">
        <v>6.6826663770000003</v>
      </c>
      <c r="L29" s="2">
        <v>0</v>
      </c>
      <c r="M29" s="2">
        <v>100</v>
      </c>
      <c r="N29" s="2">
        <v>0</v>
      </c>
      <c r="O29" s="2">
        <v>0</v>
      </c>
      <c r="P29" s="2">
        <v>0</v>
      </c>
      <c r="Q29" s="2" t="str">
        <f t="shared" si="0"/>
        <v>Azerbaijan|2020</v>
      </c>
      <c r="R29" s="2" t="str">
        <f t="shared" si="1"/>
        <v xml:space="preserve"> </v>
      </c>
      <c r="T29" s="2" t="b">
        <f t="shared" si="24"/>
        <v>0</v>
      </c>
      <c r="U29" s="2" t="b">
        <f t="shared" si="28"/>
        <v>0</v>
      </c>
      <c r="V29" s="2" t="b">
        <f t="shared" si="2"/>
        <v>0</v>
      </c>
      <c r="W29" s="2">
        <f t="shared" si="3"/>
        <v>96</v>
      </c>
      <c r="X29" s="2">
        <f t="shared" si="4"/>
        <v>91</v>
      </c>
      <c r="Y29" s="2">
        <f t="shared" si="5"/>
        <v>100</v>
      </c>
      <c r="Z29" s="2" t="str">
        <f t="shared" si="6"/>
        <v/>
      </c>
      <c r="AA29" s="2" t="str">
        <f t="shared" si="7"/>
        <v/>
      </c>
      <c r="AB29" s="2" t="str">
        <f t="shared" si="8"/>
        <v/>
      </c>
      <c r="AC29" s="2">
        <f t="shared" si="9"/>
        <v>0</v>
      </c>
      <c r="AE29" s="10" t="s">
        <v>89</v>
      </c>
      <c r="AF29" s="11" t="s">
        <v>57</v>
      </c>
      <c r="AH29" s="6" t="str">
        <f t="shared" si="10"/>
        <v>Latin America &amp; Caribbean</v>
      </c>
      <c r="AI29" s="6"/>
      <c r="AJ29" s="6"/>
      <c r="AK29" s="10">
        <f t="shared" si="26"/>
        <v>0.30345708000000116</v>
      </c>
      <c r="AL29" s="6"/>
      <c r="AM29" s="6"/>
      <c r="AN29" s="6"/>
      <c r="AO29" s="10">
        <f t="shared" si="12"/>
        <v>1.4378462700000001</v>
      </c>
      <c r="AP29" s="6"/>
      <c r="AQ29" s="6"/>
      <c r="AR29" s="6"/>
      <c r="AS29" s="10">
        <f t="shared" si="15"/>
        <v>0.10347405800000047</v>
      </c>
      <c r="AT29" s="6"/>
      <c r="AU29" s="6"/>
      <c r="AX29" s="2" t="str">
        <f t="shared" si="18"/>
        <v>null</v>
      </c>
      <c r="AY29" s="2" t="str">
        <f t="shared" si="19"/>
        <v>null</v>
      </c>
      <c r="AZ29" s="2" t="str">
        <f t="shared" si="20"/>
        <v>null</v>
      </c>
      <c r="BA29" s="16"/>
    </row>
    <row r="30" spans="1:53" x14ac:dyDescent="0.25">
      <c r="A30" s="2" t="s">
        <v>76</v>
      </c>
      <c r="B30" s="2">
        <v>2015</v>
      </c>
      <c r="C30" s="2">
        <v>374.2000122</v>
      </c>
      <c r="D30" s="2">
        <v>82.745994569999993</v>
      </c>
      <c r="E30" s="2">
        <v>98.886960500000001</v>
      </c>
      <c r="F30" s="2">
        <v>0</v>
      </c>
      <c r="G30" s="2">
        <v>1.113039503</v>
      </c>
      <c r="H30" s="2">
        <v>0</v>
      </c>
      <c r="I30" s="2" t="s">
        <v>64</v>
      </c>
      <c r="J30" s="2" t="s">
        <v>64</v>
      </c>
      <c r="K30" s="2" t="s">
        <v>64</v>
      </c>
      <c r="L30" s="2" t="s">
        <v>64</v>
      </c>
      <c r="M30" s="2" t="s">
        <v>64</v>
      </c>
      <c r="N30" s="2" t="s">
        <v>64</v>
      </c>
      <c r="O30" s="2" t="s">
        <v>64</v>
      </c>
      <c r="P30" s="2" t="s">
        <v>64</v>
      </c>
      <c r="Q30" s="2" t="str">
        <f t="shared" si="0"/>
        <v>Bahamas|2015</v>
      </c>
      <c r="R30" s="2">
        <f t="shared" si="1"/>
        <v>4</v>
      </c>
      <c r="T30" s="2">
        <f t="shared" si="24"/>
        <v>0</v>
      </c>
      <c r="U30" s="2" t="str">
        <f t="shared" si="28"/>
        <v>null</v>
      </c>
      <c r="V30" s="2" t="str">
        <f t="shared" si="2"/>
        <v>null</v>
      </c>
      <c r="W30" s="2">
        <f t="shared" si="3"/>
        <v>99</v>
      </c>
      <c r="X30" s="2" t="b">
        <f t="shared" si="4"/>
        <v>0</v>
      </c>
      <c r="Y30" s="2" t="b">
        <f t="shared" si="5"/>
        <v>0</v>
      </c>
      <c r="Z30" s="2" t="str">
        <f t="shared" si="6"/>
        <v/>
      </c>
      <c r="AA30" s="2" t="str">
        <f t="shared" si="7"/>
        <v>Fully Accessible</v>
      </c>
      <c r="AB30" s="2" t="str">
        <f t="shared" si="8"/>
        <v>Fully Accessible</v>
      </c>
      <c r="AC30" s="2" t="b">
        <f t="shared" si="9"/>
        <v>0</v>
      </c>
      <c r="AE30" s="10" t="s">
        <v>90</v>
      </c>
      <c r="AF30" s="11" t="s">
        <v>57</v>
      </c>
      <c r="AH30" s="6" t="str">
        <f t="shared" si="10"/>
        <v>Latin America &amp; Caribbean</v>
      </c>
      <c r="AI30" s="6"/>
      <c r="AJ30" s="6"/>
      <c r="AK30" s="10">
        <f t="shared" si="26"/>
        <v>0</v>
      </c>
      <c r="AL30" s="6"/>
      <c r="AM30" s="6"/>
      <c r="AN30" s="6"/>
      <c r="AO30" s="10">
        <f t="shared" si="12"/>
        <v>0</v>
      </c>
      <c r="AP30" s="6"/>
      <c r="AQ30" s="6"/>
      <c r="AR30" s="6"/>
      <c r="AS30" s="10">
        <f t="shared" si="15"/>
        <v>0</v>
      </c>
      <c r="AT30" s="6"/>
      <c r="AU30" s="6"/>
      <c r="AX30" s="2">
        <f t="shared" si="18"/>
        <v>763.68600459999993</v>
      </c>
      <c r="AY30" s="2">
        <f t="shared" si="19"/>
        <v>165.87799072000001</v>
      </c>
      <c r="AZ30" s="2">
        <f t="shared" si="20"/>
        <v>597.80801387999986</v>
      </c>
      <c r="BA30" s="6"/>
    </row>
    <row r="31" spans="1:53" x14ac:dyDescent="0.25">
      <c r="A31" s="2" t="s">
        <v>76</v>
      </c>
      <c r="B31" s="2">
        <v>2019</v>
      </c>
      <c r="C31" s="2">
        <v>389.48599239999999</v>
      </c>
      <c r="D31" s="2">
        <v>83.131996150000006</v>
      </c>
      <c r="E31" s="2">
        <v>98.886960500000001</v>
      </c>
      <c r="F31" s="2">
        <v>0</v>
      </c>
      <c r="G31" s="2">
        <v>1.113039503</v>
      </c>
      <c r="H31" s="2">
        <v>0</v>
      </c>
      <c r="I31" s="2" t="s">
        <v>64</v>
      </c>
      <c r="J31" s="2" t="s">
        <v>64</v>
      </c>
      <c r="K31" s="2" t="s">
        <v>64</v>
      </c>
      <c r="L31" s="2" t="s">
        <v>64</v>
      </c>
      <c r="M31" s="2" t="s">
        <v>64</v>
      </c>
      <c r="N31" s="2" t="s">
        <v>64</v>
      </c>
      <c r="O31" s="2" t="s">
        <v>64</v>
      </c>
      <c r="P31" s="2" t="s">
        <v>64</v>
      </c>
      <c r="Q31" s="2" t="str">
        <f t="shared" si="0"/>
        <v>Bahamas|2019</v>
      </c>
      <c r="R31" s="2" t="str">
        <f t="shared" si="1"/>
        <v xml:space="preserve"> </v>
      </c>
      <c r="T31" s="2" t="b">
        <f t="shared" si="24"/>
        <v>0</v>
      </c>
      <c r="U31" s="2" t="b">
        <f t="shared" si="28"/>
        <v>0</v>
      </c>
      <c r="V31" s="2" t="b">
        <f t="shared" si="2"/>
        <v>0</v>
      </c>
      <c r="W31" s="2">
        <f t="shared" si="3"/>
        <v>99</v>
      </c>
      <c r="X31" s="2" t="b">
        <f t="shared" si="4"/>
        <v>0</v>
      </c>
      <c r="Y31" s="2" t="b">
        <f t="shared" si="5"/>
        <v>0</v>
      </c>
      <c r="Z31" s="2" t="str">
        <f t="shared" si="6"/>
        <v/>
      </c>
      <c r="AA31" s="2" t="str">
        <f t="shared" si="7"/>
        <v/>
      </c>
      <c r="AB31" s="2" t="str">
        <f t="shared" si="8"/>
        <v/>
      </c>
      <c r="AC31" s="2">
        <f t="shared" si="9"/>
        <v>0</v>
      </c>
      <c r="AE31" s="10" t="s">
        <v>91</v>
      </c>
      <c r="AF31" s="11" t="s">
        <v>51</v>
      </c>
      <c r="AH31" s="6" t="str">
        <f t="shared" si="10"/>
        <v>East Asia &amp; Pacific</v>
      </c>
      <c r="AI31" s="6"/>
      <c r="AJ31" s="6"/>
      <c r="AK31" s="10">
        <f t="shared" si="26"/>
        <v>7.8012128000000305E-2</v>
      </c>
      <c r="AL31" s="6"/>
      <c r="AM31" s="6"/>
      <c r="AN31" s="6"/>
      <c r="AO31" s="10">
        <f t="shared" si="12"/>
        <v>0</v>
      </c>
      <c r="AP31" s="6"/>
      <c r="AQ31" s="6"/>
      <c r="AR31" s="6"/>
      <c r="AS31" s="10">
        <f t="shared" si="15"/>
        <v>0</v>
      </c>
      <c r="AT31" s="6"/>
      <c r="AU31" s="6"/>
      <c r="AX31" s="2" t="str">
        <f t="shared" si="18"/>
        <v>null</v>
      </c>
      <c r="AY31" s="2" t="str">
        <f t="shared" si="19"/>
        <v>null</v>
      </c>
      <c r="AZ31" s="2" t="str">
        <f t="shared" si="20"/>
        <v>null</v>
      </c>
      <c r="BA31" s="6"/>
    </row>
    <row r="32" spans="1:53" x14ac:dyDescent="0.25">
      <c r="A32" s="2" t="s">
        <v>77</v>
      </c>
      <c r="B32" s="2">
        <v>2015</v>
      </c>
      <c r="C32" s="2">
        <v>1371.8530270000001</v>
      </c>
      <c r="D32" s="2">
        <v>88.998992920000006</v>
      </c>
      <c r="E32" s="2">
        <v>100</v>
      </c>
      <c r="F32" s="2">
        <v>0</v>
      </c>
      <c r="G32" s="2">
        <v>0</v>
      </c>
      <c r="H32" s="2">
        <v>0</v>
      </c>
      <c r="I32" s="2" t="s">
        <v>64</v>
      </c>
      <c r="J32" s="2" t="s">
        <v>64</v>
      </c>
      <c r="K32" s="2" t="s">
        <v>64</v>
      </c>
      <c r="L32" s="2" t="s">
        <v>64</v>
      </c>
      <c r="M32" s="2" t="s">
        <v>64</v>
      </c>
      <c r="N32" s="2" t="s">
        <v>64</v>
      </c>
      <c r="O32" s="2" t="s">
        <v>64</v>
      </c>
      <c r="P32" s="2" t="s">
        <v>64</v>
      </c>
      <c r="Q32" s="2" t="str">
        <f t="shared" si="0"/>
        <v>Bahrain|2015</v>
      </c>
      <c r="R32" s="2">
        <f t="shared" si="1"/>
        <v>5</v>
      </c>
      <c r="T32" s="2">
        <f t="shared" si="24"/>
        <v>0</v>
      </c>
      <c r="U32" s="2" t="str">
        <f t="shared" si="28"/>
        <v>null</v>
      </c>
      <c r="V32" s="2" t="str">
        <f t="shared" si="2"/>
        <v>null</v>
      </c>
      <c r="W32" s="2">
        <f t="shared" si="3"/>
        <v>100</v>
      </c>
      <c r="X32" s="2" t="b">
        <f t="shared" si="4"/>
        <v>0</v>
      </c>
      <c r="Y32" s="2" t="b">
        <f t="shared" si="5"/>
        <v>0</v>
      </c>
      <c r="Z32" s="2" t="str">
        <f t="shared" si="6"/>
        <v/>
      </c>
      <c r="AA32" s="2" t="str">
        <f t="shared" si="7"/>
        <v>Fully Accessible</v>
      </c>
      <c r="AB32" s="2" t="str">
        <f t="shared" si="8"/>
        <v>Fully Accessible</v>
      </c>
      <c r="AC32" s="2" t="b">
        <f t="shared" si="9"/>
        <v>0</v>
      </c>
      <c r="AE32" s="10" t="s">
        <v>92</v>
      </c>
      <c r="AF32" s="11" t="s">
        <v>53</v>
      </c>
      <c r="AH32" s="6" t="str">
        <f t="shared" si="10"/>
        <v>Europe &amp; Central Asia</v>
      </c>
      <c r="AI32" s="6"/>
      <c r="AJ32" s="6"/>
      <c r="AK32" s="10">
        <f t="shared" si="26"/>
        <v>-3.6982073999999442E-2</v>
      </c>
      <c r="AL32" s="6"/>
      <c r="AM32" s="6"/>
      <c r="AN32" s="6"/>
      <c r="AO32" s="10">
        <f t="shared" si="12"/>
        <v>-0.12297047400000168</v>
      </c>
      <c r="AP32" s="6"/>
      <c r="AQ32" s="6"/>
      <c r="AR32" s="6"/>
      <c r="AS32" s="10">
        <f t="shared" si="15"/>
        <v>-1.6507464000000027E-2</v>
      </c>
      <c r="AT32" s="6"/>
      <c r="AU32" s="6"/>
      <c r="AX32" s="2">
        <f t="shared" si="18"/>
        <v>3073.4360350000002</v>
      </c>
      <c r="AY32" s="2">
        <f t="shared" si="19"/>
        <v>178.50499725</v>
      </c>
      <c r="AZ32" s="2">
        <f t="shared" si="20"/>
        <v>2894.9310377500001</v>
      </c>
      <c r="BA32" s="6"/>
    </row>
    <row r="33" spans="1:53" x14ac:dyDescent="0.25">
      <c r="A33" s="2" t="s">
        <v>77</v>
      </c>
      <c r="B33" s="2">
        <v>2020</v>
      </c>
      <c r="C33" s="2">
        <v>1701.5830080000001</v>
      </c>
      <c r="D33" s="2">
        <v>89.506004329999996</v>
      </c>
      <c r="E33" s="2">
        <v>100</v>
      </c>
      <c r="F33" s="2">
        <v>0</v>
      </c>
      <c r="G33" s="2">
        <v>0</v>
      </c>
      <c r="H33" s="2">
        <v>0</v>
      </c>
      <c r="I33" s="2" t="s">
        <v>64</v>
      </c>
      <c r="J33" s="2" t="s">
        <v>64</v>
      </c>
      <c r="K33" s="2" t="s">
        <v>64</v>
      </c>
      <c r="L33" s="2" t="s">
        <v>64</v>
      </c>
      <c r="M33" s="2" t="s">
        <v>64</v>
      </c>
      <c r="N33" s="2" t="s">
        <v>64</v>
      </c>
      <c r="O33" s="2" t="s">
        <v>64</v>
      </c>
      <c r="P33" s="2" t="s">
        <v>64</v>
      </c>
      <c r="Q33" s="2" t="str">
        <f t="shared" si="0"/>
        <v>Bahrain|2020</v>
      </c>
      <c r="R33" s="2" t="str">
        <f t="shared" si="1"/>
        <v xml:space="preserve"> </v>
      </c>
      <c r="T33" s="2" t="b">
        <f t="shared" si="24"/>
        <v>0</v>
      </c>
      <c r="U33" s="2" t="b">
        <f t="shared" si="28"/>
        <v>0</v>
      </c>
      <c r="V33" s="2" t="b">
        <f t="shared" si="2"/>
        <v>0</v>
      </c>
      <c r="W33" s="2">
        <f t="shared" si="3"/>
        <v>100</v>
      </c>
      <c r="X33" s="2" t="b">
        <f t="shared" si="4"/>
        <v>0</v>
      </c>
      <c r="Y33" s="2" t="b">
        <f t="shared" si="5"/>
        <v>0</v>
      </c>
      <c r="Z33" s="2" t="str">
        <f t="shared" si="6"/>
        <v/>
      </c>
      <c r="AA33" s="2" t="str">
        <f t="shared" si="7"/>
        <v/>
      </c>
      <c r="AB33" s="2" t="str">
        <f t="shared" si="8"/>
        <v/>
      </c>
      <c r="AC33" s="2">
        <f t="shared" si="9"/>
        <v>0</v>
      </c>
      <c r="AE33" s="10" t="s">
        <v>93</v>
      </c>
      <c r="AF33" s="11" t="s">
        <v>63</v>
      </c>
      <c r="AH33" s="6" t="str">
        <f t="shared" si="10"/>
        <v>Sub-Saharan Africa</v>
      </c>
      <c r="AI33" s="6"/>
      <c r="AJ33" s="6"/>
      <c r="AK33" s="10">
        <f t="shared" si="26"/>
        <v>-0.58445532599999983</v>
      </c>
      <c r="AL33" s="6"/>
      <c r="AM33" s="6"/>
      <c r="AN33" s="6"/>
      <c r="AO33" s="10">
        <f t="shared" si="12"/>
        <v>-1.2273809599999992</v>
      </c>
      <c r="AP33" s="6"/>
      <c r="AQ33" s="6"/>
      <c r="AR33" s="6"/>
      <c r="AS33" s="10">
        <f t="shared" si="15"/>
        <v>4.9225276000001372E-2</v>
      </c>
      <c r="AT33" s="6"/>
      <c r="AU33" s="6"/>
      <c r="AX33" s="2" t="str">
        <f t="shared" si="18"/>
        <v>null</v>
      </c>
      <c r="AY33" s="2" t="str">
        <f t="shared" si="19"/>
        <v>null</v>
      </c>
      <c r="AZ33" s="2" t="str">
        <f t="shared" si="20"/>
        <v>null</v>
      </c>
      <c r="BA33" s="6"/>
    </row>
    <row r="34" spans="1:53" x14ac:dyDescent="0.25">
      <c r="A34" s="2" t="s">
        <v>78</v>
      </c>
      <c r="B34" s="2">
        <v>2015</v>
      </c>
      <c r="C34" s="2">
        <v>156256.2813</v>
      </c>
      <c r="D34" s="2">
        <v>34.308002469999998</v>
      </c>
      <c r="E34" s="2">
        <v>97.101602470000003</v>
      </c>
      <c r="F34" s="2">
        <v>1.087988961</v>
      </c>
      <c r="G34" s="2">
        <v>0.72156165819999996</v>
      </c>
      <c r="H34" s="2">
        <v>1.08884691</v>
      </c>
      <c r="I34" s="2">
        <v>96.773011280000006</v>
      </c>
      <c r="J34" s="2">
        <v>1.0462141620000001</v>
      </c>
      <c r="K34" s="2">
        <v>0.73174732170000001</v>
      </c>
      <c r="L34" s="2">
        <v>1.4490272369999999</v>
      </c>
      <c r="M34" s="2">
        <v>97.730779679999998</v>
      </c>
      <c r="N34" s="2">
        <v>1.167978177</v>
      </c>
      <c r="O34" s="2">
        <v>0.70205843499999998</v>
      </c>
      <c r="P34" s="2">
        <v>0.39918370739999998</v>
      </c>
      <c r="Q34" s="2" t="str">
        <f t="shared" si="0"/>
        <v>Bangladesh|2015</v>
      </c>
      <c r="R34" s="2">
        <f t="shared" si="1"/>
        <v>5</v>
      </c>
      <c r="T34" s="2">
        <f t="shared" si="24"/>
        <v>0.11927155599999821</v>
      </c>
      <c r="U34" s="2">
        <f t="shared" si="28"/>
        <v>0.22144529599999885</v>
      </c>
      <c r="V34" s="2">
        <f t="shared" si="2"/>
        <v>-6.5600341999999048E-2</v>
      </c>
      <c r="W34" s="2">
        <f t="shared" si="3"/>
        <v>97</v>
      </c>
      <c r="X34" s="2">
        <f t="shared" si="4"/>
        <v>97</v>
      </c>
      <c r="Y34" s="2">
        <f t="shared" si="5"/>
        <v>98</v>
      </c>
      <c r="Z34" s="2" t="str">
        <f t="shared" si="6"/>
        <v/>
      </c>
      <c r="AA34" s="2" t="str">
        <f t="shared" si="7"/>
        <v/>
      </c>
      <c r="AB34" s="2" t="str">
        <f t="shared" si="8"/>
        <v>Fully Accessible</v>
      </c>
      <c r="AC34" s="2">
        <f t="shared" si="9"/>
        <v>0.28704563799999788</v>
      </c>
      <c r="AE34" s="10" t="s">
        <v>94</v>
      </c>
      <c r="AF34" s="11" t="s">
        <v>63</v>
      </c>
      <c r="AH34" s="6" t="str">
        <f t="shared" si="10"/>
        <v>Sub-Saharan Africa</v>
      </c>
      <c r="AI34" s="6"/>
      <c r="AJ34" s="6"/>
      <c r="AK34" s="10">
        <f t="shared" si="26"/>
        <v>0.5251306</v>
      </c>
      <c r="AL34" s="6"/>
      <c r="AM34" s="6"/>
      <c r="AN34" s="6"/>
      <c r="AO34" s="10">
        <f t="shared" si="12"/>
        <v>0.42549967199999938</v>
      </c>
      <c r="AP34" s="6"/>
      <c r="AQ34" s="6"/>
      <c r="AR34" s="6"/>
      <c r="AS34" s="10">
        <f t="shared" si="15"/>
        <v>0.36013465400000089</v>
      </c>
      <c r="AT34" s="6"/>
      <c r="AU34" s="6"/>
      <c r="AX34" s="2">
        <f t="shared" si="18"/>
        <v>320945.67190000002</v>
      </c>
      <c r="AY34" s="2">
        <f t="shared" si="19"/>
        <v>72.485004419999996</v>
      </c>
      <c r="AZ34" s="2">
        <f t="shared" si="20"/>
        <v>320873.18689558003</v>
      </c>
      <c r="BA34" s="16"/>
    </row>
    <row r="35" spans="1:53" x14ac:dyDescent="0.25">
      <c r="A35" s="2" t="s">
        <v>78</v>
      </c>
      <c r="B35" s="2">
        <v>2020</v>
      </c>
      <c r="C35" s="2">
        <v>164689.39060000001</v>
      </c>
      <c r="D35" s="2">
        <v>38.177001949999998</v>
      </c>
      <c r="E35" s="2">
        <v>97.697960249999994</v>
      </c>
      <c r="F35" s="2">
        <v>1.1564258780000001</v>
      </c>
      <c r="G35" s="2">
        <v>0.46265570020000002</v>
      </c>
      <c r="H35" s="2">
        <v>0.68295817349999999</v>
      </c>
      <c r="I35" s="2">
        <v>97.88023776</v>
      </c>
      <c r="J35" s="2">
        <v>0.85810498040000005</v>
      </c>
      <c r="K35" s="2">
        <v>0.31648024139999997</v>
      </c>
      <c r="L35" s="2">
        <v>0.94517701509999996</v>
      </c>
      <c r="M35" s="2">
        <v>97.402777970000002</v>
      </c>
      <c r="N35" s="2">
        <v>1.6395201210000001</v>
      </c>
      <c r="O35" s="2">
        <v>0.69937521469999997</v>
      </c>
      <c r="P35" s="2">
        <v>0.25832669339999997</v>
      </c>
      <c r="Q35" s="2" t="str">
        <f t="shared" si="0"/>
        <v>Bangladesh|2020</v>
      </c>
      <c r="R35" s="2" t="str">
        <f t="shared" si="1"/>
        <v xml:space="preserve"> </v>
      </c>
      <c r="T35" s="2" t="b">
        <f t="shared" si="24"/>
        <v>0</v>
      </c>
      <c r="U35" s="2" t="b">
        <f t="shared" si="28"/>
        <v>0</v>
      </c>
      <c r="V35" s="2" t="b">
        <f t="shared" si="2"/>
        <v>0</v>
      </c>
      <c r="W35" s="2">
        <f t="shared" si="3"/>
        <v>98</v>
      </c>
      <c r="X35" s="2">
        <f t="shared" si="4"/>
        <v>98</v>
      </c>
      <c r="Y35" s="2">
        <f t="shared" si="5"/>
        <v>97</v>
      </c>
      <c r="Z35" s="2" t="str">
        <f t="shared" si="6"/>
        <v/>
      </c>
      <c r="AA35" s="2" t="str">
        <f t="shared" si="7"/>
        <v/>
      </c>
      <c r="AB35" s="2" t="str">
        <f t="shared" si="8"/>
        <v/>
      </c>
      <c r="AC35" s="2">
        <f t="shared" si="9"/>
        <v>0</v>
      </c>
      <c r="AE35" s="10" t="s">
        <v>95</v>
      </c>
      <c r="AF35" s="11" t="s">
        <v>63</v>
      </c>
      <c r="AH35" s="6" t="str">
        <f t="shared" si="10"/>
        <v>Sub-Saharan Africa</v>
      </c>
      <c r="AI35" s="6"/>
      <c r="AJ35" s="6"/>
      <c r="AK35" s="10">
        <f t="shared" si="26"/>
        <v>0.66525281000000125</v>
      </c>
      <c r="AL35" s="6"/>
      <c r="AM35" s="6"/>
      <c r="AN35" s="6"/>
      <c r="AO35" s="10">
        <f t="shared" si="12"/>
        <v>1.4564422659999992</v>
      </c>
      <c r="AP35" s="6"/>
      <c r="AQ35" s="6"/>
      <c r="AR35" s="6"/>
      <c r="AS35" s="10">
        <f t="shared" si="15"/>
        <v>0.13097709799999963</v>
      </c>
      <c r="AT35" s="6"/>
      <c r="AU35" s="6"/>
      <c r="AX35" s="2" t="str">
        <f t="shared" si="18"/>
        <v>null</v>
      </c>
      <c r="AY35" s="2" t="str">
        <f t="shared" si="19"/>
        <v>null</v>
      </c>
      <c r="AZ35" s="2" t="str">
        <f t="shared" si="20"/>
        <v>null</v>
      </c>
      <c r="BA35" s="6"/>
    </row>
    <row r="36" spans="1:53" x14ac:dyDescent="0.25">
      <c r="A36" s="2" t="s">
        <v>79</v>
      </c>
      <c r="B36" s="2">
        <v>2015</v>
      </c>
      <c r="C36" s="2">
        <v>285.32699580000002</v>
      </c>
      <c r="D36" s="2">
        <v>31.24899864</v>
      </c>
      <c r="E36" s="2">
        <v>98.474444739999996</v>
      </c>
      <c r="F36" s="2">
        <v>0.26749190639999998</v>
      </c>
      <c r="G36" s="2">
        <v>1.2580633510000001</v>
      </c>
      <c r="H36" s="2">
        <v>0</v>
      </c>
      <c r="I36" s="2" t="s">
        <v>64</v>
      </c>
      <c r="J36" s="2" t="s">
        <v>64</v>
      </c>
      <c r="K36" s="2" t="s">
        <v>64</v>
      </c>
      <c r="L36" s="2" t="s">
        <v>64</v>
      </c>
      <c r="M36" s="2" t="s">
        <v>64</v>
      </c>
      <c r="N36" s="2" t="s">
        <v>64</v>
      </c>
      <c r="O36" s="2" t="s">
        <v>64</v>
      </c>
      <c r="P36" s="2" t="s">
        <v>64</v>
      </c>
      <c r="Q36" s="2" t="str">
        <f t="shared" si="0"/>
        <v>Barbados|2015</v>
      </c>
      <c r="R36" s="2">
        <f t="shared" si="1"/>
        <v>5</v>
      </c>
      <c r="T36" s="2">
        <f t="shared" si="24"/>
        <v>8.0011360000014527E-3</v>
      </c>
      <c r="U36" s="2" t="str">
        <f t="shared" si="28"/>
        <v>null</v>
      </c>
      <c r="V36" s="2" t="str">
        <f t="shared" si="2"/>
        <v>null</v>
      </c>
      <c r="W36" s="2">
        <f t="shared" si="3"/>
        <v>98</v>
      </c>
      <c r="X36" s="2" t="b">
        <f t="shared" si="4"/>
        <v>0</v>
      </c>
      <c r="Y36" s="2" t="b">
        <f t="shared" si="5"/>
        <v>0</v>
      </c>
      <c r="Z36" s="2" t="str">
        <f t="shared" si="6"/>
        <v/>
      </c>
      <c r="AA36" s="2" t="str">
        <f t="shared" si="7"/>
        <v>Fully Accessible</v>
      </c>
      <c r="AB36" s="2" t="str">
        <f t="shared" si="8"/>
        <v>Fully Accessible</v>
      </c>
      <c r="AC36" s="2" t="b">
        <f t="shared" si="9"/>
        <v>0</v>
      </c>
      <c r="AE36" s="10" t="s">
        <v>96</v>
      </c>
      <c r="AF36" s="11" t="s">
        <v>51</v>
      </c>
      <c r="AH36" s="6" t="str">
        <f t="shared" si="10"/>
        <v>East Asia &amp; Pacific</v>
      </c>
      <c r="AI36" s="6"/>
      <c r="AJ36" s="6"/>
      <c r="AK36" s="10">
        <f t="shared" si="26"/>
        <v>0.55520720199999973</v>
      </c>
      <c r="AL36" s="6"/>
      <c r="AM36" s="6"/>
      <c r="AN36" s="6"/>
      <c r="AO36" s="10">
        <f t="shared" si="12"/>
        <v>0.47120783000000016</v>
      </c>
      <c r="AP36" s="6"/>
      <c r="AQ36" s="6"/>
      <c r="AR36" s="6"/>
      <c r="AS36" s="10">
        <f t="shared" si="15"/>
        <v>0.38197714599999982</v>
      </c>
      <c r="AT36" s="6"/>
      <c r="AU36" s="6"/>
      <c r="AX36" s="2">
        <f t="shared" si="18"/>
        <v>572.6979980000001</v>
      </c>
      <c r="AY36" s="2">
        <f t="shared" si="19"/>
        <v>62.439998619999997</v>
      </c>
      <c r="AZ36" s="2">
        <f t="shared" si="20"/>
        <v>510.25799938000011</v>
      </c>
      <c r="BA36" s="16"/>
    </row>
    <row r="37" spans="1:53" x14ac:dyDescent="0.25">
      <c r="A37" s="2" t="s">
        <v>79</v>
      </c>
      <c r="B37" s="2">
        <v>2020</v>
      </c>
      <c r="C37" s="2">
        <v>287.37100220000002</v>
      </c>
      <c r="D37" s="2">
        <v>31.190999980000001</v>
      </c>
      <c r="E37" s="2">
        <v>98.514450420000003</v>
      </c>
      <c r="F37" s="2">
        <v>0.26760057609999999</v>
      </c>
      <c r="G37" s="2">
        <v>1.2179490049999999</v>
      </c>
      <c r="H37" s="2">
        <v>0</v>
      </c>
      <c r="I37" s="2" t="s">
        <v>64</v>
      </c>
      <c r="J37" s="2" t="s">
        <v>64</v>
      </c>
      <c r="K37" s="2" t="s">
        <v>64</v>
      </c>
      <c r="L37" s="2" t="s">
        <v>64</v>
      </c>
      <c r="M37" s="2" t="s">
        <v>64</v>
      </c>
      <c r="N37" s="2" t="s">
        <v>64</v>
      </c>
      <c r="O37" s="2" t="s">
        <v>64</v>
      </c>
      <c r="P37" s="2" t="s">
        <v>64</v>
      </c>
      <c r="Q37" s="2" t="str">
        <f t="shared" si="0"/>
        <v>Barbados|2020</v>
      </c>
      <c r="R37" s="2" t="str">
        <f t="shared" si="1"/>
        <v xml:space="preserve"> </v>
      </c>
      <c r="T37" s="2" t="b">
        <f t="shared" si="24"/>
        <v>0</v>
      </c>
      <c r="U37" s="2" t="b">
        <f t="shared" si="28"/>
        <v>0</v>
      </c>
      <c r="V37" s="2" t="b">
        <f t="shared" si="2"/>
        <v>0</v>
      </c>
      <c r="W37" s="2">
        <f t="shared" si="3"/>
        <v>99</v>
      </c>
      <c r="X37" s="2" t="b">
        <f t="shared" si="4"/>
        <v>0</v>
      </c>
      <c r="Y37" s="2" t="b">
        <f t="shared" si="5"/>
        <v>0</v>
      </c>
      <c r="Z37" s="2" t="str">
        <f t="shared" si="6"/>
        <v/>
      </c>
      <c r="AA37" s="2" t="str">
        <f t="shared" si="7"/>
        <v/>
      </c>
      <c r="AB37" s="2" t="str">
        <f t="shared" si="8"/>
        <v/>
      </c>
      <c r="AC37" s="2">
        <f t="shared" si="9"/>
        <v>0</v>
      </c>
      <c r="AE37" s="10" t="s">
        <v>97</v>
      </c>
      <c r="AF37" s="11" t="s">
        <v>63</v>
      </c>
      <c r="AH37" s="6" t="str">
        <f t="shared" si="10"/>
        <v>Sub-Saharan Africa</v>
      </c>
      <c r="AI37" s="6"/>
      <c r="AJ37" s="6"/>
      <c r="AK37" s="10">
        <f t="shared" si="26"/>
        <v>0.34928561199999847</v>
      </c>
      <c r="AL37" s="6"/>
      <c r="AM37" s="6"/>
      <c r="AN37" s="6"/>
      <c r="AO37" s="10">
        <f t="shared" si="12"/>
        <v>0.30438238200000001</v>
      </c>
      <c r="AP37" s="6"/>
      <c r="AQ37" s="6"/>
      <c r="AR37" s="6"/>
      <c r="AS37" s="10">
        <f t="shared" si="15"/>
        <v>-3.4664609999998673E-2</v>
      </c>
      <c r="AT37" s="6"/>
      <c r="AU37" s="6"/>
      <c r="AX37" s="2" t="str">
        <f t="shared" si="18"/>
        <v>null</v>
      </c>
      <c r="AY37" s="2" t="str">
        <f t="shared" si="19"/>
        <v>null</v>
      </c>
      <c r="AZ37" s="2" t="str">
        <f t="shared" si="20"/>
        <v>null</v>
      </c>
      <c r="BA37" s="16"/>
    </row>
    <row r="38" spans="1:53" x14ac:dyDescent="0.25">
      <c r="A38" s="2" t="s">
        <v>80</v>
      </c>
      <c r="B38" s="2">
        <v>2015</v>
      </c>
      <c r="C38" s="2">
        <v>9439.4238280000009</v>
      </c>
      <c r="D38" s="2">
        <v>77.180999760000006</v>
      </c>
      <c r="E38" s="2">
        <v>96.477067090000006</v>
      </c>
      <c r="F38" s="2">
        <v>3.3001301079999998</v>
      </c>
      <c r="G38" s="2">
        <v>0.22280279950000001</v>
      </c>
      <c r="H38" s="2">
        <v>0</v>
      </c>
      <c r="I38" s="2">
        <v>98.330671600000002</v>
      </c>
      <c r="J38" s="2">
        <v>0.99323910709999996</v>
      </c>
      <c r="K38" s="2">
        <v>0.67608928950000002</v>
      </c>
      <c r="L38" s="2">
        <v>0</v>
      </c>
      <c r="M38" s="2">
        <v>95.92903518</v>
      </c>
      <c r="N38" s="2">
        <v>3.9821753929999999</v>
      </c>
      <c r="O38" s="2">
        <v>8.8789423830000005E-2</v>
      </c>
      <c r="P38" s="2">
        <v>0</v>
      </c>
      <c r="Q38" s="2" t="str">
        <f t="shared" si="0"/>
        <v>Belarus|2015</v>
      </c>
      <c r="R38" s="2">
        <f t="shared" si="1"/>
        <v>5</v>
      </c>
      <c r="T38" s="2">
        <f t="shared" si="24"/>
        <v>1.1531797999998617E-2</v>
      </c>
      <c r="U38" s="2">
        <f t="shared" si="28"/>
        <v>4.6690141999999921E-2</v>
      </c>
      <c r="V38" s="2">
        <f t="shared" si="2"/>
        <v>1.6367687999999703E-2</v>
      </c>
      <c r="W38" s="2">
        <f t="shared" si="3"/>
        <v>96</v>
      </c>
      <c r="X38" s="2">
        <f t="shared" si="4"/>
        <v>98</v>
      </c>
      <c r="Y38" s="2">
        <f t="shared" si="5"/>
        <v>96</v>
      </c>
      <c r="Z38" s="2" t="str">
        <f t="shared" si="6"/>
        <v/>
      </c>
      <c r="AA38" s="2" t="str">
        <f t="shared" si="7"/>
        <v/>
      </c>
      <c r="AB38" s="2" t="str">
        <f t="shared" si="8"/>
        <v>Fully Accessible</v>
      </c>
      <c r="AC38" s="2">
        <f t="shared" si="9"/>
        <v>3.0322454000000217E-2</v>
      </c>
      <c r="AE38" s="10" t="s">
        <v>98</v>
      </c>
      <c r="AF38" s="11" t="s">
        <v>61</v>
      </c>
      <c r="AH38" s="6" t="str">
        <f t="shared" si="10"/>
        <v>North America</v>
      </c>
      <c r="AI38" s="6"/>
      <c r="AJ38" s="6"/>
      <c r="AK38" s="10">
        <f t="shared" si="26"/>
        <v>-1.4821460000007391E-3</v>
      </c>
      <c r="AL38" s="6"/>
      <c r="AM38" s="6"/>
      <c r="AN38" s="6"/>
      <c r="AO38" s="10">
        <f t="shared" si="12"/>
        <v>4.8860164000001302E-2</v>
      </c>
      <c r="AP38" s="6"/>
      <c r="AQ38" s="6"/>
      <c r="AR38" s="6"/>
      <c r="AS38" s="10">
        <f t="shared" si="15"/>
        <v>-1.3240238000000204E-2</v>
      </c>
      <c r="AT38" s="6"/>
      <c r="AU38" s="6"/>
      <c r="AX38" s="2">
        <f t="shared" si="18"/>
        <v>18888.745116999999</v>
      </c>
      <c r="AY38" s="2">
        <f t="shared" si="19"/>
        <v>156.66400147000002</v>
      </c>
      <c r="AZ38" s="2">
        <f t="shared" si="20"/>
        <v>18732.08111553</v>
      </c>
      <c r="BA38" s="6"/>
    </row>
    <row r="39" spans="1:53" x14ac:dyDescent="0.25">
      <c r="A39" s="2" t="s">
        <v>80</v>
      </c>
      <c r="B39" s="2">
        <v>2020</v>
      </c>
      <c r="C39" s="2">
        <v>9449.3212889999995</v>
      </c>
      <c r="D39" s="2">
        <v>79.483001709999996</v>
      </c>
      <c r="E39" s="2">
        <v>96.534726079999999</v>
      </c>
      <c r="F39" s="2">
        <v>3.3721195499999999</v>
      </c>
      <c r="G39" s="2">
        <v>9.3154368370000004E-2</v>
      </c>
      <c r="H39" s="2">
        <v>0</v>
      </c>
      <c r="I39" s="2">
        <v>98.564122310000002</v>
      </c>
      <c r="J39" s="2">
        <v>0.9955971951</v>
      </c>
      <c r="K39" s="2">
        <v>0.4402804931</v>
      </c>
      <c r="L39" s="2">
        <v>0</v>
      </c>
      <c r="M39" s="2">
        <v>96.010873619999998</v>
      </c>
      <c r="N39" s="2">
        <v>3.9855726439999999</v>
      </c>
      <c r="O39" s="2">
        <v>3.5537319770000001E-3</v>
      </c>
      <c r="P39" s="2">
        <v>0</v>
      </c>
      <c r="Q39" s="2" t="str">
        <f t="shared" si="0"/>
        <v>Belarus|2020</v>
      </c>
      <c r="R39" s="2" t="str">
        <f t="shared" si="1"/>
        <v xml:space="preserve"> </v>
      </c>
      <c r="T39" s="2" t="b">
        <f t="shared" si="24"/>
        <v>0</v>
      </c>
      <c r="U39" s="2" t="b">
        <f t="shared" si="28"/>
        <v>0</v>
      </c>
      <c r="V39" s="2" t="b">
        <f t="shared" si="2"/>
        <v>0</v>
      </c>
      <c r="W39" s="2">
        <f t="shared" si="3"/>
        <v>97</v>
      </c>
      <c r="X39" s="2">
        <f t="shared" si="4"/>
        <v>99</v>
      </c>
      <c r="Y39" s="2">
        <f t="shared" si="5"/>
        <v>96</v>
      </c>
      <c r="Z39" s="2" t="str">
        <f t="shared" si="6"/>
        <v/>
      </c>
      <c r="AA39" s="2" t="str">
        <f t="shared" si="7"/>
        <v/>
      </c>
      <c r="AB39" s="2" t="str">
        <f t="shared" si="8"/>
        <v/>
      </c>
      <c r="AC39" s="2">
        <f t="shared" si="9"/>
        <v>0</v>
      </c>
      <c r="AE39" s="10" t="s">
        <v>99</v>
      </c>
      <c r="AF39" s="11" t="s">
        <v>57</v>
      </c>
      <c r="AH39" s="6" t="str">
        <f t="shared" si="10"/>
        <v>Latin America &amp; Caribbean</v>
      </c>
      <c r="AI39" s="6"/>
      <c r="AJ39" s="6"/>
      <c r="AK39" s="10">
        <f t="shared" si="26"/>
        <v>0</v>
      </c>
      <c r="AL39" s="6"/>
      <c r="AM39" s="6"/>
      <c r="AN39" s="6"/>
      <c r="AO39" s="10">
        <f t="shared" si="12"/>
        <v>0</v>
      </c>
      <c r="AP39" s="6"/>
      <c r="AQ39" s="6"/>
      <c r="AR39" s="6"/>
      <c r="AS39" s="10">
        <f t="shared" si="15"/>
        <v>0</v>
      </c>
      <c r="AT39" s="6"/>
      <c r="AU39" s="6"/>
      <c r="AX39" s="2" t="str">
        <f t="shared" si="18"/>
        <v>null</v>
      </c>
      <c r="AY39" s="2" t="str">
        <f t="shared" si="19"/>
        <v>null</v>
      </c>
      <c r="AZ39" s="2" t="str">
        <f t="shared" si="20"/>
        <v>null</v>
      </c>
      <c r="BA39" s="6"/>
    </row>
    <row r="40" spans="1:53" x14ac:dyDescent="0.25">
      <c r="A40" s="2" t="s">
        <v>81</v>
      </c>
      <c r="B40" s="2">
        <v>2015</v>
      </c>
      <c r="C40" s="2">
        <v>11287.93066</v>
      </c>
      <c r="D40" s="2">
        <v>97.875999449999995</v>
      </c>
      <c r="E40" s="2">
        <v>99.999997699999994</v>
      </c>
      <c r="F40" s="2">
        <v>0</v>
      </c>
      <c r="G40" s="2">
        <v>2.2980245119999998E-6</v>
      </c>
      <c r="H40" s="2">
        <v>0</v>
      </c>
      <c r="I40" s="2">
        <v>100</v>
      </c>
      <c r="J40" s="2">
        <v>0</v>
      </c>
      <c r="K40" s="2">
        <v>0</v>
      </c>
      <c r="L40" s="2">
        <v>0</v>
      </c>
      <c r="M40" s="2">
        <v>100</v>
      </c>
      <c r="N40" s="2">
        <v>0</v>
      </c>
      <c r="O40" s="2">
        <v>0</v>
      </c>
      <c r="P40" s="2">
        <v>0</v>
      </c>
      <c r="Q40" s="2" t="str">
        <f t="shared" si="0"/>
        <v>Belgium|2015</v>
      </c>
      <c r="R40" s="2">
        <f t="shared" si="1"/>
        <v>5</v>
      </c>
      <c r="T40" s="2">
        <f t="shared" si="24"/>
        <v>-2.4999999936881068E-7</v>
      </c>
      <c r="U40" s="2">
        <f t="shared" si="28"/>
        <v>0</v>
      </c>
      <c r="V40" s="2">
        <f t="shared" si="2"/>
        <v>0</v>
      </c>
      <c r="W40" s="2">
        <f t="shared" si="3"/>
        <v>100</v>
      </c>
      <c r="X40" s="2">
        <f t="shared" si="4"/>
        <v>100</v>
      </c>
      <c r="Y40" s="2">
        <f t="shared" si="5"/>
        <v>100</v>
      </c>
      <c r="Z40" s="2" t="str">
        <f t="shared" si="6"/>
        <v/>
      </c>
      <c r="AA40" s="2" t="str">
        <f t="shared" si="7"/>
        <v/>
      </c>
      <c r="AB40" s="2" t="str">
        <f t="shared" si="8"/>
        <v>Fully Accessible</v>
      </c>
      <c r="AC40" s="2">
        <f t="shared" si="9"/>
        <v>0</v>
      </c>
      <c r="AE40" s="10" t="s">
        <v>100</v>
      </c>
      <c r="AF40" s="11" t="s">
        <v>63</v>
      </c>
      <c r="AH40" s="6" t="str">
        <f t="shared" si="10"/>
        <v>Sub-Saharan Africa</v>
      </c>
      <c r="AI40" s="6"/>
      <c r="AJ40" s="6"/>
      <c r="AK40" s="10">
        <f t="shared" si="26"/>
        <v>-1.0217886739999997</v>
      </c>
      <c r="AL40" s="6"/>
      <c r="AM40" s="6"/>
      <c r="AN40" s="6"/>
      <c r="AO40" s="10">
        <f t="shared" si="12"/>
        <v>-0.75696272799999986</v>
      </c>
      <c r="AP40" s="6"/>
      <c r="AQ40" s="6"/>
      <c r="AR40" s="6"/>
      <c r="AS40" s="10">
        <f t="shared" si="15"/>
        <v>-1.6200868119999996</v>
      </c>
      <c r="AT40" s="6"/>
      <c r="AU40" s="6"/>
      <c r="AX40" s="2">
        <f t="shared" si="18"/>
        <v>22877.546869999998</v>
      </c>
      <c r="AY40" s="2">
        <f t="shared" si="19"/>
        <v>195.95499419999999</v>
      </c>
      <c r="AZ40" s="2">
        <f t="shared" si="20"/>
        <v>22681.591875799997</v>
      </c>
      <c r="BA40" s="6"/>
    </row>
    <row r="41" spans="1:53" x14ac:dyDescent="0.25">
      <c r="A41" s="2" t="s">
        <v>81</v>
      </c>
      <c r="B41" s="2">
        <v>2020</v>
      </c>
      <c r="C41" s="2">
        <v>11589.61621</v>
      </c>
      <c r="D41" s="2">
        <v>98.078994750000007</v>
      </c>
      <c r="E41" s="2">
        <v>99.999996449999998</v>
      </c>
      <c r="F41" s="2">
        <v>0</v>
      </c>
      <c r="G41" s="2">
        <v>3.5547967910000002E-6</v>
      </c>
      <c r="H41" s="2">
        <v>0</v>
      </c>
      <c r="I41" s="2">
        <v>100</v>
      </c>
      <c r="J41" s="2">
        <v>0</v>
      </c>
      <c r="K41" s="2">
        <v>0</v>
      </c>
      <c r="L41" s="2">
        <v>0</v>
      </c>
      <c r="M41" s="2">
        <v>100</v>
      </c>
      <c r="N41" s="2">
        <v>0</v>
      </c>
      <c r="O41" s="2">
        <v>0</v>
      </c>
      <c r="P41" s="2">
        <v>0</v>
      </c>
      <c r="Q41" s="2" t="str">
        <f t="shared" si="0"/>
        <v>Belgium|2020</v>
      </c>
      <c r="R41" s="2" t="str">
        <f t="shared" si="1"/>
        <v xml:space="preserve"> </v>
      </c>
      <c r="T41" s="2" t="b">
        <f t="shared" si="24"/>
        <v>0</v>
      </c>
      <c r="U41" s="2" t="b">
        <f t="shared" si="28"/>
        <v>0</v>
      </c>
      <c r="V41" s="2" t="b">
        <f t="shared" si="2"/>
        <v>0</v>
      </c>
      <c r="W41" s="2">
        <f t="shared" si="3"/>
        <v>100</v>
      </c>
      <c r="X41" s="2">
        <f t="shared" si="4"/>
        <v>100</v>
      </c>
      <c r="Y41" s="2">
        <f t="shared" si="5"/>
        <v>100</v>
      </c>
      <c r="Z41" s="2" t="str">
        <f t="shared" si="6"/>
        <v/>
      </c>
      <c r="AA41" s="2" t="str">
        <f t="shared" si="7"/>
        <v/>
      </c>
      <c r="AB41" s="2" t="str">
        <f t="shared" si="8"/>
        <v/>
      </c>
      <c r="AC41" s="2">
        <f t="shared" si="9"/>
        <v>0</v>
      </c>
      <c r="AE41" s="10" t="s">
        <v>101</v>
      </c>
      <c r="AF41" s="11" t="s">
        <v>63</v>
      </c>
      <c r="AH41" s="6" t="str">
        <f t="shared" si="10"/>
        <v>Sub-Saharan Africa</v>
      </c>
      <c r="AI41" s="6"/>
      <c r="AJ41" s="6"/>
      <c r="AK41" s="10">
        <f t="shared" si="26"/>
        <v>0.35768756399999974</v>
      </c>
      <c r="AL41" s="6"/>
      <c r="AM41" s="6"/>
      <c r="AN41" s="6"/>
      <c r="AO41" s="10">
        <f t="shared" si="12"/>
        <v>0.39926290199999953</v>
      </c>
      <c r="AP41" s="6"/>
      <c r="AQ41" s="6"/>
      <c r="AR41" s="6"/>
      <c r="AS41" s="10">
        <f t="shared" si="15"/>
        <v>-0.11228573799999993</v>
      </c>
      <c r="AT41" s="6"/>
      <c r="AU41" s="6"/>
      <c r="AX41" s="2" t="str">
        <f t="shared" si="18"/>
        <v>null</v>
      </c>
      <c r="AY41" s="2" t="str">
        <f t="shared" si="19"/>
        <v>null</v>
      </c>
      <c r="AZ41" s="2" t="str">
        <f t="shared" si="20"/>
        <v>null</v>
      </c>
      <c r="BA41" s="6"/>
    </row>
    <row r="42" spans="1:53" x14ac:dyDescent="0.25">
      <c r="A42" s="2" t="s">
        <v>82</v>
      </c>
      <c r="B42" s="2">
        <v>2015</v>
      </c>
      <c r="C42" s="2">
        <v>360.92599489999998</v>
      </c>
      <c r="D42" s="2">
        <v>45.405998230000002</v>
      </c>
      <c r="E42" s="2">
        <v>97.17559498</v>
      </c>
      <c r="F42" s="2">
        <v>1.227940493</v>
      </c>
      <c r="G42" s="2">
        <v>1.5682225350000001</v>
      </c>
      <c r="H42" s="2">
        <v>2.8241988169999999E-2</v>
      </c>
      <c r="I42" s="2">
        <v>95.653832059999999</v>
      </c>
      <c r="J42" s="2">
        <v>1.4219190049999999</v>
      </c>
      <c r="K42" s="2">
        <v>2.8725179939999999</v>
      </c>
      <c r="L42" s="2">
        <v>5.1730935759999999E-2</v>
      </c>
      <c r="M42" s="2">
        <v>99.005290000000002</v>
      </c>
      <c r="N42" s="2">
        <v>0.99470999999999998</v>
      </c>
      <c r="O42" s="2">
        <v>0</v>
      </c>
      <c r="P42" s="2">
        <v>0</v>
      </c>
      <c r="Q42" s="2" t="str">
        <f t="shared" si="0"/>
        <v>Belize|2015</v>
      </c>
      <c r="R42" s="2">
        <f t="shared" si="1"/>
        <v>5</v>
      </c>
      <c r="T42" s="2">
        <f t="shared" si="24"/>
        <v>0.24527193000000125</v>
      </c>
      <c r="U42" s="2">
        <f t="shared" si="28"/>
        <v>0.46827510399999994</v>
      </c>
      <c r="V42" s="2">
        <f t="shared" si="2"/>
        <v>-2.5265999999999168E-2</v>
      </c>
      <c r="W42" s="2">
        <f t="shared" si="3"/>
        <v>97</v>
      </c>
      <c r="X42" s="2">
        <f t="shared" si="4"/>
        <v>96</v>
      </c>
      <c r="Y42" s="2">
        <f t="shared" si="5"/>
        <v>99</v>
      </c>
      <c r="Z42" s="2" t="str">
        <f t="shared" si="6"/>
        <v/>
      </c>
      <c r="AA42" s="2" t="str">
        <f t="shared" si="7"/>
        <v/>
      </c>
      <c r="AB42" s="2" t="str">
        <f t="shared" si="8"/>
        <v>Fully Accessible</v>
      </c>
      <c r="AC42" s="2">
        <f t="shared" si="9"/>
        <v>0.49354110399999912</v>
      </c>
      <c r="AE42" s="10" t="s">
        <v>102</v>
      </c>
      <c r="AF42" s="11" t="s">
        <v>53</v>
      </c>
      <c r="AH42" s="6" t="str">
        <f t="shared" si="10"/>
        <v>Europe &amp; Central Asia</v>
      </c>
      <c r="AI42" s="6"/>
      <c r="AJ42" s="6"/>
      <c r="AK42" s="10">
        <f t="shared" si="26"/>
        <v>0</v>
      </c>
      <c r="AL42" s="6"/>
      <c r="AM42" s="6"/>
      <c r="AN42" s="6"/>
      <c r="AO42" s="10">
        <f t="shared" si="12"/>
        <v>0</v>
      </c>
      <c r="AP42" s="6"/>
      <c r="AQ42" s="6"/>
      <c r="AR42" s="6"/>
      <c r="AS42" s="10">
        <f t="shared" si="15"/>
        <v>0</v>
      </c>
      <c r="AT42" s="6"/>
      <c r="AU42" s="6"/>
      <c r="AX42" s="2">
        <f t="shared" si="18"/>
        <v>758.5469971</v>
      </c>
      <c r="AY42" s="2">
        <f t="shared" si="19"/>
        <v>91.430999759999992</v>
      </c>
      <c r="AZ42" s="2">
        <f t="shared" si="20"/>
        <v>667.11599734000004</v>
      </c>
      <c r="BA42" s="16"/>
    </row>
    <row r="43" spans="1:53" x14ac:dyDescent="0.25">
      <c r="A43" s="2" t="s">
        <v>82</v>
      </c>
      <c r="B43" s="2">
        <v>2020</v>
      </c>
      <c r="C43" s="2">
        <v>397.62100220000002</v>
      </c>
      <c r="D43" s="2">
        <v>46.025001529999997</v>
      </c>
      <c r="E43" s="2">
        <v>98.401954630000006</v>
      </c>
      <c r="F43" s="2">
        <v>1.249110629</v>
      </c>
      <c r="G43" s="2">
        <v>0.3489347411</v>
      </c>
      <c r="H43" s="2">
        <v>0</v>
      </c>
      <c r="I43" s="2">
        <v>97.995207579999999</v>
      </c>
      <c r="J43" s="2">
        <v>1.358317682</v>
      </c>
      <c r="K43" s="2">
        <v>0.64647473929999999</v>
      </c>
      <c r="L43" s="2">
        <v>0</v>
      </c>
      <c r="M43" s="2">
        <v>98.878960000000006</v>
      </c>
      <c r="N43" s="2">
        <v>1.12104</v>
      </c>
      <c r="O43" s="2">
        <v>0</v>
      </c>
      <c r="P43" s="2">
        <v>0</v>
      </c>
      <c r="Q43" s="2" t="str">
        <f t="shared" si="0"/>
        <v>Belize|2020</v>
      </c>
      <c r="R43" s="2" t="str">
        <f t="shared" si="1"/>
        <v xml:space="preserve"> </v>
      </c>
      <c r="T43" s="2" t="b">
        <f t="shared" si="24"/>
        <v>0</v>
      </c>
      <c r="U43" s="2" t="b">
        <f t="shared" si="28"/>
        <v>0</v>
      </c>
      <c r="V43" s="2" t="b">
        <f t="shared" si="2"/>
        <v>0</v>
      </c>
      <c r="W43" s="2">
        <f t="shared" si="3"/>
        <v>98</v>
      </c>
      <c r="X43" s="2">
        <f t="shared" si="4"/>
        <v>98</v>
      </c>
      <c r="Y43" s="2">
        <f t="shared" si="5"/>
        <v>99</v>
      </c>
      <c r="Z43" s="2" t="str">
        <f t="shared" si="6"/>
        <v/>
      </c>
      <c r="AA43" s="2" t="str">
        <f t="shared" si="7"/>
        <v/>
      </c>
      <c r="AB43" s="2" t="str">
        <f t="shared" si="8"/>
        <v/>
      </c>
      <c r="AC43" s="2">
        <f t="shared" si="9"/>
        <v>0</v>
      </c>
      <c r="AE43" s="10" t="s">
        <v>103</v>
      </c>
      <c r="AF43" s="11" t="s">
        <v>57</v>
      </c>
      <c r="AH43" s="6" t="str">
        <f t="shared" si="10"/>
        <v>Latin America &amp; Caribbean</v>
      </c>
      <c r="AI43" s="6"/>
      <c r="AJ43" s="6"/>
      <c r="AK43" s="10">
        <f t="shared" si="26"/>
        <v>9.8701199999999295E-2</v>
      </c>
      <c r="AL43" s="6"/>
      <c r="AM43" s="6"/>
      <c r="AN43" s="6"/>
      <c r="AO43" s="10">
        <f t="shared" si="12"/>
        <v>0.58646029999999882</v>
      </c>
      <c r="AP43" s="6"/>
      <c r="AQ43" s="6"/>
      <c r="AR43" s="6"/>
      <c r="AS43" s="10">
        <f t="shared" si="15"/>
        <v>2.8128603999999769E-2</v>
      </c>
      <c r="AT43" s="6"/>
      <c r="AU43" s="6"/>
      <c r="AX43" s="2" t="str">
        <f t="shared" si="18"/>
        <v>null</v>
      </c>
      <c r="AY43" s="2" t="str">
        <f t="shared" si="19"/>
        <v>null</v>
      </c>
      <c r="AZ43" s="2" t="str">
        <f t="shared" si="20"/>
        <v>null</v>
      </c>
      <c r="BA43" s="6"/>
    </row>
    <row r="44" spans="1:53" x14ac:dyDescent="0.25">
      <c r="A44" s="2" t="s">
        <v>83</v>
      </c>
      <c r="B44" s="2">
        <v>2015</v>
      </c>
      <c r="C44" s="2">
        <v>10575.96191</v>
      </c>
      <c r="D44" s="2">
        <v>45.695003509999999</v>
      </c>
      <c r="E44" s="2">
        <v>64.786822299999997</v>
      </c>
      <c r="F44" s="2">
        <v>8.7154706540000006</v>
      </c>
      <c r="G44" s="2">
        <v>21.298464339999999</v>
      </c>
      <c r="H44" s="2">
        <v>5.1992427130000003</v>
      </c>
      <c r="I44" s="2">
        <v>56.784352470000002</v>
      </c>
      <c r="J44" s="2">
        <v>11.70337067</v>
      </c>
      <c r="K44" s="2">
        <v>23.774978569999998</v>
      </c>
      <c r="L44" s="2">
        <v>7.7372982859999997</v>
      </c>
      <c r="M44" s="2">
        <v>74.297142559999998</v>
      </c>
      <c r="N44" s="2">
        <v>5.1645811540000004</v>
      </c>
      <c r="O44" s="2">
        <v>18.355317530000001</v>
      </c>
      <c r="P44" s="2">
        <v>2.1829587560000001</v>
      </c>
      <c r="Q44" s="2" t="str">
        <f t="shared" si="0"/>
        <v>Benin|2015</v>
      </c>
      <c r="R44" s="2">
        <f t="shared" si="1"/>
        <v>5</v>
      </c>
      <c r="T44" s="2">
        <f t="shared" si="24"/>
        <v>0.12546013799999969</v>
      </c>
      <c r="U44" s="2">
        <f t="shared" si="28"/>
        <v>0.25358310399999906</v>
      </c>
      <c r="V44" s="2">
        <f t="shared" si="2"/>
        <v>-0.20782850399999972</v>
      </c>
      <c r="W44" s="2">
        <f t="shared" si="3"/>
        <v>65</v>
      </c>
      <c r="X44" s="2">
        <f t="shared" si="4"/>
        <v>57</v>
      </c>
      <c r="Y44" s="2">
        <f t="shared" si="5"/>
        <v>74</v>
      </c>
      <c r="Z44" s="2" t="str">
        <f t="shared" si="6"/>
        <v/>
      </c>
      <c r="AA44" s="2" t="str">
        <f t="shared" si="7"/>
        <v/>
      </c>
      <c r="AB44" s="2" t="str">
        <f t="shared" si="8"/>
        <v>Fully Accessible</v>
      </c>
      <c r="AC44" s="2">
        <f t="shared" si="9"/>
        <v>0.46141160799999881</v>
      </c>
      <c r="AE44" s="10" t="s">
        <v>104</v>
      </c>
      <c r="AF44" s="11" t="s">
        <v>51</v>
      </c>
      <c r="AH44" s="6" t="str">
        <f t="shared" si="10"/>
        <v>East Asia &amp; Pacific</v>
      </c>
      <c r="AI44" s="6"/>
      <c r="AJ44" s="6"/>
      <c r="AK44" s="10">
        <f t="shared" si="26"/>
        <v>0.49969387200000026</v>
      </c>
      <c r="AL44" s="6"/>
      <c r="AM44" s="6"/>
      <c r="AN44" s="6"/>
      <c r="AO44" s="10">
        <f t="shared" si="12"/>
        <v>1.0364091180000004</v>
      </c>
      <c r="AP44" s="6"/>
      <c r="AQ44" s="6"/>
      <c r="AR44" s="6"/>
      <c r="AS44" s="10">
        <f t="shared" si="15"/>
        <v>-8.0954259999998612E-2</v>
      </c>
      <c r="AT44" s="6"/>
      <c r="AU44" s="6"/>
      <c r="AX44" s="2">
        <f t="shared" si="18"/>
        <v>22699.16015</v>
      </c>
      <c r="AY44" s="2">
        <f t="shared" si="19"/>
        <v>94.11000061</v>
      </c>
      <c r="AZ44" s="2">
        <f t="shared" si="20"/>
        <v>22605.050149390001</v>
      </c>
      <c r="BA44" s="16"/>
    </row>
    <row r="45" spans="1:53" x14ac:dyDescent="0.25">
      <c r="A45" s="2" t="s">
        <v>83</v>
      </c>
      <c r="B45" s="2">
        <v>2020</v>
      </c>
      <c r="C45" s="2">
        <v>12123.19824</v>
      </c>
      <c r="D45" s="2">
        <v>48.414997100000001</v>
      </c>
      <c r="E45" s="2">
        <v>65.414122989999996</v>
      </c>
      <c r="F45" s="2">
        <v>9.317535586</v>
      </c>
      <c r="G45" s="2">
        <v>21.97254088</v>
      </c>
      <c r="H45" s="2">
        <v>3.2958005469999998</v>
      </c>
      <c r="I45" s="2">
        <v>58.052267989999997</v>
      </c>
      <c r="J45" s="2">
        <v>12.705205039999999</v>
      </c>
      <c r="K45" s="2">
        <v>23.977968329999999</v>
      </c>
      <c r="L45" s="2">
        <v>5.2645586340000001</v>
      </c>
      <c r="M45" s="2">
        <v>73.258000039999999</v>
      </c>
      <c r="N45" s="2">
        <v>5.7080563529999999</v>
      </c>
      <c r="O45" s="2">
        <v>19.835806810000001</v>
      </c>
      <c r="P45" s="2">
        <v>1.1981367940000001</v>
      </c>
      <c r="Q45" s="2" t="str">
        <f t="shared" si="0"/>
        <v>Benin|2020</v>
      </c>
      <c r="R45" s="2" t="str">
        <f t="shared" si="1"/>
        <v xml:space="preserve"> </v>
      </c>
      <c r="T45" s="2" t="b">
        <f t="shared" si="24"/>
        <v>0</v>
      </c>
      <c r="U45" s="2" t="b">
        <f t="shared" si="28"/>
        <v>0</v>
      </c>
      <c r="V45" s="2" t="b">
        <f t="shared" si="2"/>
        <v>0</v>
      </c>
      <c r="W45" s="2">
        <f t="shared" si="3"/>
        <v>65</v>
      </c>
      <c r="X45" s="2">
        <f t="shared" si="4"/>
        <v>58</v>
      </c>
      <c r="Y45" s="2">
        <f t="shared" si="5"/>
        <v>73</v>
      </c>
      <c r="Z45" s="2" t="str">
        <f t="shared" si="6"/>
        <v/>
      </c>
      <c r="AA45" s="2" t="str">
        <f t="shared" si="7"/>
        <v/>
      </c>
      <c r="AB45" s="2" t="str">
        <f t="shared" si="8"/>
        <v/>
      </c>
      <c r="AC45" s="2">
        <f t="shared" si="9"/>
        <v>0</v>
      </c>
      <c r="AE45" s="10" t="s">
        <v>105</v>
      </c>
      <c r="AF45" s="11" t="s">
        <v>51</v>
      </c>
      <c r="AH45" s="6" t="str">
        <f t="shared" si="10"/>
        <v>East Asia &amp; Pacific</v>
      </c>
      <c r="AI45" s="6"/>
      <c r="AJ45" s="6"/>
      <c r="AK45" s="10">
        <f t="shared" si="26"/>
        <v>0</v>
      </c>
      <c r="AL45" s="6"/>
      <c r="AM45" s="6"/>
      <c r="AN45" s="6"/>
      <c r="AO45" s="10">
        <f t="shared" si="12"/>
        <v>0</v>
      </c>
      <c r="AP45" s="6"/>
      <c r="AQ45" s="6"/>
      <c r="AR45" s="6"/>
      <c r="AS45" s="10">
        <f t="shared" si="15"/>
        <v>0</v>
      </c>
      <c r="AT45" s="6"/>
      <c r="AU45" s="6"/>
      <c r="AX45" s="2" t="str">
        <f t="shared" si="18"/>
        <v>null</v>
      </c>
      <c r="AY45" s="2" t="str">
        <f t="shared" si="19"/>
        <v>null</v>
      </c>
      <c r="AZ45" s="2" t="str">
        <f t="shared" si="20"/>
        <v>null</v>
      </c>
      <c r="BA45" s="16"/>
    </row>
    <row r="46" spans="1:53" x14ac:dyDescent="0.25">
      <c r="A46" s="2" t="s">
        <v>84</v>
      </c>
      <c r="B46" s="2">
        <v>2015</v>
      </c>
      <c r="C46" s="2">
        <v>63.694999690000003</v>
      </c>
      <c r="D46" s="2">
        <v>100</v>
      </c>
      <c r="E46" s="2">
        <v>99.903140019999995</v>
      </c>
      <c r="F46" s="2">
        <v>0</v>
      </c>
      <c r="G46" s="2">
        <v>9.6859982940000006E-2</v>
      </c>
      <c r="H46" s="2">
        <v>0</v>
      </c>
      <c r="I46" s="2" t="s">
        <v>64</v>
      </c>
      <c r="J46" s="2" t="s">
        <v>64</v>
      </c>
      <c r="K46" s="2" t="s">
        <v>64</v>
      </c>
      <c r="L46" s="2" t="s">
        <v>64</v>
      </c>
      <c r="M46" s="2">
        <v>99.903140019999995</v>
      </c>
      <c r="N46" s="2">
        <v>0</v>
      </c>
      <c r="O46" s="2">
        <v>9.6859982940000006E-2</v>
      </c>
      <c r="P46" s="2">
        <v>0</v>
      </c>
      <c r="Q46" s="2" t="str">
        <f t="shared" si="0"/>
        <v>Bermuda|2015</v>
      </c>
      <c r="R46" s="2">
        <f t="shared" si="1"/>
        <v>5</v>
      </c>
      <c r="T46" s="2">
        <f t="shared" si="24"/>
        <v>0</v>
      </c>
      <c r="U46" s="2" t="str">
        <f t="shared" si="28"/>
        <v>null</v>
      </c>
      <c r="V46" s="2">
        <f t="shared" si="2"/>
        <v>0</v>
      </c>
      <c r="W46" s="2">
        <f t="shared" si="3"/>
        <v>100</v>
      </c>
      <c r="X46" s="2" t="b">
        <f t="shared" si="4"/>
        <v>0</v>
      </c>
      <c r="Y46" s="2">
        <f t="shared" si="5"/>
        <v>100</v>
      </c>
      <c r="Z46" s="2" t="str">
        <f t="shared" si="6"/>
        <v/>
      </c>
      <c r="AA46" s="2" t="str">
        <f t="shared" si="7"/>
        <v>Fully Accessible</v>
      </c>
      <c r="AB46" s="2" t="str">
        <f t="shared" si="8"/>
        <v>Fully Accessible</v>
      </c>
      <c r="AC46" s="2" t="b">
        <f t="shared" si="9"/>
        <v>0</v>
      </c>
      <c r="AE46" s="10" t="s">
        <v>106</v>
      </c>
      <c r="AF46" s="11" t="s">
        <v>51</v>
      </c>
      <c r="AH46" s="6" t="str">
        <f t="shared" si="10"/>
        <v>East Asia &amp; Pacific</v>
      </c>
      <c r="AI46" s="6"/>
      <c r="AJ46" s="6"/>
      <c r="AK46" s="10">
        <f t="shared" si="26"/>
        <v>0</v>
      </c>
      <c r="AL46" s="6"/>
      <c r="AM46" s="6"/>
      <c r="AN46" s="6"/>
      <c r="AO46" s="10">
        <f t="shared" si="12"/>
        <v>0</v>
      </c>
      <c r="AP46" s="6"/>
      <c r="AQ46" s="6"/>
      <c r="AR46" s="6"/>
      <c r="AS46" s="10">
        <f t="shared" si="15"/>
        <v>0</v>
      </c>
      <c r="AT46" s="6"/>
      <c r="AU46" s="6"/>
      <c r="AX46" s="2">
        <f t="shared" si="18"/>
        <v>125.96799849999999</v>
      </c>
      <c r="AY46" s="2">
        <f t="shared" si="19"/>
        <v>200</v>
      </c>
      <c r="AZ46" s="2">
        <f t="shared" si="20"/>
        <v>-74.032001500000007</v>
      </c>
      <c r="BA46" s="6"/>
    </row>
    <row r="47" spans="1:53" x14ac:dyDescent="0.25">
      <c r="A47" s="2" t="s">
        <v>84</v>
      </c>
      <c r="B47" s="2">
        <v>2020</v>
      </c>
      <c r="C47" s="2">
        <v>62.272998809999997</v>
      </c>
      <c r="D47" s="2">
        <v>100</v>
      </c>
      <c r="E47" s="2">
        <v>99.903140019999995</v>
      </c>
      <c r="F47" s="2">
        <v>0</v>
      </c>
      <c r="G47" s="2">
        <v>9.6859982940000006E-2</v>
      </c>
      <c r="H47" s="2">
        <v>0</v>
      </c>
      <c r="I47" s="2" t="s">
        <v>64</v>
      </c>
      <c r="J47" s="2" t="s">
        <v>64</v>
      </c>
      <c r="K47" s="2" t="s">
        <v>64</v>
      </c>
      <c r="L47" s="2" t="s">
        <v>64</v>
      </c>
      <c r="M47" s="2">
        <v>99.903140019999995</v>
      </c>
      <c r="N47" s="2">
        <v>0</v>
      </c>
      <c r="O47" s="2">
        <v>9.6859982940000006E-2</v>
      </c>
      <c r="P47" s="2">
        <v>0</v>
      </c>
      <c r="Q47" s="2" t="str">
        <f t="shared" si="0"/>
        <v>Bermuda|2020</v>
      </c>
      <c r="R47" s="2" t="str">
        <f t="shared" si="1"/>
        <v xml:space="preserve"> </v>
      </c>
      <c r="T47" s="2" t="b">
        <f t="shared" si="24"/>
        <v>0</v>
      </c>
      <c r="U47" s="2" t="b">
        <f t="shared" si="28"/>
        <v>0</v>
      </c>
      <c r="V47" s="2" t="b">
        <f t="shared" si="2"/>
        <v>0</v>
      </c>
      <c r="W47" s="2">
        <f t="shared" si="3"/>
        <v>100</v>
      </c>
      <c r="X47" s="2" t="b">
        <f t="shared" si="4"/>
        <v>0</v>
      </c>
      <c r="Y47" s="2">
        <f t="shared" si="5"/>
        <v>100</v>
      </c>
      <c r="Z47" s="2" t="str">
        <f t="shared" si="6"/>
        <v/>
      </c>
      <c r="AA47" s="2" t="str">
        <f t="shared" si="7"/>
        <v/>
      </c>
      <c r="AB47" s="2" t="str">
        <f t="shared" si="8"/>
        <v/>
      </c>
      <c r="AC47" s="2">
        <f t="shared" si="9"/>
        <v>0</v>
      </c>
      <c r="AE47" s="10" t="s">
        <v>107</v>
      </c>
      <c r="AF47" s="11" t="s">
        <v>57</v>
      </c>
      <c r="AH47" s="6" t="str">
        <f t="shared" si="10"/>
        <v>Latin America &amp; Caribbean</v>
      </c>
      <c r="AI47" s="6"/>
      <c r="AJ47" s="6"/>
      <c r="AK47" s="10">
        <f t="shared" si="26"/>
        <v>0.23115779800000097</v>
      </c>
      <c r="AL47" s="6"/>
      <c r="AM47" s="6"/>
      <c r="AN47" s="6"/>
      <c r="AO47" s="10">
        <f t="shared" si="12"/>
        <v>0.69866939399999806</v>
      </c>
      <c r="AP47" s="6"/>
      <c r="AQ47" s="6"/>
      <c r="AR47" s="6"/>
      <c r="AS47" s="10">
        <f t="shared" si="15"/>
        <v>5.7696085999998557E-2</v>
      </c>
      <c r="AT47" s="6"/>
      <c r="AU47" s="6"/>
      <c r="AX47" s="2" t="str">
        <f t="shared" si="18"/>
        <v>null</v>
      </c>
      <c r="AY47" s="2" t="str">
        <f t="shared" si="19"/>
        <v>null</v>
      </c>
      <c r="AZ47" s="2" t="str">
        <f t="shared" si="20"/>
        <v>null</v>
      </c>
      <c r="BA47" s="6"/>
    </row>
    <row r="48" spans="1:53" x14ac:dyDescent="0.25">
      <c r="A48" s="2" t="s">
        <v>85</v>
      </c>
      <c r="B48" s="2">
        <v>2015</v>
      </c>
      <c r="C48" s="2">
        <v>727.88500980000003</v>
      </c>
      <c r="D48" s="2">
        <v>38.678001399999999</v>
      </c>
      <c r="E48" s="2">
        <v>96.221422590000003</v>
      </c>
      <c r="F48" s="2">
        <v>2.496596292</v>
      </c>
      <c r="G48" s="2">
        <v>0.29618737509999998</v>
      </c>
      <c r="H48" s="2">
        <v>0.98579373770000001</v>
      </c>
      <c r="I48" s="2">
        <v>95.164362949999997</v>
      </c>
      <c r="J48" s="2">
        <v>3.215858941</v>
      </c>
      <c r="K48" s="2">
        <v>0.1935987005</v>
      </c>
      <c r="L48" s="2">
        <v>1.4261794109999999</v>
      </c>
      <c r="M48" s="2">
        <v>97.897336780000003</v>
      </c>
      <c r="N48" s="2">
        <v>1.3562420319999999</v>
      </c>
      <c r="O48" s="2">
        <v>0.45883648849999997</v>
      </c>
      <c r="P48" s="2">
        <v>0.28758470349999998</v>
      </c>
      <c r="Q48" s="2" t="str">
        <f t="shared" si="0"/>
        <v>Bhutan|2015</v>
      </c>
      <c r="R48" s="2">
        <f t="shared" si="1"/>
        <v>5</v>
      </c>
      <c r="T48" s="2">
        <f t="shared" si="24"/>
        <v>0.21836000799999908</v>
      </c>
      <c r="U48" s="2">
        <f t="shared" si="28"/>
        <v>0.3133661399999994</v>
      </c>
      <c r="V48" s="2">
        <f t="shared" si="2"/>
        <v>4.1858342000000451E-2</v>
      </c>
      <c r="W48" s="2">
        <f t="shared" si="3"/>
        <v>96</v>
      </c>
      <c r="X48" s="2">
        <f t="shared" si="4"/>
        <v>95</v>
      </c>
      <c r="Y48" s="2">
        <f t="shared" si="5"/>
        <v>98</v>
      </c>
      <c r="Z48" s="2" t="str">
        <f t="shared" si="6"/>
        <v/>
      </c>
      <c r="AA48" s="2" t="str">
        <f t="shared" si="7"/>
        <v/>
      </c>
      <c r="AB48" s="2" t="str">
        <f t="shared" si="8"/>
        <v>Fully Accessible</v>
      </c>
      <c r="AC48" s="2">
        <f t="shared" si="9"/>
        <v>0.27150779799999897</v>
      </c>
      <c r="AE48" s="10" t="s">
        <v>108</v>
      </c>
      <c r="AF48" s="11" t="s">
        <v>63</v>
      </c>
      <c r="AH48" s="6" t="str">
        <f t="shared" si="10"/>
        <v>Sub-Saharan Africa</v>
      </c>
      <c r="AI48" s="6"/>
      <c r="AJ48" s="6"/>
      <c r="AK48" s="10">
        <f t="shared" si="26"/>
        <v>1.9624432500002342E-2</v>
      </c>
      <c r="AL48" s="6"/>
      <c r="AM48" s="6"/>
      <c r="AN48" s="6"/>
      <c r="AO48" s="10">
        <f t="shared" si="12"/>
        <v>0</v>
      </c>
      <c r="AP48" s="6"/>
      <c r="AQ48" s="6"/>
      <c r="AR48" s="6"/>
      <c r="AS48" s="10">
        <f t="shared" si="15"/>
        <v>0</v>
      </c>
      <c r="AT48" s="6"/>
      <c r="AU48" s="6"/>
      <c r="AX48" s="2">
        <f t="shared" si="18"/>
        <v>1499.4970093000002</v>
      </c>
      <c r="AY48" s="2">
        <f t="shared" si="19"/>
        <v>80.993999479999999</v>
      </c>
      <c r="AZ48" s="2">
        <f t="shared" si="20"/>
        <v>1418.5030098200002</v>
      </c>
      <c r="BA48" s="6"/>
    </row>
    <row r="49" spans="1:53" x14ac:dyDescent="0.25">
      <c r="A49" s="2" t="s">
        <v>85</v>
      </c>
      <c r="B49" s="2">
        <v>2020</v>
      </c>
      <c r="C49" s="2">
        <v>771.61199950000002</v>
      </c>
      <c r="D49" s="2">
        <v>42.31599808</v>
      </c>
      <c r="E49" s="2">
        <v>97.313222629999999</v>
      </c>
      <c r="F49" s="2">
        <v>2.4607126070000001</v>
      </c>
      <c r="G49" s="2">
        <v>0.17642421829999999</v>
      </c>
      <c r="H49" s="2">
        <v>4.9640541420000003E-2</v>
      </c>
      <c r="I49" s="2">
        <v>96.731193649999994</v>
      </c>
      <c r="J49" s="2">
        <v>3.2688063509999998</v>
      </c>
      <c r="K49" s="2">
        <v>0</v>
      </c>
      <c r="L49" s="2">
        <v>0</v>
      </c>
      <c r="M49" s="2">
        <v>98.106628490000006</v>
      </c>
      <c r="N49" s="2">
        <v>1.3591415</v>
      </c>
      <c r="O49" s="2">
        <v>0.41692084750000002</v>
      </c>
      <c r="P49" s="2">
        <v>0.1173091586</v>
      </c>
      <c r="Q49" s="2" t="str">
        <f t="shared" si="0"/>
        <v>Bhutan|2020</v>
      </c>
      <c r="R49" s="2" t="str">
        <f t="shared" si="1"/>
        <v xml:space="preserve"> </v>
      </c>
      <c r="T49" s="2" t="b">
        <f t="shared" si="24"/>
        <v>0</v>
      </c>
      <c r="U49" s="2" t="b">
        <f t="shared" si="28"/>
        <v>0</v>
      </c>
      <c r="V49" s="2" t="b">
        <f t="shared" si="2"/>
        <v>0</v>
      </c>
      <c r="W49" s="2">
        <f t="shared" si="3"/>
        <v>97</v>
      </c>
      <c r="X49" s="2">
        <f t="shared" si="4"/>
        <v>97</v>
      </c>
      <c r="Y49" s="2">
        <f t="shared" si="5"/>
        <v>98</v>
      </c>
      <c r="Z49" s="2" t="str">
        <f t="shared" si="6"/>
        <v/>
      </c>
      <c r="AA49" s="2" t="str">
        <f t="shared" si="7"/>
        <v/>
      </c>
      <c r="AB49" s="2" t="str">
        <f t="shared" si="8"/>
        <v/>
      </c>
      <c r="AC49" s="2">
        <f t="shared" si="9"/>
        <v>0</v>
      </c>
      <c r="AE49" s="10" t="s">
        <v>109</v>
      </c>
      <c r="AF49" s="11" t="s">
        <v>63</v>
      </c>
      <c r="AH49" s="6" t="str">
        <f t="shared" si="10"/>
        <v>Sub-Saharan Africa</v>
      </c>
      <c r="AI49" s="6"/>
      <c r="AJ49" s="6"/>
      <c r="AK49" s="10">
        <f t="shared" si="26"/>
        <v>0.52698596200000059</v>
      </c>
      <c r="AL49" s="6"/>
      <c r="AM49" s="6"/>
      <c r="AN49" s="6"/>
      <c r="AO49" s="10">
        <f t="shared" si="12"/>
        <v>0.8665154479999998</v>
      </c>
      <c r="AP49" s="6"/>
      <c r="AQ49" s="6"/>
      <c r="AR49" s="6"/>
      <c r="AS49" s="10">
        <f t="shared" si="15"/>
        <v>5.9918199999998478E-2</v>
      </c>
      <c r="AT49" s="6"/>
      <c r="AU49" s="6"/>
      <c r="AX49" s="2" t="str">
        <f t="shared" si="18"/>
        <v>null</v>
      </c>
      <c r="AY49" s="2" t="str">
        <f t="shared" si="19"/>
        <v>null</v>
      </c>
      <c r="AZ49" s="2" t="str">
        <f t="shared" si="20"/>
        <v>null</v>
      </c>
      <c r="BA49" s="6"/>
    </row>
    <row r="50" spans="1:53" x14ac:dyDescent="0.25">
      <c r="A50" s="2" t="s">
        <v>86</v>
      </c>
      <c r="B50" s="2">
        <v>2015</v>
      </c>
      <c r="C50" s="2">
        <v>10869.73242</v>
      </c>
      <c r="D50" s="2">
        <v>68.392997739999998</v>
      </c>
      <c r="E50" s="2">
        <v>90.462141009999996</v>
      </c>
      <c r="F50" s="2">
        <v>0.17289839809999999</v>
      </c>
      <c r="G50" s="2">
        <v>2.832457169</v>
      </c>
      <c r="H50" s="2">
        <v>6.5325034249999998</v>
      </c>
      <c r="I50" s="2">
        <v>73.740180199999998</v>
      </c>
      <c r="J50" s="2">
        <v>0.33996878380000001</v>
      </c>
      <c r="K50" s="2">
        <v>5.9118005360000003</v>
      </c>
      <c r="L50" s="2">
        <v>20.008050480000001</v>
      </c>
      <c r="M50" s="2">
        <v>98.189997079999998</v>
      </c>
      <c r="N50" s="2">
        <v>9.5688834099999995E-2</v>
      </c>
      <c r="O50" s="2">
        <v>1.4093724700000001</v>
      </c>
      <c r="P50" s="2">
        <v>0.304941615</v>
      </c>
      <c r="Q50" s="2" t="str">
        <f t="shared" si="0"/>
        <v>Bolivia (Plurinational State of)|2015</v>
      </c>
      <c r="R50" s="2">
        <f t="shared" si="1"/>
        <v>5</v>
      </c>
      <c r="T50" s="2">
        <f t="shared" si="24"/>
        <v>0.58558612399999954</v>
      </c>
      <c r="U50" s="2">
        <f t="shared" si="28"/>
        <v>1.2392925259999998</v>
      </c>
      <c r="V50" s="2">
        <f t="shared" si="2"/>
        <v>0.18642424800000015</v>
      </c>
      <c r="W50" s="2">
        <f t="shared" si="3"/>
        <v>90</v>
      </c>
      <c r="X50" s="2">
        <f t="shared" si="4"/>
        <v>74</v>
      </c>
      <c r="Y50" s="2">
        <f t="shared" si="5"/>
        <v>98</v>
      </c>
      <c r="Z50" s="2" t="str">
        <f t="shared" si="6"/>
        <v/>
      </c>
      <c r="AA50" s="2" t="str">
        <f t="shared" si="7"/>
        <v/>
      </c>
      <c r="AB50" s="2" t="str">
        <f t="shared" si="8"/>
        <v>Fully Accessible</v>
      </c>
      <c r="AC50" s="2">
        <f t="shared" si="9"/>
        <v>1.0528682779999996</v>
      </c>
      <c r="AE50" s="10" t="s">
        <v>110</v>
      </c>
      <c r="AF50" s="11" t="s">
        <v>51</v>
      </c>
      <c r="AH50" s="6" t="str">
        <f t="shared" si="10"/>
        <v>East Asia &amp; Pacific</v>
      </c>
      <c r="AI50" s="6"/>
      <c r="AJ50" s="6"/>
      <c r="AK50" s="10">
        <f t="shared" si="26"/>
        <v>3.5878400000001419E-3</v>
      </c>
      <c r="AL50" s="6"/>
      <c r="AM50" s="6"/>
      <c r="AN50" s="6"/>
      <c r="AO50" s="10">
        <f t="shared" si="12"/>
        <v>0</v>
      </c>
      <c r="AP50" s="6"/>
      <c r="AQ50" s="6"/>
      <c r="AR50" s="6"/>
      <c r="AS50" s="10">
        <f t="shared" si="15"/>
        <v>0</v>
      </c>
      <c r="AT50" s="6"/>
      <c r="AU50" s="6"/>
      <c r="AX50" s="2">
        <f t="shared" si="18"/>
        <v>22542.761720000002</v>
      </c>
      <c r="AY50" s="2">
        <f t="shared" si="19"/>
        <v>138.51599884000001</v>
      </c>
      <c r="AZ50" s="2">
        <f t="shared" si="20"/>
        <v>22404.245721160001</v>
      </c>
      <c r="BA50" s="16"/>
    </row>
    <row r="51" spans="1:53" x14ac:dyDescent="0.25">
      <c r="A51" s="2" t="s">
        <v>86</v>
      </c>
      <c r="B51" s="2">
        <v>2020</v>
      </c>
      <c r="C51" s="2">
        <v>11673.0293</v>
      </c>
      <c r="D51" s="2">
        <v>70.123001099999996</v>
      </c>
      <c r="E51" s="2">
        <v>93.390071629999994</v>
      </c>
      <c r="F51" s="2">
        <v>0.13659052960000001</v>
      </c>
      <c r="G51" s="2">
        <v>1.575010843</v>
      </c>
      <c r="H51" s="2">
        <v>4.8983269969999998</v>
      </c>
      <c r="I51" s="2">
        <v>79.936642829999997</v>
      </c>
      <c r="J51" s="2">
        <v>0.24473640820000001</v>
      </c>
      <c r="K51" s="2">
        <v>3.9541336930000002</v>
      </c>
      <c r="L51" s="2">
        <v>15.864487069999999</v>
      </c>
      <c r="M51" s="2">
        <v>99.122118319999998</v>
      </c>
      <c r="N51" s="2">
        <v>9.0513289469999994E-2</v>
      </c>
      <c r="O51" s="2">
        <v>0.56134538079999996</v>
      </c>
      <c r="P51" s="2">
        <v>0.22602301120000001</v>
      </c>
      <c r="Q51" s="2" t="str">
        <f t="shared" si="0"/>
        <v>Bolivia (Plurinational State of)|2020</v>
      </c>
      <c r="R51" s="2" t="str">
        <f t="shared" si="1"/>
        <v xml:space="preserve"> </v>
      </c>
      <c r="T51" s="2" t="b">
        <f t="shared" si="24"/>
        <v>0</v>
      </c>
      <c r="U51" s="2" t="b">
        <f t="shared" si="28"/>
        <v>0</v>
      </c>
      <c r="V51" s="2" t="b">
        <f t="shared" si="2"/>
        <v>0</v>
      </c>
      <c r="W51" s="2">
        <f t="shared" si="3"/>
        <v>93</v>
      </c>
      <c r="X51" s="2">
        <f t="shared" si="4"/>
        <v>80</v>
      </c>
      <c r="Y51" s="2">
        <f t="shared" si="5"/>
        <v>99</v>
      </c>
      <c r="Z51" s="2" t="str">
        <f t="shared" si="6"/>
        <v/>
      </c>
      <c r="AA51" s="2" t="str">
        <f t="shared" si="7"/>
        <v/>
      </c>
      <c r="AB51" s="2" t="str">
        <f t="shared" si="8"/>
        <v/>
      </c>
      <c r="AC51" s="2">
        <f t="shared" si="9"/>
        <v>0</v>
      </c>
      <c r="AE51" s="10" t="s">
        <v>111</v>
      </c>
      <c r="AF51" s="11" t="s">
        <v>57</v>
      </c>
      <c r="AH51" s="6" t="str">
        <f t="shared" si="10"/>
        <v>Latin America &amp; Caribbean</v>
      </c>
      <c r="AI51" s="6"/>
      <c r="AJ51" s="6"/>
      <c r="AK51" s="10">
        <f t="shared" si="26"/>
        <v>8.6370021999999838E-2</v>
      </c>
      <c r="AL51" s="6"/>
      <c r="AM51" s="6"/>
      <c r="AN51" s="6"/>
      <c r="AO51" s="10">
        <f t="shared" si="12"/>
        <v>0.29204350199999851</v>
      </c>
      <c r="AP51" s="6"/>
      <c r="AQ51" s="6"/>
      <c r="AR51" s="6"/>
      <c r="AS51" s="10">
        <f t="shared" si="15"/>
        <v>2.2387550000001966E-2</v>
      </c>
      <c r="AT51" s="6"/>
      <c r="AU51" s="6"/>
      <c r="AX51" s="2" t="str">
        <f t="shared" si="18"/>
        <v>null</v>
      </c>
      <c r="AY51" s="2" t="str">
        <f t="shared" si="19"/>
        <v>null</v>
      </c>
      <c r="AZ51" s="2" t="str">
        <f t="shared" si="20"/>
        <v>null</v>
      </c>
      <c r="BA51" s="6"/>
    </row>
    <row r="52" spans="1:53" x14ac:dyDescent="0.25">
      <c r="A52" s="2" t="s">
        <v>87</v>
      </c>
      <c r="B52" s="2">
        <v>2015</v>
      </c>
      <c r="C52" s="2">
        <v>3429.3620609999998</v>
      </c>
      <c r="D52" s="2">
        <v>47.172996519999998</v>
      </c>
      <c r="E52" s="2">
        <v>96.159844179999993</v>
      </c>
      <c r="F52" s="2">
        <v>3.780069975</v>
      </c>
      <c r="G52" s="2">
        <v>6.0085848570000003E-2</v>
      </c>
      <c r="H52" s="2">
        <v>0</v>
      </c>
      <c r="I52" s="2">
        <v>97.333333330000002</v>
      </c>
      <c r="J52" s="2">
        <v>2.6666666669999999</v>
      </c>
      <c r="K52" s="2">
        <v>0</v>
      </c>
      <c r="L52" s="2">
        <v>0</v>
      </c>
      <c r="M52" s="2">
        <v>94.845704400000002</v>
      </c>
      <c r="N52" s="2">
        <v>5.0269222060000001</v>
      </c>
      <c r="O52" s="2">
        <v>0.12737339280000001</v>
      </c>
      <c r="P52" s="2">
        <v>0</v>
      </c>
      <c r="Q52" s="2" t="str">
        <f t="shared" si="0"/>
        <v>Bosnia and Herzegovina|2015</v>
      </c>
      <c r="R52" s="2">
        <f t="shared" si="1"/>
        <v>5</v>
      </c>
      <c r="T52" s="2">
        <f t="shared" si="24"/>
        <v>-9.1893119999980396E-3</v>
      </c>
      <c r="U52" s="2">
        <f t="shared" si="28"/>
        <v>0</v>
      </c>
      <c r="V52" s="2">
        <f t="shared" si="2"/>
        <v>0</v>
      </c>
      <c r="W52" s="2">
        <f t="shared" si="3"/>
        <v>96</v>
      </c>
      <c r="X52" s="2">
        <f t="shared" si="4"/>
        <v>97</v>
      </c>
      <c r="Y52" s="2">
        <f t="shared" si="5"/>
        <v>95</v>
      </c>
      <c r="Z52" s="2" t="str">
        <f t="shared" si="6"/>
        <v/>
      </c>
      <c r="AA52" s="2" t="str">
        <f t="shared" si="7"/>
        <v/>
      </c>
      <c r="AB52" s="2" t="str">
        <f t="shared" si="8"/>
        <v>Fully Accessible</v>
      </c>
      <c r="AC52" s="2">
        <f t="shared" si="9"/>
        <v>0</v>
      </c>
      <c r="AE52" s="10" t="s">
        <v>112</v>
      </c>
      <c r="AF52" s="11" t="s">
        <v>63</v>
      </c>
      <c r="AH52" s="6" t="str">
        <f t="shared" si="10"/>
        <v>Sub-Saharan Africa</v>
      </c>
      <c r="AI52" s="6"/>
      <c r="AJ52" s="6"/>
      <c r="AK52" s="10">
        <f t="shared" si="26"/>
        <v>-3.333930200000168E-2</v>
      </c>
      <c r="AL52" s="6"/>
      <c r="AM52" s="6"/>
      <c r="AN52" s="6"/>
      <c r="AO52" s="10">
        <f t="shared" si="12"/>
        <v>-2.4144972000000563E-2</v>
      </c>
      <c r="AP52" s="6"/>
      <c r="AQ52" s="6"/>
      <c r="AR52" s="6"/>
      <c r="AS52" s="10">
        <f t="shared" si="15"/>
        <v>-0.31147841199999959</v>
      </c>
      <c r="AT52" s="6"/>
      <c r="AU52" s="6"/>
      <c r="AX52" s="2">
        <f t="shared" si="18"/>
        <v>6710.1770020000004</v>
      </c>
      <c r="AY52" s="2">
        <f t="shared" si="19"/>
        <v>96.192996980000004</v>
      </c>
      <c r="AZ52" s="2">
        <f t="shared" si="20"/>
        <v>6613.98400502</v>
      </c>
      <c r="BA52" s="16"/>
    </row>
    <row r="53" spans="1:53" x14ac:dyDescent="0.25">
      <c r="A53" s="2" t="s">
        <v>87</v>
      </c>
      <c r="B53" s="2">
        <v>2020</v>
      </c>
      <c r="C53" s="2">
        <v>3280.8149410000001</v>
      </c>
      <c r="D53" s="2">
        <v>49.020000459999999</v>
      </c>
      <c r="E53" s="2">
        <v>96.113897620000003</v>
      </c>
      <c r="F53" s="2">
        <v>3.8236639380000002</v>
      </c>
      <c r="G53" s="2">
        <v>6.2438437520000001E-2</v>
      </c>
      <c r="H53" s="2">
        <v>0</v>
      </c>
      <c r="I53" s="2">
        <v>97.333333330000002</v>
      </c>
      <c r="J53" s="2">
        <v>2.6666666669999999</v>
      </c>
      <c r="K53" s="2">
        <v>0</v>
      </c>
      <c r="L53" s="2">
        <v>0</v>
      </c>
      <c r="M53" s="2">
        <v>94.845704400000002</v>
      </c>
      <c r="N53" s="2">
        <v>5.0269222060000001</v>
      </c>
      <c r="O53" s="2">
        <v>0.12737339280000001</v>
      </c>
      <c r="P53" s="2">
        <v>0</v>
      </c>
      <c r="Q53" s="2" t="str">
        <f t="shared" si="0"/>
        <v>Bosnia and Herzegovina|2020</v>
      </c>
      <c r="R53" s="2" t="str">
        <f t="shared" si="1"/>
        <v xml:space="preserve"> </v>
      </c>
      <c r="T53" s="2" t="b">
        <f t="shared" si="24"/>
        <v>0</v>
      </c>
      <c r="U53" s="2" t="b">
        <f t="shared" si="28"/>
        <v>0</v>
      </c>
      <c r="V53" s="2" t="b">
        <f t="shared" si="2"/>
        <v>0</v>
      </c>
      <c r="W53" s="2">
        <f t="shared" si="3"/>
        <v>96</v>
      </c>
      <c r="X53" s="2">
        <f t="shared" si="4"/>
        <v>97</v>
      </c>
      <c r="Y53" s="2">
        <f t="shared" si="5"/>
        <v>95</v>
      </c>
      <c r="Z53" s="2" t="str">
        <f t="shared" si="6"/>
        <v/>
      </c>
      <c r="AA53" s="2" t="str">
        <f t="shared" si="7"/>
        <v/>
      </c>
      <c r="AB53" s="2" t="str">
        <f t="shared" si="8"/>
        <v/>
      </c>
      <c r="AC53" s="2">
        <f t="shared" si="9"/>
        <v>0</v>
      </c>
      <c r="AE53" s="10" t="s">
        <v>113</v>
      </c>
      <c r="AF53" s="11" t="s">
        <v>53</v>
      </c>
      <c r="AH53" s="6" t="str">
        <f t="shared" si="10"/>
        <v>Europe &amp; Central Asia</v>
      </c>
      <c r="AI53" s="6"/>
      <c r="AJ53" s="6"/>
      <c r="AK53" s="10">
        <f t="shared" si="26"/>
        <v>0</v>
      </c>
      <c r="AL53" s="6"/>
      <c r="AM53" s="6"/>
      <c r="AN53" s="6"/>
      <c r="AO53" s="10">
        <f t="shared" si="12"/>
        <v>0</v>
      </c>
      <c r="AP53" s="6"/>
      <c r="AQ53" s="6"/>
      <c r="AR53" s="6"/>
      <c r="AS53" s="10">
        <f t="shared" si="15"/>
        <v>0</v>
      </c>
      <c r="AT53" s="6"/>
      <c r="AU53" s="6"/>
      <c r="AX53" s="2" t="str">
        <f t="shared" si="18"/>
        <v>null</v>
      </c>
      <c r="AY53" s="2" t="str">
        <f t="shared" si="19"/>
        <v>null</v>
      </c>
      <c r="AZ53" s="2" t="str">
        <f t="shared" si="20"/>
        <v>null</v>
      </c>
      <c r="BA53" s="16"/>
    </row>
    <row r="54" spans="1:53" x14ac:dyDescent="0.25">
      <c r="A54" s="2" t="s">
        <v>88</v>
      </c>
      <c r="B54" s="2">
        <v>2015</v>
      </c>
      <c r="C54" s="2">
        <v>2120.7160640000002</v>
      </c>
      <c r="D54" s="2">
        <v>67.15499878</v>
      </c>
      <c r="E54" s="2">
        <v>88.446289530000001</v>
      </c>
      <c r="F54" s="2">
        <v>8.4106141599999997</v>
      </c>
      <c r="G54" s="2">
        <v>1.578349601</v>
      </c>
      <c r="H54" s="2">
        <v>1.5647467079999999</v>
      </c>
      <c r="I54" s="2">
        <v>71.892533830000005</v>
      </c>
      <c r="J54" s="2">
        <v>21.789327549999999</v>
      </c>
      <c r="K54" s="2">
        <v>1.854197906</v>
      </c>
      <c r="L54" s="2">
        <v>4.4639407090000001</v>
      </c>
      <c r="M54" s="2">
        <v>96.542602579999993</v>
      </c>
      <c r="N54" s="2">
        <v>1.867186166</v>
      </c>
      <c r="O54" s="2">
        <v>1.443438497</v>
      </c>
      <c r="P54" s="2">
        <v>0.1467727616</v>
      </c>
      <c r="Q54" s="2" t="str">
        <f t="shared" si="0"/>
        <v>Botswana|2015</v>
      </c>
      <c r="R54" s="2">
        <f t="shared" si="1"/>
        <v>5</v>
      </c>
      <c r="T54" s="2">
        <f t="shared" si="24"/>
        <v>0.75345470800000103</v>
      </c>
      <c r="U54" s="2">
        <f t="shared" si="28"/>
        <v>1.4302380059999991</v>
      </c>
      <c r="V54" s="2">
        <f t="shared" si="2"/>
        <v>0.21647560000000113</v>
      </c>
      <c r="W54" s="2">
        <f t="shared" si="3"/>
        <v>88</v>
      </c>
      <c r="X54" s="2">
        <f t="shared" si="4"/>
        <v>72</v>
      </c>
      <c r="Y54" s="2">
        <f t="shared" si="5"/>
        <v>97</v>
      </c>
      <c r="Z54" s="2" t="str">
        <f t="shared" si="6"/>
        <v/>
      </c>
      <c r="AA54" s="2" t="str">
        <f t="shared" si="7"/>
        <v/>
      </c>
      <c r="AB54" s="2" t="str">
        <f t="shared" si="8"/>
        <v>Fully Accessible</v>
      </c>
      <c r="AC54" s="2">
        <f t="shared" si="9"/>
        <v>1.2137624059999979</v>
      </c>
      <c r="AE54" s="10" t="s">
        <v>114</v>
      </c>
      <c r="AF54" s="11" t="s">
        <v>57</v>
      </c>
      <c r="AH54" s="6" t="str">
        <f t="shared" si="10"/>
        <v>Latin America &amp; Caribbean</v>
      </c>
      <c r="AI54" s="6"/>
      <c r="AJ54" s="6"/>
      <c r="AK54" s="10">
        <f t="shared" si="26"/>
        <v>0.22617993799999853</v>
      </c>
      <c r="AL54" s="6"/>
      <c r="AM54" s="6"/>
      <c r="AN54" s="6"/>
      <c r="AO54" s="10">
        <f t="shared" si="12"/>
        <v>0.78831809600000047</v>
      </c>
      <c r="AP54" s="6"/>
      <c r="AQ54" s="6"/>
      <c r="AR54" s="6"/>
      <c r="AS54" s="10">
        <f t="shared" si="15"/>
        <v>5.4655053999999835E-2</v>
      </c>
      <c r="AT54" s="6"/>
      <c r="AU54" s="6"/>
      <c r="AX54" s="2">
        <f t="shared" si="18"/>
        <v>4472.3410640000002</v>
      </c>
      <c r="AY54" s="2">
        <f t="shared" si="19"/>
        <v>138.03199768000002</v>
      </c>
      <c r="AZ54" s="2">
        <f t="shared" si="20"/>
        <v>4334.3090663200001</v>
      </c>
      <c r="BA54" s="6"/>
    </row>
    <row r="55" spans="1:53" x14ac:dyDescent="0.25">
      <c r="A55" s="2" t="s">
        <v>88</v>
      </c>
      <c r="B55" s="2">
        <v>2020</v>
      </c>
      <c r="C55" s="2">
        <v>2351.625</v>
      </c>
      <c r="D55" s="2">
        <v>70.876998900000004</v>
      </c>
      <c r="E55" s="2">
        <v>92.213563070000006</v>
      </c>
      <c r="F55" s="2">
        <v>4.7230389700000002</v>
      </c>
      <c r="G55" s="2">
        <v>1.7325264760000001</v>
      </c>
      <c r="H55" s="2">
        <v>1.330871481</v>
      </c>
      <c r="I55" s="2">
        <v>79.04372386</v>
      </c>
      <c r="J55" s="2">
        <v>15.154947180000001</v>
      </c>
      <c r="K55" s="2">
        <v>1.5961191560000001</v>
      </c>
      <c r="L55" s="2">
        <v>4.2052098100000004</v>
      </c>
      <c r="M55" s="2">
        <v>97.624980579999999</v>
      </c>
      <c r="N55" s="2">
        <v>0.43662003220000001</v>
      </c>
      <c r="O55" s="2">
        <v>1.788579159</v>
      </c>
      <c r="P55" s="2">
        <v>0.14982022810000001</v>
      </c>
      <c r="Q55" s="2" t="str">
        <f t="shared" si="0"/>
        <v>Botswana|2020</v>
      </c>
      <c r="R55" s="2" t="str">
        <f t="shared" si="1"/>
        <v xml:space="preserve"> </v>
      </c>
      <c r="T55" s="2" t="b">
        <f t="shared" si="24"/>
        <v>0</v>
      </c>
      <c r="U55" s="2" t="b">
        <f t="shared" si="28"/>
        <v>0</v>
      </c>
      <c r="V55" s="2" t="b">
        <f t="shared" si="2"/>
        <v>0</v>
      </c>
      <c r="W55" s="2">
        <f t="shared" si="3"/>
        <v>92</v>
      </c>
      <c r="X55" s="2">
        <f t="shared" si="4"/>
        <v>79</v>
      </c>
      <c r="Y55" s="2">
        <f t="shared" si="5"/>
        <v>98</v>
      </c>
      <c r="Z55" s="2" t="str">
        <f t="shared" si="6"/>
        <v/>
      </c>
      <c r="AA55" s="2" t="str">
        <f t="shared" si="7"/>
        <v/>
      </c>
      <c r="AB55" s="2" t="str">
        <f t="shared" si="8"/>
        <v/>
      </c>
      <c r="AC55" s="2">
        <f t="shared" si="9"/>
        <v>0</v>
      </c>
      <c r="AE55" s="10" t="s">
        <v>115</v>
      </c>
      <c r="AF55" s="11" t="s">
        <v>57</v>
      </c>
      <c r="AH55" s="6" t="str">
        <f t="shared" si="10"/>
        <v>Latin America &amp; Caribbean</v>
      </c>
      <c r="AI55" s="6"/>
      <c r="AJ55" s="6"/>
      <c r="AK55" s="10">
        <f t="shared" si="26"/>
        <v>0</v>
      </c>
      <c r="AL55" s="6"/>
      <c r="AM55" s="6"/>
      <c r="AN55" s="6"/>
      <c r="AO55" s="10">
        <f t="shared" si="12"/>
        <v>0</v>
      </c>
      <c r="AP55" s="6"/>
      <c r="AQ55" s="6"/>
      <c r="AR55" s="6"/>
      <c r="AS55" s="10">
        <f t="shared" si="15"/>
        <v>0</v>
      </c>
      <c r="AT55" s="6"/>
      <c r="AU55" s="6"/>
      <c r="AX55" s="2" t="str">
        <f t="shared" si="18"/>
        <v>null</v>
      </c>
      <c r="AY55" s="2" t="str">
        <f t="shared" si="19"/>
        <v>null</v>
      </c>
      <c r="AZ55" s="2" t="str">
        <f t="shared" si="20"/>
        <v>null</v>
      </c>
      <c r="BA55" s="6"/>
    </row>
    <row r="56" spans="1:53" x14ac:dyDescent="0.25">
      <c r="A56" s="2" t="s">
        <v>89</v>
      </c>
      <c r="B56" s="2">
        <v>2015</v>
      </c>
      <c r="C56" s="2">
        <v>204471.76560000001</v>
      </c>
      <c r="D56" s="2">
        <v>85.770004270000001</v>
      </c>
      <c r="E56" s="2">
        <v>97.80356759</v>
      </c>
      <c r="F56" s="2">
        <v>0.57950002290000002</v>
      </c>
      <c r="G56" s="2">
        <v>0.47496570910000002</v>
      </c>
      <c r="H56" s="2">
        <v>1.141966676</v>
      </c>
      <c r="I56" s="2">
        <v>88.756028180000001</v>
      </c>
      <c r="J56" s="2">
        <v>2.8537735780000002</v>
      </c>
      <c r="K56" s="2">
        <v>0.36513423810000001</v>
      </c>
      <c r="L56" s="2">
        <v>8.0250640079999993</v>
      </c>
      <c r="M56" s="2">
        <v>99.304631020000002</v>
      </c>
      <c r="N56" s="2">
        <v>0.20217793440000001</v>
      </c>
      <c r="O56" s="2">
        <v>0.49319104540000003</v>
      </c>
      <c r="P56" s="2">
        <v>0</v>
      </c>
      <c r="Q56" s="2" t="str">
        <f t="shared" si="0"/>
        <v>Brazil|2015</v>
      </c>
      <c r="R56" s="2">
        <f t="shared" si="1"/>
        <v>5</v>
      </c>
      <c r="T56" s="2">
        <f t="shared" si="24"/>
        <v>0.30345708000000116</v>
      </c>
      <c r="U56" s="2">
        <f t="shared" si="28"/>
        <v>1.4378462700000001</v>
      </c>
      <c r="V56" s="2">
        <f t="shared" si="2"/>
        <v>0.10347405800000047</v>
      </c>
      <c r="W56" s="2">
        <f t="shared" si="3"/>
        <v>98</v>
      </c>
      <c r="X56" s="2">
        <f t="shared" si="4"/>
        <v>89</v>
      </c>
      <c r="Y56" s="2">
        <f t="shared" si="5"/>
        <v>99</v>
      </c>
      <c r="Z56" s="2" t="str">
        <f t="shared" si="6"/>
        <v/>
      </c>
      <c r="AA56" s="2" t="str">
        <f t="shared" si="7"/>
        <v/>
      </c>
      <c r="AB56" s="2" t="str">
        <f t="shared" si="8"/>
        <v>Fully Accessible</v>
      </c>
      <c r="AC56" s="2">
        <f t="shared" si="9"/>
        <v>1.3343722119999997</v>
      </c>
      <c r="AE56" s="10" t="s">
        <v>116</v>
      </c>
      <c r="AF56" s="11" t="s">
        <v>53</v>
      </c>
      <c r="AH56" s="6" t="str">
        <f t="shared" si="10"/>
        <v>Europe &amp; Central Asia</v>
      </c>
      <c r="AI56" s="6"/>
      <c r="AJ56" s="6"/>
      <c r="AK56" s="10">
        <f t="shared" si="26"/>
        <v>-4.668877999998244E-3</v>
      </c>
      <c r="AL56" s="6"/>
      <c r="AM56" s="6"/>
      <c r="AN56" s="6"/>
      <c r="AO56" s="10">
        <f t="shared" si="12"/>
        <v>-3.0847639999990405E-3</v>
      </c>
      <c r="AP56" s="6"/>
      <c r="AQ56" s="6"/>
      <c r="AR56" s="6"/>
      <c r="AS56" s="10">
        <f t="shared" si="15"/>
        <v>-5.4968379999991157E-3</v>
      </c>
      <c r="AT56" s="6"/>
      <c r="AU56" s="6"/>
      <c r="AX56" s="2">
        <f t="shared" si="18"/>
        <v>417031.17190000002</v>
      </c>
      <c r="AY56" s="2">
        <f t="shared" si="19"/>
        <v>172.84300231999998</v>
      </c>
      <c r="AZ56" s="2">
        <f t="shared" si="20"/>
        <v>416858.32889768004</v>
      </c>
      <c r="BA56" s="6"/>
    </row>
    <row r="57" spans="1:53" x14ac:dyDescent="0.25">
      <c r="A57" s="2" t="s">
        <v>89</v>
      </c>
      <c r="B57" s="2">
        <v>2020</v>
      </c>
      <c r="C57" s="2">
        <v>212559.4063</v>
      </c>
      <c r="D57" s="2">
        <v>87.072998049999995</v>
      </c>
      <c r="E57" s="2">
        <v>99.320852990000006</v>
      </c>
      <c r="F57" s="2">
        <v>0.12654900390000001</v>
      </c>
      <c r="G57" s="2">
        <v>0.55259800989999996</v>
      </c>
      <c r="H57" s="2" t="s">
        <v>64</v>
      </c>
      <c r="I57" s="2">
        <v>95.945259530000001</v>
      </c>
      <c r="J57" s="2">
        <v>0.97895091540000001</v>
      </c>
      <c r="K57" s="2">
        <v>3.0757895510000002</v>
      </c>
      <c r="L57" s="2" t="s">
        <v>64</v>
      </c>
      <c r="M57" s="2">
        <v>99.822001310000005</v>
      </c>
      <c r="N57" s="2">
        <v>0</v>
      </c>
      <c r="O57" s="2">
        <v>0.1779986949</v>
      </c>
      <c r="P57" s="2">
        <v>0</v>
      </c>
      <c r="Q57" s="2" t="str">
        <f t="shared" si="0"/>
        <v>Brazil|2020</v>
      </c>
      <c r="R57" s="2" t="str">
        <f t="shared" si="1"/>
        <v xml:space="preserve"> </v>
      </c>
      <c r="T57" s="2" t="b">
        <f t="shared" si="24"/>
        <v>0</v>
      </c>
      <c r="U57" s="2" t="b">
        <f t="shared" si="28"/>
        <v>0</v>
      </c>
      <c r="V57" s="2" t="b">
        <f t="shared" si="2"/>
        <v>0</v>
      </c>
      <c r="W57" s="2">
        <f t="shared" si="3"/>
        <v>99</v>
      </c>
      <c r="X57" s="2">
        <f t="shared" si="4"/>
        <v>96</v>
      </c>
      <c r="Y57" s="2">
        <f t="shared" si="5"/>
        <v>100</v>
      </c>
      <c r="Z57" s="2" t="str">
        <f t="shared" si="6"/>
        <v/>
      </c>
      <c r="AA57" s="2" t="str">
        <f t="shared" si="7"/>
        <v/>
      </c>
      <c r="AB57" s="2" t="str">
        <f t="shared" si="8"/>
        <v/>
      </c>
      <c r="AC57" s="2">
        <f t="shared" si="9"/>
        <v>0</v>
      </c>
      <c r="AE57" s="10" t="s">
        <v>117</v>
      </c>
      <c r="AF57" s="11" t="s">
        <v>53</v>
      </c>
      <c r="AH57" s="6" t="str">
        <f t="shared" si="10"/>
        <v>Europe &amp; Central Asia</v>
      </c>
      <c r="AI57" s="6"/>
      <c r="AJ57" s="6"/>
      <c r="AK57" s="10">
        <f t="shared" si="26"/>
        <v>9.9796000000651475E-5</v>
      </c>
      <c r="AL57" s="6"/>
      <c r="AM57" s="6"/>
      <c r="AN57" s="6"/>
      <c r="AO57" s="10">
        <f t="shared" si="12"/>
        <v>0</v>
      </c>
      <c r="AP57" s="6"/>
      <c r="AQ57" s="6"/>
      <c r="AR57" s="6"/>
      <c r="AS57" s="10">
        <f t="shared" si="15"/>
        <v>0</v>
      </c>
      <c r="AT57" s="6"/>
      <c r="AU57" s="6"/>
      <c r="AX57" s="2" t="str">
        <f t="shared" si="18"/>
        <v>null</v>
      </c>
      <c r="AY57" s="2" t="str">
        <f t="shared" si="19"/>
        <v>null</v>
      </c>
      <c r="AZ57" s="2" t="str">
        <f t="shared" si="20"/>
        <v>null</v>
      </c>
      <c r="BA57" s="6"/>
    </row>
    <row r="58" spans="1:53" x14ac:dyDescent="0.25">
      <c r="A58" s="2" t="s">
        <v>90</v>
      </c>
      <c r="B58" s="2">
        <v>2015</v>
      </c>
      <c r="C58" s="2">
        <v>29.148000719999999</v>
      </c>
      <c r="D58" s="2">
        <v>46.583000179999999</v>
      </c>
      <c r="E58" s="2">
        <v>99.864383559999993</v>
      </c>
      <c r="F58" s="2">
        <v>0</v>
      </c>
      <c r="G58" s="2">
        <v>0.13561643840000001</v>
      </c>
      <c r="H58" s="2">
        <v>0</v>
      </c>
      <c r="I58" s="2" t="s">
        <v>64</v>
      </c>
      <c r="J58" s="2" t="s">
        <v>64</v>
      </c>
      <c r="K58" s="2" t="s">
        <v>64</v>
      </c>
      <c r="L58" s="2" t="s">
        <v>64</v>
      </c>
      <c r="M58" s="2" t="s">
        <v>64</v>
      </c>
      <c r="N58" s="2" t="s">
        <v>64</v>
      </c>
      <c r="O58" s="2" t="s">
        <v>64</v>
      </c>
      <c r="P58" s="2" t="s">
        <v>64</v>
      </c>
      <c r="Q58" s="2" t="str">
        <f t="shared" si="0"/>
        <v>British Virgin Islands|2015</v>
      </c>
      <c r="R58" s="2">
        <f t="shared" si="1"/>
        <v>5</v>
      </c>
      <c r="T58" s="2">
        <f t="shared" si="24"/>
        <v>0</v>
      </c>
      <c r="U58" s="2" t="str">
        <f t="shared" si="28"/>
        <v>null</v>
      </c>
      <c r="V58" s="2" t="str">
        <f t="shared" si="2"/>
        <v>null</v>
      </c>
      <c r="W58" s="2">
        <f t="shared" si="3"/>
        <v>100</v>
      </c>
      <c r="X58" s="2" t="b">
        <f t="shared" si="4"/>
        <v>0</v>
      </c>
      <c r="Y58" s="2" t="b">
        <f t="shared" si="5"/>
        <v>0</v>
      </c>
      <c r="Z58" s="2" t="str">
        <f t="shared" si="6"/>
        <v/>
      </c>
      <c r="AA58" s="2" t="str">
        <f t="shared" si="7"/>
        <v>Fully Accessible</v>
      </c>
      <c r="AB58" s="2" t="str">
        <f t="shared" si="8"/>
        <v>Fully Accessible</v>
      </c>
      <c r="AC58" s="2" t="b">
        <f t="shared" si="9"/>
        <v>0</v>
      </c>
      <c r="AE58" s="10" t="s">
        <v>118</v>
      </c>
      <c r="AF58" s="11" t="s">
        <v>51</v>
      </c>
      <c r="AH58" s="6" t="str">
        <f t="shared" si="10"/>
        <v>East Asia &amp; Pacific</v>
      </c>
      <c r="AI58" s="6"/>
      <c r="AJ58" s="6"/>
      <c r="AK58" s="10">
        <f t="shared" si="26"/>
        <v>-0.27420773599999959</v>
      </c>
      <c r="AL58" s="6"/>
      <c r="AM58" s="6"/>
      <c r="AN58" s="6"/>
      <c r="AO58" s="10">
        <f t="shared" si="12"/>
        <v>-0.57266870800000047</v>
      </c>
      <c r="AP58" s="6"/>
      <c r="AQ58" s="6"/>
      <c r="AR58" s="6"/>
      <c r="AS58" s="10">
        <f t="shared" si="15"/>
        <v>-0.11500271600000075</v>
      </c>
      <c r="AT58" s="6"/>
      <c r="AU58" s="6"/>
      <c r="AX58" s="2">
        <f t="shared" si="18"/>
        <v>59.385000230000003</v>
      </c>
      <c r="AY58" s="2">
        <f t="shared" si="19"/>
        <v>95.097999569999999</v>
      </c>
      <c r="AZ58" s="2">
        <f t="shared" si="20"/>
        <v>-35.712999339999996</v>
      </c>
      <c r="BA58" s="16"/>
    </row>
    <row r="59" spans="1:53" x14ac:dyDescent="0.25">
      <c r="A59" s="2" t="s">
        <v>90</v>
      </c>
      <c r="B59" s="2">
        <v>2020</v>
      </c>
      <c r="C59" s="2">
        <v>30.23699951</v>
      </c>
      <c r="D59" s="2">
        <v>48.51499939</v>
      </c>
      <c r="E59" s="2">
        <v>99.864383559999993</v>
      </c>
      <c r="F59" s="2">
        <v>0</v>
      </c>
      <c r="G59" s="2">
        <v>0.13561643840000001</v>
      </c>
      <c r="H59" s="2">
        <v>0</v>
      </c>
      <c r="I59" s="2" t="s">
        <v>64</v>
      </c>
      <c r="J59" s="2" t="s">
        <v>64</v>
      </c>
      <c r="K59" s="2" t="s">
        <v>64</v>
      </c>
      <c r="L59" s="2" t="s">
        <v>64</v>
      </c>
      <c r="M59" s="2" t="s">
        <v>64</v>
      </c>
      <c r="N59" s="2" t="s">
        <v>64</v>
      </c>
      <c r="O59" s="2" t="s">
        <v>64</v>
      </c>
      <c r="P59" s="2" t="s">
        <v>64</v>
      </c>
      <c r="Q59" s="2" t="str">
        <f t="shared" si="0"/>
        <v>British Virgin Islands|2020</v>
      </c>
      <c r="R59" s="2" t="str">
        <f t="shared" si="1"/>
        <v xml:space="preserve"> </v>
      </c>
      <c r="T59" s="2" t="b">
        <f t="shared" si="24"/>
        <v>0</v>
      </c>
      <c r="U59" s="2" t="b">
        <f t="shared" si="28"/>
        <v>0</v>
      </c>
      <c r="V59" s="2" t="b">
        <f t="shared" si="2"/>
        <v>0</v>
      </c>
      <c r="W59" s="2">
        <f t="shared" si="3"/>
        <v>100</v>
      </c>
      <c r="X59" s="2" t="b">
        <f t="shared" si="4"/>
        <v>0</v>
      </c>
      <c r="Y59" s="2" t="b">
        <f t="shared" si="5"/>
        <v>0</v>
      </c>
      <c r="Z59" s="2" t="str">
        <f t="shared" si="6"/>
        <v/>
      </c>
      <c r="AA59" s="2" t="str">
        <f t="shared" si="7"/>
        <v/>
      </c>
      <c r="AB59" s="2" t="str">
        <f t="shared" si="8"/>
        <v/>
      </c>
      <c r="AC59" s="2">
        <f t="shared" si="9"/>
        <v>0</v>
      </c>
      <c r="AE59" s="10" t="s">
        <v>119</v>
      </c>
      <c r="AF59" s="11" t="s">
        <v>63</v>
      </c>
      <c r="AH59" s="6" t="str">
        <f t="shared" si="10"/>
        <v>Sub-Saharan Africa</v>
      </c>
      <c r="AI59" s="6"/>
      <c r="AJ59" s="6"/>
      <c r="AK59" s="10">
        <f t="shared" si="26"/>
        <v>0.6467893979999999</v>
      </c>
      <c r="AL59" s="6"/>
      <c r="AM59" s="6"/>
      <c r="AN59" s="6"/>
      <c r="AO59" s="10">
        <f t="shared" si="12"/>
        <v>0.2720557079999999</v>
      </c>
      <c r="AP59" s="6"/>
      <c r="AQ59" s="6"/>
      <c r="AR59" s="6"/>
      <c r="AS59" s="10">
        <f t="shared" si="15"/>
        <v>0.43659539800000002</v>
      </c>
      <c r="AT59" s="6"/>
      <c r="AU59" s="6"/>
      <c r="AX59" s="2" t="str">
        <f t="shared" si="18"/>
        <v>null</v>
      </c>
      <c r="AY59" s="2" t="str">
        <f t="shared" si="19"/>
        <v>null</v>
      </c>
      <c r="AZ59" s="2" t="str">
        <f t="shared" si="20"/>
        <v>null</v>
      </c>
      <c r="BA59" s="6"/>
    </row>
    <row r="60" spans="1:53" x14ac:dyDescent="0.25">
      <c r="A60" s="2" t="s">
        <v>91</v>
      </c>
      <c r="B60" s="2">
        <v>2015</v>
      </c>
      <c r="C60" s="2">
        <v>414.91400149999998</v>
      </c>
      <c r="D60" s="2">
        <v>76.662994380000001</v>
      </c>
      <c r="E60" s="2">
        <v>99.509976159999994</v>
      </c>
      <c r="F60" s="2">
        <v>0</v>
      </c>
      <c r="G60" s="2">
        <v>0.39667583379999999</v>
      </c>
      <c r="H60" s="2">
        <v>9.3348002949999995E-2</v>
      </c>
      <c r="I60" s="2">
        <v>99.05</v>
      </c>
      <c r="J60" s="2">
        <v>0</v>
      </c>
      <c r="K60" s="2">
        <v>0.55000000000000004</v>
      </c>
      <c r="L60" s="2">
        <v>0.4</v>
      </c>
      <c r="M60" s="2">
        <v>99.65</v>
      </c>
      <c r="N60" s="2">
        <v>0</v>
      </c>
      <c r="O60" s="2">
        <v>0.35</v>
      </c>
      <c r="P60" s="2">
        <v>0</v>
      </c>
      <c r="Q60" s="2" t="str">
        <f t="shared" si="0"/>
        <v>Brunei Darussalam|2015</v>
      </c>
      <c r="R60" s="2">
        <f t="shared" si="1"/>
        <v>5</v>
      </c>
      <c r="T60" s="2">
        <f t="shared" si="24"/>
        <v>7.8012128000000305E-2</v>
      </c>
      <c r="U60" s="2" t="str">
        <f t="shared" si="28"/>
        <v>null</v>
      </c>
      <c r="V60" s="2">
        <f t="shared" si="2"/>
        <v>0</v>
      </c>
      <c r="W60" s="2">
        <f t="shared" si="3"/>
        <v>100</v>
      </c>
      <c r="X60" s="2">
        <f t="shared" si="4"/>
        <v>99</v>
      </c>
      <c r="Y60" s="2">
        <f t="shared" si="5"/>
        <v>100</v>
      </c>
      <c r="Z60" s="2" t="str">
        <f t="shared" si="6"/>
        <v/>
      </c>
      <c r="AA60" s="2" t="str">
        <f t="shared" si="7"/>
        <v/>
      </c>
      <c r="AB60" s="2" t="str">
        <f t="shared" si="8"/>
        <v>Fully Accessible</v>
      </c>
      <c r="AC60" s="2" t="b">
        <f t="shared" si="9"/>
        <v>0</v>
      </c>
      <c r="AE60" s="10" t="s">
        <v>120</v>
      </c>
      <c r="AF60" s="11" t="s">
        <v>53</v>
      </c>
      <c r="AH60" s="6" t="str">
        <f t="shared" si="10"/>
        <v>Europe &amp; Central Asia</v>
      </c>
      <c r="AI60" s="6"/>
      <c r="AJ60" s="6"/>
      <c r="AK60" s="10">
        <f t="shared" si="26"/>
        <v>6.5000000120107866E-7</v>
      </c>
      <c r="AL60" s="6"/>
      <c r="AM60" s="6"/>
      <c r="AN60" s="6"/>
      <c r="AO60" s="10">
        <f t="shared" si="12"/>
        <v>0</v>
      </c>
      <c r="AP60" s="6"/>
      <c r="AQ60" s="6"/>
      <c r="AR60" s="6"/>
      <c r="AS60" s="10">
        <f t="shared" si="15"/>
        <v>0</v>
      </c>
      <c r="AT60" s="6"/>
      <c r="AU60" s="6"/>
      <c r="AX60" s="2">
        <f t="shared" si="18"/>
        <v>852.39700319999997</v>
      </c>
      <c r="AY60" s="2">
        <f t="shared" si="19"/>
        <v>154.91300201000001</v>
      </c>
      <c r="AZ60" s="2">
        <f t="shared" si="20"/>
        <v>697.48400118999996</v>
      </c>
      <c r="BA60" s="16"/>
    </row>
    <row r="61" spans="1:53" x14ac:dyDescent="0.25">
      <c r="A61" s="2" t="s">
        <v>91</v>
      </c>
      <c r="B61" s="2">
        <v>2020</v>
      </c>
      <c r="C61" s="2">
        <v>437.48300169999999</v>
      </c>
      <c r="D61" s="2">
        <v>78.250007629999999</v>
      </c>
      <c r="E61" s="2">
        <v>99.900036799999995</v>
      </c>
      <c r="F61" s="2">
        <v>0</v>
      </c>
      <c r="G61" s="2">
        <v>9.9963200360000004E-2</v>
      </c>
      <c r="H61" s="2">
        <v>0</v>
      </c>
      <c r="I61" s="2" t="s">
        <v>64</v>
      </c>
      <c r="J61" s="2" t="s">
        <v>64</v>
      </c>
      <c r="K61" s="2" t="s">
        <v>64</v>
      </c>
      <c r="L61" s="2" t="s">
        <v>64</v>
      </c>
      <c r="M61" s="2">
        <v>99.65</v>
      </c>
      <c r="N61" s="2">
        <v>0</v>
      </c>
      <c r="O61" s="2">
        <v>0.35</v>
      </c>
      <c r="P61" s="2">
        <v>0</v>
      </c>
      <c r="Q61" s="2" t="str">
        <f t="shared" si="0"/>
        <v>Brunei Darussalam|2020</v>
      </c>
      <c r="R61" s="2" t="str">
        <f t="shared" si="1"/>
        <v xml:space="preserve"> </v>
      </c>
      <c r="T61" s="2" t="b">
        <f t="shared" si="24"/>
        <v>0</v>
      </c>
      <c r="U61" s="2" t="b">
        <f t="shared" si="28"/>
        <v>0</v>
      </c>
      <c r="V61" s="2" t="b">
        <f t="shared" si="2"/>
        <v>0</v>
      </c>
      <c r="W61" s="2">
        <f t="shared" si="3"/>
        <v>100</v>
      </c>
      <c r="X61" s="2" t="b">
        <f t="shared" si="4"/>
        <v>0</v>
      </c>
      <c r="Y61" s="2">
        <f t="shared" si="5"/>
        <v>100</v>
      </c>
      <c r="Z61" s="2" t="str">
        <f t="shared" si="6"/>
        <v/>
      </c>
      <c r="AA61" s="2" t="str">
        <f t="shared" si="7"/>
        <v/>
      </c>
      <c r="AB61" s="2" t="str">
        <f t="shared" si="8"/>
        <v/>
      </c>
      <c r="AC61" s="2">
        <f t="shared" si="9"/>
        <v>0</v>
      </c>
      <c r="AE61" s="10" t="s">
        <v>121</v>
      </c>
      <c r="AF61" s="11" t="s">
        <v>63</v>
      </c>
      <c r="AH61" s="6" t="str">
        <f t="shared" si="10"/>
        <v>Sub-Saharan Africa</v>
      </c>
      <c r="AI61" s="6"/>
      <c r="AJ61" s="6"/>
      <c r="AK61" s="10">
        <f t="shared" si="26"/>
        <v>5.257503599999893E-2</v>
      </c>
      <c r="AL61" s="6"/>
      <c r="AM61" s="6"/>
      <c r="AN61" s="6"/>
      <c r="AO61" s="10">
        <f t="shared" si="12"/>
        <v>-0.29569443200000051</v>
      </c>
      <c r="AP61" s="6"/>
      <c r="AQ61" s="6"/>
      <c r="AR61" s="6"/>
      <c r="AS61" s="10">
        <f t="shared" si="15"/>
        <v>9.2757015999998776E-2</v>
      </c>
      <c r="AT61" s="6"/>
      <c r="AU61" s="6"/>
      <c r="AX61" s="2" t="str">
        <f t="shared" si="18"/>
        <v>null</v>
      </c>
      <c r="AY61" s="2" t="str">
        <f t="shared" si="19"/>
        <v>null</v>
      </c>
      <c r="AZ61" s="2" t="str">
        <f t="shared" si="20"/>
        <v>null</v>
      </c>
      <c r="BA61" s="16"/>
    </row>
    <row r="62" spans="1:53" x14ac:dyDescent="0.25">
      <c r="A62" s="2" t="s">
        <v>92</v>
      </c>
      <c r="B62" s="2">
        <v>2015</v>
      </c>
      <c r="C62" s="2">
        <v>7199.7387699999999</v>
      </c>
      <c r="D62" s="2">
        <v>73.989997860000003</v>
      </c>
      <c r="E62" s="2">
        <v>99.196327310000001</v>
      </c>
      <c r="F62" s="2">
        <v>0</v>
      </c>
      <c r="G62" s="2">
        <v>0.80367269050000001</v>
      </c>
      <c r="H62" s="2">
        <v>0</v>
      </c>
      <c r="I62" s="2">
        <v>98.016140340000007</v>
      </c>
      <c r="J62" s="2">
        <v>0</v>
      </c>
      <c r="K62" s="2">
        <v>1.98385966</v>
      </c>
      <c r="L62" s="2">
        <v>0</v>
      </c>
      <c r="M62" s="2">
        <v>99.611207719999996</v>
      </c>
      <c r="N62" s="2">
        <v>0</v>
      </c>
      <c r="O62" s="2">
        <v>0.3887922761</v>
      </c>
      <c r="P62" s="2">
        <v>0</v>
      </c>
      <c r="Q62" s="2" t="str">
        <f t="shared" si="0"/>
        <v>Bulgaria|2015</v>
      </c>
      <c r="R62" s="2">
        <f t="shared" si="1"/>
        <v>5</v>
      </c>
      <c r="T62" s="2">
        <f t="shared" si="24"/>
        <v>-3.6982073999999442E-2</v>
      </c>
      <c r="U62" s="2">
        <f t="shared" si="28"/>
        <v>-0.12297047400000168</v>
      </c>
      <c r="V62" s="2">
        <f t="shared" si="2"/>
        <v>-1.6507464000000027E-2</v>
      </c>
      <c r="W62" s="2">
        <f t="shared" si="3"/>
        <v>99</v>
      </c>
      <c r="X62" s="2">
        <f t="shared" si="4"/>
        <v>98</v>
      </c>
      <c r="Y62" s="2">
        <f t="shared" si="5"/>
        <v>100</v>
      </c>
      <c r="Z62" s="2" t="str">
        <f t="shared" si="6"/>
        <v/>
      </c>
      <c r="AA62" s="2" t="str">
        <f t="shared" si="7"/>
        <v/>
      </c>
      <c r="AB62" s="2" t="str">
        <f t="shared" si="8"/>
        <v>Fully Accessible</v>
      </c>
      <c r="AC62" s="2">
        <f t="shared" si="9"/>
        <v>-0.10646301000000165</v>
      </c>
      <c r="AE62" s="10" t="s">
        <v>122</v>
      </c>
      <c r="AF62" s="11" t="s">
        <v>57</v>
      </c>
      <c r="AH62" s="6" t="str">
        <f t="shared" si="10"/>
        <v>Latin America &amp; Caribbean</v>
      </c>
      <c r="AI62" s="6"/>
      <c r="AJ62" s="6"/>
      <c r="AK62" s="10">
        <f t="shared" si="26"/>
        <v>0</v>
      </c>
      <c r="AL62" s="6"/>
      <c r="AM62" s="6"/>
      <c r="AN62" s="6"/>
      <c r="AO62" s="10">
        <f t="shared" si="12"/>
        <v>0</v>
      </c>
      <c r="AP62" s="6"/>
      <c r="AQ62" s="6"/>
      <c r="AR62" s="6"/>
      <c r="AS62" s="10">
        <f t="shared" si="15"/>
        <v>0</v>
      </c>
      <c r="AT62" s="6"/>
      <c r="AU62" s="6"/>
      <c r="AX62" s="2">
        <f t="shared" si="18"/>
        <v>14148.183594</v>
      </c>
      <c r="AY62" s="2">
        <f t="shared" si="19"/>
        <v>149.67599487000001</v>
      </c>
      <c r="AZ62" s="2">
        <f t="shared" si="20"/>
        <v>13998.50759913</v>
      </c>
      <c r="BA62" s="6"/>
    </row>
    <row r="63" spans="1:53" x14ac:dyDescent="0.25">
      <c r="A63" s="2" t="s">
        <v>92</v>
      </c>
      <c r="B63" s="2">
        <v>2020</v>
      </c>
      <c r="C63" s="2">
        <v>6948.4448240000002</v>
      </c>
      <c r="D63" s="2">
        <v>75.685997009999994</v>
      </c>
      <c r="E63" s="2">
        <v>99.011416940000004</v>
      </c>
      <c r="F63" s="2">
        <v>0</v>
      </c>
      <c r="G63" s="2">
        <v>0.98858306070000002</v>
      </c>
      <c r="H63" s="2">
        <v>0</v>
      </c>
      <c r="I63" s="2">
        <v>97.401287969999998</v>
      </c>
      <c r="J63" s="2">
        <v>0</v>
      </c>
      <c r="K63" s="2">
        <v>2.5987120309999998</v>
      </c>
      <c r="L63" s="2">
        <v>0</v>
      </c>
      <c r="M63" s="2">
        <v>99.528670399999996</v>
      </c>
      <c r="N63" s="2">
        <v>0</v>
      </c>
      <c r="O63" s="2">
        <v>0.47132960070000002</v>
      </c>
      <c r="P63" s="2">
        <v>0</v>
      </c>
      <c r="Q63" s="2" t="str">
        <f t="shared" si="0"/>
        <v>Bulgaria|2020</v>
      </c>
      <c r="R63" s="2" t="str">
        <f t="shared" si="1"/>
        <v xml:space="preserve"> </v>
      </c>
      <c r="T63" s="2" t="b">
        <f t="shared" si="24"/>
        <v>0</v>
      </c>
      <c r="U63" s="2" t="b">
        <f t="shared" si="28"/>
        <v>0</v>
      </c>
      <c r="V63" s="2" t="b">
        <f t="shared" si="2"/>
        <v>0</v>
      </c>
      <c r="W63" s="2">
        <f t="shared" si="3"/>
        <v>99</v>
      </c>
      <c r="X63" s="2">
        <f t="shared" si="4"/>
        <v>97</v>
      </c>
      <c r="Y63" s="2">
        <f t="shared" si="5"/>
        <v>100</v>
      </c>
      <c r="Z63" s="2" t="str">
        <f t="shared" si="6"/>
        <v/>
      </c>
      <c r="AA63" s="2" t="str">
        <f t="shared" si="7"/>
        <v/>
      </c>
      <c r="AB63" s="2" t="str">
        <f t="shared" si="8"/>
        <v/>
      </c>
      <c r="AC63" s="2">
        <f t="shared" si="9"/>
        <v>0</v>
      </c>
      <c r="AE63" s="10" t="s">
        <v>123</v>
      </c>
      <c r="AF63" s="11" t="s">
        <v>57</v>
      </c>
      <c r="AH63" s="6" t="str">
        <f t="shared" si="10"/>
        <v>Latin America &amp; Caribbean</v>
      </c>
      <c r="AI63" s="6"/>
      <c r="AJ63" s="6"/>
      <c r="AK63" s="10">
        <f t="shared" si="26"/>
        <v>0.11749468399999899</v>
      </c>
      <c r="AL63" s="6"/>
      <c r="AM63" s="6"/>
      <c r="AN63" s="6"/>
      <c r="AO63" s="10">
        <f t="shared" si="12"/>
        <v>0.21868411800000159</v>
      </c>
      <c r="AP63" s="6"/>
      <c r="AQ63" s="6"/>
      <c r="AR63" s="6"/>
      <c r="AS63" s="10">
        <f t="shared" si="15"/>
        <v>1.1664354000001254E-2</v>
      </c>
      <c r="AT63" s="6"/>
      <c r="AU63" s="6"/>
      <c r="AX63" s="2" t="str">
        <f t="shared" si="18"/>
        <v>null</v>
      </c>
      <c r="AY63" s="2" t="str">
        <f t="shared" si="19"/>
        <v>null</v>
      </c>
      <c r="AZ63" s="2" t="str">
        <f t="shared" si="20"/>
        <v>null</v>
      </c>
      <c r="BA63" s="6"/>
    </row>
    <row r="64" spans="1:53" x14ac:dyDescent="0.25">
      <c r="A64" s="2" t="s">
        <v>93</v>
      </c>
      <c r="B64" s="2">
        <v>2015</v>
      </c>
      <c r="C64" s="2">
        <v>18110.615229999999</v>
      </c>
      <c r="D64" s="2">
        <v>27.530000690000001</v>
      </c>
      <c r="E64" s="2">
        <v>50.137131089999997</v>
      </c>
      <c r="F64" s="2">
        <v>25.67354095</v>
      </c>
      <c r="G64" s="2">
        <v>22.430178909999999</v>
      </c>
      <c r="H64" s="2">
        <v>1.7591490430000001</v>
      </c>
      <c r="I64" s="2">
        <v>38.855163699999999</v>
      </c>
      <c r="J64" s="2">
        <v>30.202184890000002</v>
      </c>
      <c r="K64" s="2">
        <v>28.648694299999999</v>
      </c>
      <c r="L64" s="2">
        <v>2.2939571060000001</v>
      </c>
      <c r="M64" s="2">
        <v>79.835792159999997</v>
      </c>
      <c r="N64" s="2">
        <v>13.75233459</v>
      </c>
      <c r="O64" s="2">
        <v>6.0605534319999999</v>
      </c>
      <c r="P64" s="2">
        <v>0.35131981779999999</v>
      </c>
      <c r="Q64" s="2" t="str">
        <f t="shared" si="0"/>
        <v>Burkina Faso|2015</v>
      </c>
      <c r="R64" s="2">
        <f t="shared" si="1"/>
        <v>5</v>
      </c>
      <c r="T64" s="2">
        <f t="shared" si="24"/>
        <v>-0.58445532599999983</v>
      </c>
      <c r="U64" s="2">
        <f t="shared" si="28"/>
        <v>-1.2273809599999992</v>
      </c>
      <c r="V64" s="2">
        <f t="shared" si="2"/>
        <v>4.9225276000001372E-2</v>
      </c>
      <c r="W64" s="2">
        <f t="shared" si="3"/>
        <v>50</v>
      </c>
      <c r="X64" s="2">
        <f t="shared" si="4"/>
        <v>39</v>
      </c>
      <c r="Y64" s="2">
        <f t="shared" si="5"/>
        <v>80</v>
      </c>
      <c r="Z64" s="2" t="str">
        <f t="shared" si="6"/>
        <v/>
      </c>
      <c r="AA64" s="2" t="str">
        <f t="shared" si="7"/>
        <v/>
      </c>
      <c r="AB64" s="2" t="str">
        <f t="shared" si="8"/>
        <v>Fully Accessible</v>
      </c>
      <c r="AC64" s="2">
        <f t="shared" si="9"/>
        <v>-1.2766062360000006</v>
      </c>
      <c r="AE64" s="10" t="s">
        <v>124</v>
      </c>
      <c r="AF64" s="11" t="s">
        <v>57</v>
      </c>
      <c r="AH64" s="6" t="str">
        <f t="shared" si="10"/>
        <v>Latin America &amp; Caribbean</v>
      </c>
      <c r="AI64" s="6"/>
      <c r="AJ64" s="6"/>
      <c r="AK64" s="10">
        <f t="shared" si="26"/>
        <v>0.45919681200000184</v>
      </c>
      <c r="AL64" s="6"/>
      <c r="AM64" s="6"/>
      <c r="AN64" s="6"/>
      <c r="AO64" s="10">
        <f t="shared" si="12"/>
        <v>0.89965259999999891</v>
      </c>
      <c r="AP64" s="6"/>
      <c r="AQ64" s="6"/>
      <c r="AR64" s="6"/>
      <c r="AS64" s="10">
        <f t="shared" si="15"/>
        <v>0.17353215999999919</v>
      </c>
      <c r="AT64" s="6"/>
      <c r="AU64" s="6"/>
      <c r="AX64" s="2">
        <f t="shared" si="18"/>
        <v>39013.892569999996</v>
      </c>
      <c r="AY64" s="2">
        <f t="shared" si="19"/>
        <v>58.137001040000001</v>
      </c>
      <c r="AZ64" s="2">
        <f t="shared" si="20"/>
        <v>38955.755568959998</v>
      </c>
      <c r="BA64" s="6"/>
    </row>
    <row r="65" spans="1:53" x14ac:dyDescent="0.25">
      <c r="A65" s="2" t="s">
        <v>93</v>
      </c>
      <c r="B65" s="2">
        <v>2020</v>
      </c>
      <c r="C65" s="2">
        <v>20903.277340000001</v>
      </c>
      <c r="D65" s="2">
        <v>30.60700035</v>
      </c>
      <c r="E65" s="2">
        <v>47.214854459999998</v>
      </c>
      <c r="F65" s="2">
        <v>31.2730034</v>
      </c>
      <c r="G65" s="2">
        <v>21.15863263</v>
      </c>
      <c r="H65" s="2">
        <v>0.35350950240000001</v>
      </c>
      <c r="I65" s="2">
        <v>32.718258900000002</v>
      </c>
      <c r="J65" s="2">
        <v>38.626902540000003</v>
      </c>
      <c r="K65" s="2">
        <v>28.3404457</v>
      </c>
      <c r="L65" s="2">
        <v>0.31439286259999999</v>
      </c>
      <c r="M65" s="2">
        <v>80.081918540000004</v>
      </c>
      <c r="N65" s="2">
        <v>14.60004919</v>
      </c>
      <c r="O65" s="2">
        <v>4.8758364869999999</v>
      </c>
      <c r="P65" s="2">
        <v>0.44219578050000002</v>
      </c>
      <c r="Q65" s="2" t="str">
        <f t="shared" si="0"/>
        <v>Burkina Faso|2020</v>
      </c>
      <c r="R65" s="2" t="str">
        <f t="shared" si="1"/>
        <v xml:space="preserve"> </v>
      </c>
      <c r="T65" s="2" t="b">
        <f t="shared" si="24"/>
        <v>0</v>
      </c>
      <c r="U65" s="2" t="b">
        <f t="shared" si="28"/>
        <v>0</v>
      </c>
      <c r="V65" s="2" t="b">
        <f t="shared" si="2"/>
        <v>0</v>
      </c>
      <c r="W65" s="2">
        <f t="shared" si="3"/>
        <v>47</v>
      </c>
      <c r="X65" s="2">
        <f t="shared" si="4"/>
        <v>33</v>
      </c>
      <c r="Y65" s="2">
        <f t="shared" si="5"/>
        <v>80</v>
      </c>
      <c r="Z65" s="2" t="str">
        <f t="shared" si="6"/>
        <v/>
      </c>
      <c r="AA65" s="2" t="str">
        <f t="shared" si="7"/>
        <v/>
      </c>
      <c r="AB65" s="2" t="str">
        <f t="shared" si="8"/>
        <v/>
      </c>
      <c r="AC65" s="2">
        <f t="shared" si="9"/>
        <v>0</v>
      </c>
      <c r="AE65" s="10" t="s">
        <v>125</v>
      </c>
      <c r="AF65" s="11" t="s">
        <v>56</v>
      </c>
      <c r="AH65" s="6" t="str">
        <f t="shared" si="10"/>
        <v>Middle East &amp; North Africa</v>
      </c>
      <c r="AI65" s="6"/>
      <c r="AJ65" s="6"/>
      <c r="AK65" s="10">
        <f t="shared" si="26"/>
        <v>6.669168399999989E-2</v>
      </c>
      <c r="AL65" s="6"/>
      <c r="AM65" s="6"/>
      <c r="AN65" s="6"/>
      <c r="AO65" s="10">
        <f t="shared" si="12"/>
        <v>0.1061914459999997</v>
      </c>
      <c r="AP65" s="6"/>
      <c r="AQ65" s="6"/>
      <c r="AR65" s="6"/>
      <c r="AS65" s="10">
        <f t="shared" si="15"/>
        <v>1.3872273999999152E-2</v>
      </c>
      <c r="AT65" s="6"/>
      <c r="AU65" s="6"/>
      <c r="AX65" s="2" t="str">
        <f t="shared" si="18"/>
        <v>null</v>
      </c>
      <c r="AY65" s="2" t="str">
        <f t="shared" si="19"/>
        <v>null</v>
      </c>
      <c r="AZ65" s="2" t="str">
        <f t="shared" si="20"/>
        <v>null</v>
      </c>
      <c r="BA65" s="6"/>
    </row>
    <row r="66" spans="1:53" x14ac:dyDescent="0.25">
      <c r="A66" s="2" t="s">
        <v>94</v>
      </c>
      <c r="B66" s="2">
        <v>2015</v>
      </c>
      <c r="C66" s="2">
        <v>10160.034180000001</v>
      </c>
      <c r="D66" s="2">
        <v>12.07800007</v>
      </c>
      <c r="E66" s="2">
        <v>59.581469249999998</v>
      </c>
      <c r="F66" s="2">
        <v>19.538891840000002</v>
      </c>
      <c r="G66" s="2">
        <v>14.864992579999999</v>
      </c>
      <c r="H66" s="2">
        <v>6.0146463399999996</v>
      </c>
      <c r="I66" s="2">
        <v>55.55826691</v>
      </c>
      <c r="J66" s="2">
        <v>21.166795570000001</v>
      </c>
      <c r="K66" s="2">
        <v>16.594144570000001</v>
      </c>
      <c r="L66" s="2">
        <v>6.6807929509999999</v>
      </c>
      <c r="M66" s="2">
        <v>88.868437589999999</v>
      </c>
      <c r="N66" s="2">
        <v>7.6885395340000002</v>
      </c>
      <c r="O66" s="2">
        <v>2.2776018659999999</v>
      </c>
      <c r="P66" s="2">
        <v>1.1654210119999999</v>
      </c>
      <c r="Q66" s="2" t="str">
        <f t="shared" si="0"/>
        <v>Burundi|2015</v>
      </c>
      <c r="R66" s="2">
        <f t="shared" si="1"/>
        <v>5</v>
      </c>
      <c r="T66" s="2">
        <f t="shared" si="24"/>
        <v>0.5251306</v>
      </c>
      <c r="U66" s="2">
        <f t="shared" si="28"/>
        <v>0.42549967199999938</v>
      </c>
      <c r="V66" s="2">
        <f t="shared" si="2"/>
        <v>0.36013465400000089</v>
      </c>
      <c r="W66" s="2">
        <f t="shared" si="3"/>
        <v>60</v>
      </c>
      <c r="X66" s="2">
        <f t="shared" si="4"/>
        <v>56</v>
      </c>
      <c r="Y66" s="2">
        <f t="shared" si="5"/>
        <v>89</v>
      </c>
      <c r="Z66" s="2" t="str">
        <f t="shared" si="6"/>
        <v/>
      </c>
      <c r="AA66" s="2" t="str">
        <f t="shared" si="7"/>
        <v/>
      </c>
      <c r="AB66" s="2" t="str">
        <f t="shared" si="8"/>
        <v>Fully Accessible</v>
      </c>
      <c r="AC66" s="2">
        <f t="shared" si="9"/>
        <v>6.5365017999998498E-2</v>
      </c>
      <c r="AE66" s="10" t="s">
        <v>126</v>
      </c>
      <c r="AF66" s="11" t="s">
        <v>57</v>
      </c>
      <c r="AH66" s="6" t="str">
        <f t="shared" si="10"/>
        <v>Latin America &amp; Caribbean</v>
      </c>
      <c r="AI66" s="6"/>
      <c r="AJ66" s="6"/>
      <c r="AK66" s="10">
        <f t="shared" si="26"/>
        <v>0.47688753399999939</v>
      </c>
      <c r="AL66" s="6"/>
      <c r="AM66" s="6"/>
      <c r="AN66" s="6"/>
      <c r="AO66" s="10">
        <f t="shared" si="12"/>
        <v>1.0986361520000003</v>
      </c>
      <c r="AP66" s="6"/>
      <c r="AQ66" s="6"/>
      <c r="AR66" s="6"/>
      <c r="AS66" s="10">
        <f t="shared" si="15"/>
        <v>0.14089043199999765</v>
      </c>
      <c r="AT66" s="6"/>
      <c r="AU66" s="6"/>
      <c r="AX66" s="2">
        <f t="shared" si="18"/>
        <v>22050.815430000002</v>
      </c>
      <c r="AY66" s="2">
        <f t="shared" si="19"/>
        <v>25.786000250000001</v>
      </c>
      <c r="AZ66" s="2">
        <f t="shared" si="20"/>
        <v>22025.029429750004</v>
      </c>
      <c r="BA66" s="16"/>
    </row>
    <row r="67" spans="1:53" x14ac:dyDescent="0.25">
      <c r="A67" s="2" t="s">
        <v>94</v>
      </c>
      <c r="B67" s="2">
        <v>2020</v>
      </c>
      <c r="C67" s="2">
        <v>11890.78125</v>
      </c>
      <c r="D67" s="2">
        <v>13.708000180000001</v>
      </c>
      <c r="E67" s="2">
        <v>62.207122249999998</v>
      </c>
      <c r="F67" s="2">
        <v>19.439693139999999</v>
      </c>
      <c r="G67" s="2">
        <v>14.758259689999999</v>
      </c>
      <c r="H67" s="2">
        <v>3.5949249129999998</v>
      </c>
      <c r="I67" s="2">
        <v>57.685765269999997</v>
      </c>
      <c r="J67" s="2">
        <v>21.251482129999999</v>
      </c>
      <c r="K67" s="2">
        <v>16.896752379999999</v>
      </c>
      <c r="L67" s="2">
        <v>4.1660002189999998</v>
      </c>
      <c r="M67" s="2">
        <v>90.669110860000004</v>
      </c>
      <c r="N67" s="2">
        <v>8.0344628690000004</v>
      </c>
      <c r="O67" s="2">
        <v>1.2964262689999999</v>
      </c>
      <c r="P67" s="2">
        <v>0</v>
      </c>
      <c r="Q67" s="2" t="str">
        <f t="shared" si="0"/>
        <v>Burundi|2020</v>
      </c>
      <c r="R67" s="2" t="str">
        <f t="shared" si="1"/>
        <v xml:space="preserve"> </v>
      </c>
      <c r="T67" s="2" t="b">
        <f t="shared" si="24"/>
        <v>0</v>
      </c>
      <c r="U67" s="2" t="b">
        <f t="shared" si="28"/>
        <v>0</v>
      </c>
      <c r="V67" s="2" t="b">
        <f t="shared" si="2"/>
        <v>0</v>
      </c>
      <c r="W67" s="2">
        <f t="shared" si="3"/>
        <v>62</v>
      </c>
      <c r="X67" s="2">
        <f t="shared" si="4"/>
        <v>58</v>
      </c>
      <c r="Y67" s="2">
        <f t="shared" si="5"/>
        <v>91</v>
      </c>
      <c r="Z67" s="2" t="str">
        <f t="shared" si="6"/>
        <v/>
      </c>
      <c r="AA67" s="2" t="str">
        <f t="shared" si="7"/>
        <v/>
      </c>
      <c r="AB67" s="2" t="str">
        <f t="shared" si="8"/>
        <v/>
      </c>
      <c r="AC67" s="2">
        <f t="shared" si="9"/>
        <v>0</v>
      </c>
      <c r="AE67" s="10" t="s">
        <v>127</v>
      </c>
      <c r="AF67" s="11" t="s">
        <v>63</v>
      </c>
      <c r="AH67" s="6" t="str">
        <f t="shared" si="10"/>
        <v>Sub-Saharan Africa</v>
      </c>
      <c r="AI67" s="6"/>
      <c r="AJ67" s="6"/>
      <c r="AK67" s="10">
        <f t="shared" si="26"/>
        <v>0.24360720499999644</v>
      </c>
      <c r="AL67" s="6"/>
      <c r="AM67" s="6"/>
      <c r="AN67" s="6"/>
      <c r="AO67" s="10">
        <f t="shared" si="12"/>
        <v>0</v>
      </c>
      <c r="AP67" s="6"/>
      <c r="AQ67" s="6"/>
      <c r="AR67" s="6"/>
      <c r="AS67" s="10">
        <f t="shared" si="15"/>
        <v>0</v>
      </c>
      <c r="AT67" s="6"/>
      <c r="AU67" s="6"/>
      <c r="AX67" s="2" t="str">
        <f t="shared" si="18"/>
        <v>null</v>
      </c>
      <c r="AY67" s="2" t="str">
        <f t="shared" si="19"/>
        <v>null</v>
      </c>
      <c r="AZ67" s="2" t="str">
        <f t="shared" si="20"/>
        <v>null</v>
      </c>
      <c r="BA67" s="6"/>
    </row>
    <row r="68" spans="1:53" x14ac:dyDescent="0.25">
      <c r="A68" s="2" t="s">
        <v>95</v>
      </c>
      <c r="B68" s="2">
        <v>2015</v>
      </c>
      <c r="C68" s="2">
        <v>524.73999019999997</v>
      </c>
      <c r="D68" s="2">
        <v>64.299995420000002</v>
      </c>
      <c r="E68" s="2">
        <v>85.443342369999996</v>
      </c>
      <c r="F68" s="2">
        <v>10.253077619999999</v>
      </c>
      <c r="G68" s="2">
        <v>4.1519483189999997</v>
      </c>
      <c r="H68" s="2">
        <v>0.15163169109999999</v>
      </c>
      <c r="I68" s="2">
        <v>72.832314109999999</v>
      </c>
      <c r="J68" s="2">
        <v>16.379794579999999</v>
      </c>
      <c r="K68" s="2">
        <v>10.436760769999999</v>
      </c>
      <c r="L68" s="2">
        <v>0.35113053970000002</v>
      </c>
      <c r="M68" s="2">
        <v>92.445114509999996</v>
      </c>
      <c r="N68" s="2">
        <v>6.8514639109999997</v>
      </c>
      <c r="O68" s="2">
        <v>0.66255362809999996</v>
      </c>
      <c r="P68" s="2">
        <v>4.0867953800000002E-2</v>
      </c>
      <c r="Q68" s="2" t="str">
        <f t="shared" si="0"/>
        <v>Cabo Verde|2015</v>
      </c>
      <c r="R68" s="2">
        <f t="shared" si="1"/>
        <v>5</v>
      </c>
      <c r="T68" s="2">
        <f t="shared" si="24"/>
        <v>0.66525281000000125</v>
      </c>
      <c r="U68" s="2">
        <f t="shared" si="28"/>
        <v>1.4564422659999992</v>
      </c>
      <c r="V68" s="2">
        <f t="shared" si="2"/>
        <v>0.13097709799999963</v>
      </c>
      <c r="W68" s="2">
        <f t="shared" si="3"/>
        <v>85</v>
      </c>
      <c r="X68" s="2">
        <f t="shared" si="4"/>
        <v>73</v>
      </c>
      <c r="Y68" s="2">
        <f t="shared" si="5"/>
        <v>92</v>
      </c>
      <c r="Z68" s="2" t="str">
        <f t="shared" si="6"/>
        <v/>
      </c>
      <c r="AA68" s="2" t="str">
        <f t="shared" si="7"/>
        <v/>
      </c>
      <c r="AB68" s="2" t="str">
        <f t="shared" si="8"/>
        <v>Fully Accessible</v>
      </c>
      <c r="AC68" s="2">
        <f t="shared" si="9"/>
        <v>1.3254651679999996</v>
      </c>
      <c r="AE68" s="10" t="s">
        <v>128</v>
      </c>
      <c r="AF68" s="11" t="s">
        <v>63</v>
      </c>
      <c r="AH68" s="6" t="str">
        <f t="shared" si="10"/>
        <v>Sub-Saharan Africa</v>
      </c>
      <c r="AI68" s="6"/>
      <c r="AJ68" s="6"/>
      <c r="AK68" s="10">
        <f t="shared" si="26"/>
        <v>0.38462665000000129</v>
      </c>
      <c r="AL68" s="6"/>
      <c r="AM68" s="6"/>
      <c r="AN68" s="6"/>
      <c r="AO68" s="10">
        <f t="shared" si="12"/>
        <v>0</v>
      </c>
      <c r="AP68" s="6"/>
      <c r="AQ68" s="6"/>
      <c r="AR68" s="6"/>
      <c r="AS68" s="10">
        <f t="shared" si="15"/>
        <v>0</v>
      </c>
      <c r="AT68" s="6"/>
      <c r="AU68" s="6"/>
      <c r="AX68" s="2">
        <f t="shared" si="18"/>
        <v>1080.7279662999999</v>
      </c>
      <c r="AY68" s="2">
        <f t="shared" si="19"/>
        <v>130.95199585</v>
      </c>
      <c r="AZ68" s="2">
        <f t="shared" si="20"/>
        <v>949.77597044999993</v>
      </c>
      <c r="BA68" s="16"/>
    </row>
    <row r="69" spans="1:53" x14ac:dyDescent="0.25">
      <c r="A69" s="2" t="s">
        <v>95</v>
      </c>
      <c r="B69" s="2">
        <v>2020</v>
      </c>
      <c r="C69" s="2">
        <v>555.98797609999997</v>
      </c>
      <c r="D69" s="2">
        <v>66.652000430000001</v>
      </c>
      <c r="E69" s="2">
        <v>88.769606420000002</v>
      </c>
      <c r="F69" s="2">
        <v>7.9041508460000003</v>
      </c>
      <c r="G69" s="2">
        <v>3.2091477159999999</v>
      </c>
      <c r="H69" s="2">
        <v>0.1170950144</v>
      </c>
      <c r="I69" s="2">
        <v>80.114525439999994</v>
      </c>
      <c r="J69" s="2">
        <v>9.9111270220000005</v>
      </c>
      <c r="K69" s="2">
        <v>9.6232170030000006</v>
      </c>
      <c r="L69" s="2">
        <v>0.35113053970000002</v>
      </c>
      <c r="M69" s="2">
        <v>93.1</v>
      </c>
      <c r="N69" s="2">
        <v>6.9</v>
      </c>
      <c r="O69" s="2">
        <v>0</v>
      </c>
      <c r="P69" s="2">
        <v>0</v>
      </c>
      <c r="Q69" s="2" t="str">
        <f t="shared" si="0"/>
        <v>Cabo Verde|2020</v>
      </c>
      <c r="R69" s="2" t="str">
        <f t="shared" si="1"/>
        <v xml:space="preserve"> </v>
      </c>
      <c r="T69" s="2" t="b">
        <f t="shared" si="24"/>
        <v>0</v>
      </c>
      <c r="U69" s="2" t="b">
        <f t="shared" si="28"/>
        <v>0</v>
      </c>
      <c r="V69" s="2" t="b">
        <f t="shared" si="2"/>
        <v>0</v>
      </c>
      <c r="W69" s="2">
        <f t="shared" si="3"/>
        <v>89</v>
      </c>
      <c r="X69" s="2">
        <f t="shared" si="4"/>
        <v>80</v>
      </c>
      <c r="Y69" s="2">
        <f t="shared" si="5"/>
        <v>93</v>
      </c>
      <c r="Z69" s="2" t="str">
        <f t="shared" si="6"/>
        <v/>
      </c>
      <c r="AA69" s="2" t="str">
        <f t="shared" si="7"/>
        <v/>
      </c>
      <c r="AB69" s="2" t="str">
        <f t="shared" si="8"/>
        <v/>
      </c>
      <c r="AC69" s="2">
        <f t="shared" si="9"/>
        <v>0</v>
      </c>
      <c r="AE69" s="10" t="s">
        <v>129</v>
      </c>
      <c r="AF69" s="11" t="s">
        <v>53</v>
      </c>
      <c r="AH69" s="6" t="str">
        <f t="shared" si="10"/>
        <v>Europe &amp; Central Asia</v>
      </c>
      <c r="AI69" s="6"/>
      <c r="AJ69" s="6"/>
      <c r="AK69" s="10">
        <f t="shared" si="26"/>
        <v>-3.2105157999998822E-2</v>
      </c>
      <c r="AL69" s="6"/>
      <c r="AM69" s="6"/>
      <c r="AN69" s="6"/>
      <c r="AO69" s="10">
        <f t="shared" si="12"/>
        <v>0</v>
      </c>
      <c r="AP69" s="6"/>
      <c r="AQ69" s="6"/>
      <c r="AR69" s="6"/>
      <c r="AS69" s="10">
        <f t="shared" si="15"/>
        <v>0</v>
      </c>
      <c r="AT69" s="6"/>
      <c r="AU69" s="6"/>
      <c r="AX69" s="2" t="str">
        <f t="shared" si="18"/>
        <v>null</v>
      </c>
      <c r="AY69" s="2" t="str">
        <f t="shared" si="19"/>
        <v>null</v>
      </c>
      <c r="AZ69" s="2" t="str">
        <f t="shared" si="20"/>
        <v>null</v>
      </c>
      <c r="BA69" s="16"/>
    </row>
    <row r="70" spans="1:53" x14ac:dyDescent="0.25">
      <c r="A70" s="2" t="s">
        <v>96</v>
      </c>
      <c r="B70" s="2">
        <v>2015</v>
      </c>
      <c r="C70" s="2">
        <v>15521.434569999999</v>
      </c>
      <c r="D70" s="2">
        <v>22.187999730000001</v>
      </c>
      <c r="E70" s="2">
        <v>68.443848959999997</v>
      </c>
      <c r="F70" s="2">
        <v>8.6032481930000007</v>
      </c>
      <c r="G70" s="2">
        <v>9.6029948170000008</v>
      </c>
      <c r="H70" s="2">
        <v>13.34990803</v>
      </c>
      <c r="I70" s="2">
        <v>62.711116680000003</v>
      </c>
      <c r="J70" s="2">
        <v>9.432045638</v>
      </c>
      <c r="K70" s="2">
        <v>11.750895959999999</v>
      </c>
      <c r="L70" s="2">
        <v>16.105941720000001</v>
      </c>
      <c r="M70" s="2">
        <v>88.548191439999997</v>
      </c>
      <c r="N70" s="2">
        <v>5.6967034720000003</v>
      </c>
      <c r="O70" s="2">
        <v>2.0704456869999999</v>
      </c>
      <c r="P70" s="2">
        <v>3.6846594000000001</v>
      </c>
      <c r="Q70" s="2" t="str">
        <f t="shared" si="0"/>
        <v>Cambodia|2015</v>
      </c>
      <c r="R70" s="2">
        <f t="shared" si="1"/>
        <v>5</v>
      </c>
      <c r="T70" s="2">
        <f t="shared" si="24"/>
        <v>0.55520720199999973</v>
      </c>
      <c r="U70" s="2">
        <f t="shared" si="28"/>
        <v>0.47120783000000016</v>
      </c>
      <c r="V70" s="2">
        <f t="shared" si="2"/>
        <v>0.38197714599999982</v>
      </c>
      <c r="W70" s="2">
        <f t="shared" si="3"/>
        <v>68</v>
      </c>
      <c r="X70" s="2">
        <f t="shared" si="4"/>
        <v>63</v>
      </c>
      <c r="Y70" s="2">
        <f t="shared" si="5"/>
        <v>89</v>
      </c>
      <c r="Z70" s="2" t="str">
        <f t="shared" si="6"/>
        <v/>
      </c>
      <c r="AA70" s="2" t="str">
        <f t="shared" si="7"/>
        <v/>
      </c>
      <c r="AB70" s="2" t="str">
        <f t="shared" si="8"/>
        <v>Fully Accessible</v>
      </c>
      <c r="AC70" s="2">
        <f t="shared" si="9"/>
        <v>8.9230684000000338E-2</v>
      </c>
      <c r="AE70" s="10" t="s">
        <v>130</v>
      </c>
      <c r="AF70" s="11" t="s">
        <v>63</v>
      </c>
      <c r="AH70" s="6" t="str">
        <f t="shared" si="10"/>
        <v>Sub-Saharan Africa</v>
      </c>
      <c r="AI70" s="6"/>
      <c r="AJ70" s="6"/>
      <c r="AK70" s="10">
        <f t="shared" si="26"/>
        <v>0.80982314599999938</v>
      </c>
      <c r="AL70" s="6"/>
      <c r="AM70" s="6"/>
      <c r="AN70" s="6"/>
      <c r="AO70" s="10">
        <f t="shared" si="12"/>
        <v>0.86829276799999922</v>
      </c>
      <c r="AP70" s="6"/>
      <c r="AQ70" s="6"/>
      <c r="AR70" s="6"/>
      <c r="AS70" s="10">
        <f t="shared" si="15"/>
        <v>0.36103258400000016</v>
      </c>
      <c r="AT70" s="6"/>
      <c r="AU70" s="6"/>
      <c r="AX70" s="2">
        <f t="shared" si="18"/>
        <v>32240.405270000003</v>
      </c>
      <c r="AY70" s="2">
        <f t="shared" si="19"/>
        <v>46.420000080000001</v>
      </c>
      <c r="AZ70" s="2">
        <f t="shared" si="20"/>
        <v>32193.985269920002</v>
      </c>
      <c r="BA70" s="6"/>
    </row>
    <row r="71" spans="1:53" x14ac:dyDescent="0.25">
      <c r="A71" s="2" t="s">
        <v>96</v>
      </c>
      <c r="B71" s="2">
        <v>2020</v>
      </c>
      <c r="C71" s="2">
        <v>16718.970700000002</v>
      </c>
      <c r="D71" s="2">
        <v>24.23200035</v>
      </c>
      <c r="E71" s="2">
        <v>71.219884969999995</v>
      </c>
      <c r="F71" s="2">
        <v>13.90222204</v>
      </c>
      <c r="G71" s="2">
        <v>5.6772185579999999</v>
      </c>
      <c r="H71" s="2">
        <v>9.2006744339999997</v>
      </c>
      <c r="I71" s="2">
        <v>65.067155830000004</v>
      </c>
      <c r="J71" s="2">
        <v>15.51772278</v>
      </c>
      <c r="K71" s="2">
        <v>7.4928993070000001</v>
      </c>
      <c r="L71" s="2">
        <v>11.92222209</v>
      </c>
      <c r="M71" s="2">
        <v>90.458077169999996</v>
      </c>
      <c r="N71" s="2">
        <v>8.8509147200000005</v>
      </c>
      <c r="O71" s="2">
        <v>0</v>
      </c>
      <c r="P71" s="2">
        <v>0.69100811439999998</v>
      </c>
      <c r="Q71" s="2" t="str">
        <f t="shared" si="0"/>
        <v>Cambodia|2020</v>
      </c>
      <c r="R71" s="2" t="str">
        <f t="shared" si="1"/>
        <v xml:space="preserve"> </v>
      </c>
      <c r="T71" s="2" t="b">
        <f t="shared" si="24"/>
        <v>0</v>
      </c>
      <c r="U71" s="2" t="b">
        <f t="shared" si="28"/>
        <v>0</v>
      </c>
      <c r="V71" s="2" t="b">
        <f t="shared" si="2"/>
        <v>0</v>
      </c>
      <c r="W71" s="2">
        <f t="shared" si="3"/>
        <v>71</v>
      </c>
      <c r="X71" s="2">
        <f t="shared" si="4"/>
        <v>65</v>
      </c>
      <c r="Y71" s="2">
        <f t="shared" si="5"/>
        <v>90</v>
      </c>
      <c r="Z71" s="2" t="str">
        <f t="shared" si="6"/>
        <v/>
      </c>
      <c r="AA71" s="2" t="str">
        <f t="shared" si="7"/>
        <v/>
      </c>
      <c r="AB71" s="2" t="str">
        <f t="shared" si="8"/>
        <v/>
      </c>
      <c r="AC71" s="2">
        <f t="shared" si="9"/>
        <v>0</v>
      </c>
      <c r="AE71" s="10" t="s">
        <v>131</v>
      </c>
      <c r="AF71" s="11" t="s">
        <v>63</v>
      </c>
      <c r="AH71" s="6" t="str">
        <f t="shared" si="10"/>
        <v>Sub-Saharan Africa</v>
      </c>
      <c r="AI71" s="6"/>
      <c r="AJ71" s="6"/>
      <c r="AK71" s="10">
        <f t="shared" si="26"/>
        <v>1.5091011080000001</v>
      </c>
      <c r="AL71" s="6"/>
      <c r="AM71" s="6"/>
      <c r="AN71" s="6"/>
      <c r="AO71" s="10">
        <f t="shared" si="12"/>
        <v>1.5156743520000007</v>
      </c>
      <c r="AP71" s="6"/>
      <c r="AQ71" s="6"/>
      <c r="AR71" s="6"/>
      <c r="AS71" s="10">
        <f t="shared" si="15"/>
        <v>0.4507303239999999</v>
      </c>
      <c r="AT71" s="6"/>
      <c r="AU71" s="6"/>
      <c r="AX71" s="2" t="str">
        <f t="shared" si="18"/>
        <v>null</v>
      </c>
      <c r="AY71" s="2" t="str">
        <f t="shared" si="19"/>
        <v>null</v>
      </c>
      <c r="AZ71" s="2" t="str">
        <f t="shared" si="20"/>
        <v>null</v>
      </c>
      <c r="BA71" s="6"/>
    </row>
    <row r="72" spans="1:53" x14ac:dyDescent="0.25">
      <c r="A72" s="2" t="s">
        <v>97</v>
      </c>
      <c r="B72" s="2">
        <v>2015</v>
      </c>
      <c r="C72" s="2">
        <v>23298.376950000002</v>
      </c>
      <c r="D72" s="2">
        <v>54.57799911</v>
      </c>
      <c r="E72" s="2">
        <v>63.973990120000003</v>
      </c>
      <c r="F72" s="2">
        <v>11.23827056</v>
      </c>
      <c r="G72" s="2">
        <v>17.651358330000001</v>
      </c>
      <c r="H72" s="2">
        <v>7.1363809839999996</v>
      </c>
      <c r="I72" s="2">
        <v>42.005669210000001</v>
      </c>
      <c r="J72" s="2">
        <v>11.073386409999999</v>
      </c>
      <c r="K72" s="2">
        <v>32.39404459</v>
      </c>
      <c r="L72" s="2">
        <v>14.52689979</v>
      </c>
      <c r="M72" s="2">
        <v>82.256907909999995</v>
      </c>
      <c r="N72" s="2">
        <v>11.37549377</v>
      </c>
      <c r="O72" s="2">
        <v>5.3819035130000001</v>
      </c>
      <c r="P72" s="2">
        <v>0.98569480279999999</v>
      </c>
      <c r="Q72" s="2" t="str">
        <f t="shared" si="0"/>
        <v>Cameroon|2015</v>
      </c>
      <c r="R72" s="2">
        <f t="shared" si="1"/>
        <v>5</v>
      </c>
      <c r="T72" s="2">
        <f t="shared" si="24"/>
        <v>0.34928561199999847</v>
      </c>
      <c r="U72" s="2">
        <f t="shared" si="28"/>
        <v>0.30438238200000001</v>
      </c>
      <c r="V72" s="2">
        <f t="shared" si="2"/>
        <v>-3.4664609999998673E-2</v>
      </c>
      <c r="W72" s="2">
        <f t="shared" si="3"/>
        <v>64</v>
      </c>
      <c r="X72" s="2">
        <f t="shared" si="4"/>
        <v>42</v>
      </c>
      <c r="Y72" s="2">
        <f t="shared" si="5"/>
        <v>82</v>
      </c>
      <c r="Z72" s="2" t="str">
        <f t="shared" si="6"/>
        <v/>
      </c>
      <c r="AA72" s="2" t="str">
        <f t="shared" si="7"/>
        <v/>
      </c>
      <c r="AB72" s="2" t="str">
        <f t="shared" si="8"/>
        <v>Fully Accessible</v>
      </c>
      <c r="AC72" s="2">
        <f t="shared" si="9"/>
        <v>0.33904699199999866</v>
      </c>
      <c r="AE72" s="10" t="s">
        <v>132</v>
      </c>
      <c r="AF72" s="11" t="s">
        <v>53</v>
      </c>
      <c r="AH72" s="6" t="str">
        <f t="shared" si="10"/>
        <v>Europe &amp; Central Asia</v>
      </c>
      <c r="AI72" s="6"/>
      <c r="AJ72" s="6"/>
      <c r="AK72" s="10">
        <f t="shared" si="26"/>
        <v>0</v>
      </c>
      <c r="AL72" s="6"/>
      <c r="AM72" s="6"/>
      <c r="AN72" s="6"/>
      <c r="AO72" s="10">
        <f t="shared" si="12"/>
        <v>0</v>
      </c>
      <c r="AP72" s="6"/>
      <c r="AQ72" s="6"/>
      <c r="AR72" s="6"/>
      <c r="AS72" s="10">
        <f t="shared" si="15"/>
        <v>0</v>
      </c>
      <c r="AT72" s="6"/>
      <c r="AU72" s="6"/>
      <c r="AX72" s="2">
        <f t="shared" si="18"/>
        <v>49844.240230000003</v>
      </c>
      <c r="AY72" s="2">
        <f t="shared" si="19"/>
        <v>112.13800430000001</v>
      </c>
      <c r="AZ72" s="2">
        <f t="shared" si="20"/>
        <v>49732.1022257</v>
      </c>
      <c r="BA72" s="6"/>
    </row>
    <row r="73" spans="1:53" x14ac:dyDescent="0.25">
      <c r="A73" s="2" t="s">
        <v>97</v>
      </c>
      <c r="B73" s="2">
        <v>2020</v>
      </c>
      <c r="C73" s="2">
        <v>26545.863280000001</v>
      </c>
      <c r="D73" s="2">
        <v>57.560005189999998</v>
      </c>
      <c r="E73" s="2">
        <v>65.720418179999996</v>
      </c>
      <c r="F73" s="2">
        <v>12.874748629999999</v>
      </c>
      <c r="G73" s="2">
        <v>15.00100626</v>
      </c>
      <c r="H73" s="2">
        <v>6.4038269269999999</v>
      </c>
      <c r="I73" s="2">
        <v>43.527581120000001</v>
      </c>
      <c r="J73" s="2">
        <v>12.67259943</v>
      </c>
      <c r="K73" s="2">
        <v>30.12380645</v>
      </c>
      <c r="L73" s="2">
        <v>13.676012999999999</v>
      </c>
      <c r="M73" s="2">
        <v>82.083584860000002</v>
      </c>
      <c r="N73" s="2">
        <v>13.023796770000001</v>
      </c>
      <c r="O73" s="2">
        <v>3.8507013510000001</v>
      </c>
      <c r="P73" s="2">
        <v>1.041917019</v>
      </c>
      <c r="Q73" s="2" t="str">
        <f t="shared" si="0"/>
        <v>Cameroon|2020</v>
      </c>
      <c r="R73" s="2" t="str">
        <f t="shared" si="1"/>
        <v xml:space="preserve"> </v>
      </c>
      <c r="T73" s="2" t="b">
        <f t="shared" si="24"/>
        <v>0</v>
      </c>
      <c r="U73" s="2" t="b">
        <f t="shared" si="28"/>
        <v>0</v>
      </c>
      <c r="V73" s="2" t="b">
        <f t="shared" si="2"/>
        <v>0</v>
      </c>
      <c r="W73" s="2">
        <f t="shared" si="3"/>
        <v>66</v>
      </c>
      <c r="X73" s="2">
        <f t="shared" si="4"/>
        <v>44</v>
      </c>
      <c r="Y73" s="2">
        <f t="shared" si="5"/>
        <v>82</v>
      </c>
      <c r="Z73" s="2" t="str">
        <f t="shared" si="6"/>
        <v/>
      </c>
      <c r="AA73" s="2" t="str">
        <f t="shared" si="7"/>
        <v/>
      </c>
      <c r="AB73" s="2" t="str">
        <f t="shared" si="8"/>
        <v/>
      </c>
      <c r="AC73" s="2">
        <f t="shared" si="9"/>
        <v>0</v>
      </c>
      <c r="AE73" s="10" t="s">
        <v>133</v>
      </c>
      <c r="AF73" s="11" t="s">
        <v>57</v>
      </c>
      <c r="AH73" s="6" t="str">
        <f t="shared" si="10"/>
        <v>Latin America &amp; Caribbean</v>
      </c>
      <c r="AI73" s="6"/>
      <c r="AJ73" s="6"/>
      <c r="AK73" s="10">
        <f t="shared" si="26"/>
        <v>9.7784147999999502E-2</v>
      </c>
      <c r="AL73" s="6"/>
      <c r="AM73" s="6"/>
      <c r="AN73" s="6"/>
      <c r="AO73" s="10">
        <f t="shared" si="12"/>
        <v>0</v>
      </c>
      <c r="AP73" s="6"/>
      <c r="AQ73" s="6"/>
      <c r="AR73" s="6"/>
      <c r="AS73" s="10">
        <f t="shared" si="15"/>
        <v>0</v>
      </c>
      <c r="AT73" s="6"/>
      <c r="AU73" s="6"/>
      <c r="AX73" s="2" t="str">
        <f t="shared" si="18"/>
        <v>null</v>
      </c>
      <c r="AY73" s="2" t="str">
        <f t="shared" si="19"/>
        <v>null</v>
      </c>
      <c r="AZ73" s="2" t="str">
        <f t="shared" si="20"/>
        <v>null</v>
      </c>
      <c r="BA73" s="6"/>
    </row>
    <row r="74" spans="1:53" x14ac:dyDescent="0.25">
      <c r="A74" s="2" t="s">
        <v>98</v>
      </c>
      <c r="B74" s="2">
        <v>2015</v>
      </c>
      <c r="C74" s="2">
        <v>36026.667970000002</v>
      </c>
      <c r="D74" s="2">
        <v>81.259002690000003</v>
      </c>
      <c r="E74" s="2">
        <v>99.229221390000006</v>
      </c>
      <c r="F74" s="2">
        <v>0</v>
      </c>
      <c r="G74" s="2">
        <v>0.77077860909999996</v>
      </c>
      <c r="H74" s="2">
        <v>0</v>
      </c>
      <c r="I74" s="2">
        <v>98.81619508</v>
      </c>
      <c r="J74" s="2">
        <v>0</v>
      </c>
      <c r="K74" s="2">
        <v>1.183804922</v>
      </c>
      <c r="L74" s="2">
        <v>0</v>
      </c>
      <c r="M74" s="2">
        <v>99.324478850000006</v>
      </c>
      <c r="N74" s="2">
        <v>0</v>
      </c>
      <c r="O74" s="2">
        <v>0.67552114730000001</v>
      </c>
      <c r="P74" s="2">
        <v>0</v>
      </c>
      <c r="Q74" s="2" t="str">
        <f t="shared" si="0"/>
        <v>Canada|2015</v>
      </c>
      <c r="R74" s="2">
        <f t="shared" si="1"/>
        <v>5</v>
      </c>
      <c r="T74" s="2">
        <f t="shared" si="24"/>
        <v>-1.4821460000007391E-3</v>
      </c>
      <c r="U74" s="2">
        <f t="shared" si="28"/>
        <v>4.8860164000001302E-2</v>
      </c>
      <c r="V74" s="2">
        <f t="shared" si="2"/>
        <v>-1.3240238000000204E-2</v>
      </c>
      <c r="W74" s="2">
        <f t="shared" si="3"/>
        <v>99</v>
      </c>
      <c r="X74" s="2">
        <f t="shared" si="4"/>
        <v>99</v>
      </c>
      <c r="Y74" s="2">
        <f t="shared" si="5"/>
        <v>99</v>
      </c>
      <c r="Z74" s="2" t="str">
        <f t="shared" si="6"/>
        <v/>
      </c>
      <c r="AA74" s="2" t="str">
        <f t="shared" si="7"/>
        <v/>
      </c>
      <c r="AB74" s="2" t="str">
        <f t="shared" si="8"/>
        <v>Fully Accessible</v>
      </c>
      <c r="AC74" s="2">
        <f t="shared" si="9"/>
        <v>6.2100402000001505E-2</v>
      </c>
      <c r="AE74" s="10" t="s">
        <v>134</v>
      </c>
      <c r="AF74" s="11" t="s">
        <v>51</v>
      </c>
      <c r="AH74" s="6" t="str">
        <f t="shared" si="10"/>
        <v>East Asia &amp; Pacific</v>
      </c>
      <c r="AI74" s="6"/>
      <c r="AJ74" s="6"/>
      <c r="AK74" s="10">
        <f t="shared" si="26"/>
        <v>7.7013139999991152E-3</v>
      </c>
      <c r="AL74" s="6"/>
      <c r="AM74" s="6"/>
      <c r="AN74" s="6"/>
      <c r="AO74" s="10">
        <f t="shared" si="12"/>
        <v>-5.8100668000000154E-2</v>
      </c>
      <c r="AP74" s="6"/>
      <c r="AQ74" s="6"/>
      <c r="AR74" s="6"/>
      <c r="AS74" s="10">
        <f t="shared" si="15"/>
        <v>-2.1760122000000593E-2</v>
      </c>
      <c r="AT74" s="6"/>
      <c r="AU74" s="6"/>
      <c r="AX74" s="2">
        <f t="shared" si="18"/>
        <v>73768.82422000001</v>
      </c>
      <c r="AY74" s="2">
        <f t="shared" si="19"/>
        <v>162.82100678</v>
      </c>
      <c r="AZ74" s="2">
        <f t="shared" si="20"/>
        <v>73606.003213220014</v>
      </c>
      <c r="BA74" s="16"/>
    </row>
    <row r="75" spans="1:53" x14ac:dyDescent="0.25">
      <c r="A75" s="2" t="s">
        <v>98</v>
      </c>
      <c r="B75" s="2">
        <v>2020</v>
      </c>
      <c r="C75" s="2">
        <v>37742.15625</v>
      </c>
      <c r="D75" s="2">
        <v>81.562004090000002</v>
      </c>
      <c r="E75" s="2">
        <v>99.221810660000003</v>
      </c>
      <c r="F75" s="2">
        <v>0</v>
      </c>
      <c r="G75" s="2">
        <v>0.77818933690000003</v>
      </c>
      <c r="H75" s="2">
        <v>0</v>
      </c>
      <c r="I75" s="2">
        <v>99.060495900000006</v>
      </c>
      <c r="J75" s="2">
        <v>0</v>
      </c>
      <c r="K75" s="2">
        <v>0.9395041006</v>
      </c>
      <c r="L75" s="2">
        <v>0</v>
      </c>
      <c r="M75" s="2">
        <v>99.258277660000005</v>
      </c>
      <c r="N75" s="2">
        <v>0</v>
      </c>
      <c r="O75" s="2">
        <v>0.74172233710000002</v>
      </c>
      <c r="P75" s="2">
        <v>0</v>
      </c>
      <c r="Q75" s="2" t="str">
        <f t="shared" si="0"/>
        <v>Canada|2020</v>
      </c>
      <c r="R75" s="2" t="str">
        <f t="shared" si="1"/>
        <v xml:space="preserve"> </v>
      </c>
      <c r="T75" s="2" t="b">
        <f t="shared" si="24"/>
        <v>0</v>
      </c>
      <c r="U75" s="2" t="b">
        <f t="shared" si="28"/>
        <v>0</v>
      </c>
      <c r="V75" s="2" t="b">
        <f t="shared" si="2"/>
        <v>0</v>
      </c>
      <c r="W75" s="2">
        <f t="shared" si="3"/>
        <v>99</v>
      </c>
      <c r="X75" s="2">
        <f t="shared" si="4"/>
        <v>99</v>
      </c>
      <c r="Y75" s="2">
        <f t="shared" si="5"/>
        <v>99</v>
      </c>
      <c r="Z75" s="2" t="str">
        <f t="shared" si="6"/>
        <v/>
      </c>
      <c r="AA75" s="2" t="str">
        <f t="shared" si="7"/>
        <v/>
      </c>
      <c r="AB75" s="2" t="str">
        <f t="shared" si="8"/>
        <v/>
      </c>
      <c r="AC75" s="2">
        <f t="shared" si="9"/>
        <v>0</v>
      </c>
      <c r="AE75" s="10" t="s">
        <v>135</v>
      </c>
      <c r="AF75" s="11" t="s">
        <v>53</v>
      </c>
      <c r="AH75" s="6" t="str">
        <f t="shared" si="10"/>
        <v>Europe &amp; Central Asia</v>
      </c>
      <c r="AI75" s="6"/>
      <c r="AJ75" s="6"/>
      <c r="AK75" s="10">
        <f t="shared" si="26"/>
        <v>1.3280000018767169E-6</v>
      </c>
      <c r="AL75" s="6"/>
      <c r="AM75" s="6"/>
      <c r="AN75" s="6"/>
      <c r="AO75" s="10">
        <f t="shared" si="12"/>
        <v>0</v>
      </c>
      <c r="AP75" s="6"/>
      <c r="AQ75" s="6"/>
      <c r="AR75" s="6"/>
      <c r="AS75" s="10">
        <f t="shared" si="15"/>
        <v>0</v>
      </c>
      <c r="AT75" s="6"/>
      <c r="AU75" s="6"/>
      <c r="AX75" s="2" t="str">
        <f t="shared" si="18"/>
        <v>null</v>
      </c>
      <c r="AY75" s="2" t="str">
        <f t="shared" si="19"/>
        <v>null</v>
      </c>
      <c r="AZ75" s="2" t="str">
        <f t="shared" si="20"/>
        <v>null</v>
      </c>
      <c r="BA75" s="6"/>
    </row>
    <row r="76" spans="1:53" x14ac:dyDescent="0.25">
      <c r="A76" s="2" t="s">
        <v>99</v>
      </c>
      <c r="B76" s="2">
        <v>2015</v>
      </c>
      <c r="C76" s="2">
        <v>61.721000670000002</v>
      </c>
      <c r="D76" s="2">
        <v>100</v>
      </c>
      <c r="E76" s="2">
        <v>96.125</v>
      </c>
      <c r="F76" s="2">
        <v>0</v>
      </c>
      <c r="G76" s="2">
        <v>3.875</v>
      </c>
      <c r="H76" s="2">
        <v>0</v>
      </c>
      <c r="I76" s="2" t="s">
        <v>64</v>
      </c>
      <c r="J76" s="2" t="s">
        <v>64</v>
      </c>
      <c r="K76" s="2" t="s">
        <v>64</v>
      </c>
      <c r="L76" s="2" t="s">
        <v>64</v>
      </c>
      <c r="M76" s="2">
        <v>96.125</v>
      </c>
      <c r="N76" s="2">
        <v>0</v>
      </c>
      <c r="O76" s="2">
        <v>3.875</v>
      </c>
      <c r="P76" s="2">
        <v>0</v>
      </c>
      <c r="Q76" s="2" t="str">
        <f t="shared" si="0"/>
        <v>Cayman Islands|2015</v>
      </c>
      <c r="R76" s="2">
        <f t="shared" si="1"/>
        <v>1</v>
      </c>
      <c r="T76" s="2">
        <f t="shared" si="24"/>
        <v>0</v>
      </c>
      <c r="U76" s="2" t="str">
        <f t="shared" si="28"/>
        <v>null</v>
      </c>
      <c r="V76" s="2">
        <f t="shared" si="2"/>
        <v>0</v>
      </c>
      <c r="W76" s="2">
        <f t="shared" si="3"/>
        <v>96</v>
      </c>
      <c r="X76" s="2" t="b">
        <f t="shared" si="4"/>
        <v>0</v>
      </c>
      <c r="Y76" s="2">
        <f t="shared" si="5"/>
        <v>96</v>
      </c>
      <c r="Z76" s="2" t="str">
        <f t="shared" si="6"/>
        <v/>
      </c>
      <c r="AA76" s="2" t="str">
        <f t="shared" si="7"/>
        <v>Fully Accessible</v>
      </c>
      <c r="AB76" s="2" t="str">
        <f t="shared" si="8"/>
        <v>Fully Accessible</v>
      </c>
      <c r="AC76" s="2" t="b">
        <f t="shared" si="9"/>
        <v>0</v>
      </c>
      <c r="AE76" s="10" t="s">
        <v>136</v>
      </c>
      <c r="AF76" s="11" t="s">
        <v>53</v>
      </c>
      <c r="AH76" s="6" t="str">
        <f t="shared" si="10"/>
        <v>Europe &amp; Central Asia</v>
      </c>
      <c r="AI76" s="6"/>
      <c r="AJ76" s="6"/>
      <c r="AK76" s="10">
        <f t="shared" si="26"/>
        <v>-2.999999992425728E-7</v>
      </c>
      <c r="AL76" s="6"/>
      <c r="AM76" s="6"/>
      <c r="AN76" s="6"/>
      <c r="AO76" s="10">
        <f t="shared" si="12"/>
        <v>0</v>
      </c>
      <c r="AP76" s="6"/>
      <c r="AQ76" s="6"/>
      <c r="AR76" s="6"/>
      <c r="AS76" s="10">
        <f t="shared" si="15"/>
        <v>0</v>
      </c>
      <c r="AT76" s="6"/>
      <c r="AU76" s="6"/>
      <c r="AX76" s="2">
        <f t="shared" si="18"/>
        <v>124.28499985000001</v>
      </c>
      <c r="AY76" s="2">
        <f t="shared" si="19"/>
        <v>200</v>
      </c>
      <c r="AZ76" s="2">
        <f t="shared" si="20"/>
        <v>-75.715000149999995</v>
      </c>
      <c r="BA76" s="16"/>
    </row>
    <row r="77" spans="1:53" x14ac:dyDescent="0.25">
      <c r="A77" s="2" t="s">
        <v>99</v>
      </c>
      <c r="B77" s="2">
        <v>2016</v>
      </c>
      <c r="C77" s="2">
        <v>62.563999180000003</v>
      </c>
      <c r="D77" s="2">
        <v>100</v>
      </c>
      <c r="E77" s="2">
        <v>96.125</v>
      </c>
      <c r="F77" s="2">
        <v>0</v>
      </c>
      <c r="G77" s="2">
        <v>3.875</v>
      </c>
      <c r="H77" s="2">
        <v>0</v>
      </c>
      <c r="I77" s="2" t="s">
        <v>64</v>
      </c>
      <c r="J77" s="2" t="s">
        <v>64</v>
      </c>
      <c r="K77" s="2" t="s">
        <v>64</v>
      </c>
      <c r="L77" s="2" t="s">
        <v>64</v>
      </c>
      <c r="M77" s="2">
        <v>96.125</v>
      </c>
      <c r="N77" s="2">
        <v>0</v>
      </c>
      <c r="O77" s="2">
        <v>3.875</v>
      </c>
      <c r="P77" s="2">
        <v>0</v>
      </c>
      <c r="Q77" s="2" t="str">
        <f t="shared" si="0"/>
        <v>Cayman Islands|2016</v>
      </c>
      <c r="R77" s="2" t="str">
        <f t="shared" si="1"/>
        <v xml:space="preserve"> </v>
      </c>
      <c r="T77" s="2" t="b">
        <f t="shared" si="24"/>
        <v>0</v>
      </c>
      <c r="U77" s="2" t="b">
        <f t="shared" si="28"/>
        <v>0</v>
      </c>
      <c r="V77" s="2" t="b">
        <f t="shared" si="2"/>
        <v>0</v>
      </c>
      <c r="W77" s="2">
        <f t="shared" si="3"/>
        <v>96</v>
      </c>
      <c r="X77" s="2" t="b">
        <f t="shared" si="4"/>
        <v>0</v>
      </c>
      <c r="Y77" s="2">
        <f t="shared" si="5"/>
        <v>96</v>
      </c>
      <c r="Z77" s="2" t="str">
        <f t="shared" si="6"/>
        <v/>
      </c>
      <c r="AA77" s="2" t="str">
        <f t="shared" si="7"/>
        <v/>
      </c>
      <c r="AB77" s="2" t="str">
        <f t="shared" si="8"/>
        <v/>
      </c>
      <c r="AC77" s="2">
        <f t="shared" si="9"/>
        <v>0</v>
      </c>
      <c r="AE77" s="10" t="s">
        <v>137</v>
      </c>
      <c r="AF77" s="11" t="s">
        <v>57</v>
      </c>
      <c r="AH77" s="6" t="str">
        <f t="shared" si="10"/>
        <v>Latin America &amp; Caribbean</v>
      </c>
      <c r="AI77" s="6"/>
      <c r="AJ77" s="6"/>
      <c r="AK77" s="10">
        <f t="shared" si="26"/>
        <v>4.4031956000000608E-2</v>
      </c>
      <c r="AL77" s="6"/>
      <c r="AM77" s="6"/>
      <c r="AN77" s="6"/>
      <c r="AO77" s="10">
        <f t="shared" si="12"/>
        <v>0</v>
      </c>
      <c r="AP77" s="6"/>
      <c r="AQ77" s="6"/>
      <c r="AR77" s="6"/>
      <c r="AS77" s="10">
        <f t="shared" si="15"/>
        <v>0</v>
      </c>
      <c r="AT77" s="6"/>
      <c r="AU77" s="6"/>
      <c r="AX77" s="2" t="str">
        <f t="shared" si="18"/>
        <v>null</v>
      </c>
      <c r="AY77" s="2" t="str">
        <f t="shared" si="19"/>
        <v>null</v>
      </c>
      <c r="AZ77" s="2" t="str">
        <f t="shared" si="20"/>
        <v>null</v>
      </c>
      <c r="BA77" s="16"/>
    </row>
    <row r="78" spans="1:53" x14ac:dyDescent="0.25">
      <c r="A78" s="2" t="s">
        <v>100</v>
      </c>
      <c r="B78" s="2">
        <v>2015</v>
      </c>
      <c r="C78" s="2">
        <v>4493.1708980000003</v>
      </c>
      <c r="D78" s="2">
        <v>40.277000430000001</v>
      </c>
      <c r="E78" s="2">
        <v>42.311345420000002</v>
      </c>
      <c r="F78" s="2">
        <v>21.343997179999999</v>
      </c>
      <c r="G78" s="2">
        <v>32.010174079999999</v>
      </c>
      <c r="H78" s="2">
        <v>4.3344833180000002</v>
      </c>
      <c r="I78" s="2">
        <v>31.891407789999999</v>
      </c>
      <c r="J78" s="2">
        <v>17.35785358</v>
      </c>
      <c r="K78" s="2">
        <v>43.702609250000002</v>
      </c>
      <c r="L78" s="2">
        <v>7.0481293919999999</v>
      </c>
      <c r="M78" s="2">
        <v>57.76209901</v>
      </c>
      <c r="N78" s="2">
        <v>27.25467806</v>
      </c>
      <c r="O78" s="2">
        <v>14.67255123</v>
      </c>
      <c r="P78" s="2">
        <v>0.31067170900000002</v>
      </c>
      <c r="Q78" s="2" t="str">
        <f t="shared" si="0"/>
        <v>Central African Republic|2015</v>
      </c>
      <c r="R78" s="2">
        <f t="shared" si="1"/>
        <v>5</v>
      </c>
      <c r="T78" s="2">
        <f t="shared" si="24"/>
        <v>-1.0217886739999997</v>
      </c>
      <c r="U78" s="2">
        <f t="shared" si="28"/>
        <v>-0.75696272799999986</v>
      </c>
      <c r="V78" s="2">
        <f t="shared" si="2"/>
        <v>-1.6200868119999996</v>
      </c>
      <c r="W78" s="2">
        <f t="shared" si="3"/>
        <v>42</v>
      </c>
      <c r="X78" s="2">
        <f t="shared" si="4"/>
        <v>32</v>
      </c>
      <c r="Y78" s="2">
        <f t="shared" si="5"/>
        <v>58</v>
      </c>
      <c r="Z78" s="2" t="str">
        <f t="shared" si="6"/>
        <v/>
      </c>
      <c r="AA78" s="2" t="str">
        <f t="shared" si="7"/>
        <v/>
      </c>
      <c r="AB78" s="2" t="str">
        <f t="shared" si="8"/>
        <v>Fully Accessible</v>
      </c>
      <c r="AC78" s="2">
        <f t="shared" si="9"/>
        <v>0.86312408399999974</v>
      </c>
      <c r="AE78" s="10" t="s">
        <v>138</v>
      </c>
      <c r="AF78" s="11" t="s">
        <v>51</v>
      </c>
      <c r="AH78" s="6" t="str">
        <f t="shared" si="10"/>
        <v>East Asia &amp; Pacific</v>
      </c>
      <c r="AI78" s="6"/>
      <c r="AJ78" s="6"/>
      <c r="AK78" s="10">
        <f t="shared" si="26"/>
        <v>0</v>
      </c>
      <c r="AL78" s="6"/>
      <c r="AM78" s="6"/>
      <c r="AN78" s="6"/>
      <c r="AO78" s="10">
        <f t="shared" si="12"/>
        <v>0</v>
      </c>
      <c r="AP78" s="6"/>
      <c r="AQ78" s="6"/>
      <c r="AR78" s="6"/>
      <c r="AS78" s="10">
        <f t="shared" si="15"/>
        <v>0</v>
      </c>
      <c r="AT78" s="6"/>
      <c r="AU78" s="6"/>
      <c r="AX78" s="2">
        <f t="shared" si="18"/>
        <v>9322.9350579999991</v>
      </c>
      <c r="AY78" s="2">
        <f t="shared" si="19"/>
        <v>82.474998480000011</v>
      </c>
      <c r="AZ78" s="2">
        <f t="shared" si="20"/>
        <v>9240.460059519999</v>
      </c>
      <c r="BA78" s="6"/>
    </row>
    <row r="79" spans="1:53" x14ac:dyDescent="0.25">
      <c r="A79" s="2" t="s">
        <v>100</v>
      </c>
      <c r="B79" s="2">
        <v>2020</v>
      </c>
      <c r="C79" s="2">
        <v>4829.7641599999997</v>
      </c>
      <c r="D79" s="2">
        <v>42.197998050000002</v>
      </c>
      <c r="E79" s="2">
        <v>37.202402050000003</v>
      </c>
      <c r="F79" s="2">
        <v>25.682373479999999</v>
      </c>
      <c r="G79" s="2">
        <v>33.53911377</v>
      </c>
      <c r="H79" s="2">
        <v>3.5761107079999999</v>
      </c>
      <c r="I79" s="2">
        <v>28.106594149999999</v>
      </c>
      <c r="J79" s="2">
        <v>19.405889899999998</v>
      </c>
      <c r="K79" s="2">
        <v>46.373073009999999</v>
      </c>
      <c r="L79" s="2">
        <v>6.1144429440000003</v>
      </c>
      <c r="M79" s="2">
        <v>49.661664950000002</v>
      </c>
      <c r="N79" s="2">
        <v>34.279780090000003</v>
      </c>
      <c r="O79" s="2">
        <v>15.95940214</v>
      </c>
      <c r="P79" s="2">
        <v>9.915281712E-2</v>
      </c>
      <c r="Q79" s="2" t="str">
        <f t="shared" si="0"/>
        <v>Central African Republic|2020</v>
      </c>
      <c r="R79" s="2" t="str">
        <f t="shared" si="1"/>
        <v xml:space="preserve"> </v>
      </c>
      <c r="T79" s="2" t="b">
        <f t="shared" si="24"/>
        <v>0</v>
      </c>
      <c r="U79" s="2" t="b">
        <f t="shared" si="28"/>
        <v>0</v>
      </c>
      <c r="V79" s="2" t="b">
        <f t="shared" si="2"/>
        <v>0</v>
      </c>
      <c r="W79" s="2">
        <f t="shared" si="3"/>
        <v>37</v>
      </c>
      <c r="X79" s="2">
        <f t="shared" si="4"/>
        <v>28</v>
      </c>
      <c r="Y79" s="2">
        <f t="shared" si="5"/>
        <v>50</v>
      </c>
      <c r="Z79" s="2" t="str">
        <f t="shared" si="6"/>
        <v/>
      </c>
      <c r="AA79" s="2" t="str">
        <f t="shared" si="7"/>
        <v/>
      </c>
      <c r="AB79" s="2" t="str">
        <f t="shared" si="8"/>
        <v/>
      </c>
      <c r="AC79" s="2">
        <f t="shared" si="9"/>
        <v>0</v>
      </c>
      <c r="AE79" s="10" t="s">
        <v>139</v>
      </c>
      <c r="AF79" s="11" t="s">
        <v>63</v>
      </c>
      <c r="AH79" s="6" t="str">
        <f t="shared" si="10"/>
        <v>Sub-Saharan Africa</v>
      </c>
      <c r="AI79" s="6"/>
      <c r="AJ79" s="6"/>
      <c r="AK79" s="10">
        <f t="shared" si="26"/>
        <v>0.29668881000000058</v>
      </c>
      <c r="AL79" s="6"/>
      <c r="AM79" s="6"/>
      <c r="AN79" s="6"/>
      <c r="AO79" s="10">
        <f t="shared" si="12"/>
        <v>0.27117116999999952</v>
      </c>
      <c r="AP79" s="6"/>
      <c r="AQ79" s="6"/>
      <c r="AR79" s="6"/>
      <c r="AS79" s="10">
        <f t="shared" si="15"/>
        <v>9.824145999999985E-2</v>
      </c>
      <c r="AT79" s="6"/>
      <c r="AU79" s="6"/>
      <c r="AX79" s="2" t="str">
        <f t="shared" si="18"/>
        <v>null</v>
      </c>
      <c r="AY79" s="2" t="str">
        <f t="shared" si="19"/>
        <v>null</v>
      </c>
      <c r="AZ79" s="2" t="str">
        <f t="shared" si="20"/>
        <v>null</v>
      </c>
      <c r="BA79" s="6"/>
    </row>
    <row r="80" spans="1:53" x14ac:dyDescent="0.25">
      <c r="A80" s="2" t="s">
        <v>101</v>
      </c>
      <c r="B80" s="2">
        <v>2015</v>
      </c>
      <c r="C80" s="2">
        <v>14110.9707</v>
      </c>
      <c r="D80" s="2">
        <v>22.515001300000002</v>
      </c>
      <c r="E80" s="2">
        <v>44.399096970000002</v>
      </c>
      <c r="F80" s="2">
        <v>13.51638311</v>
      </c>
      <c r="G80" s="2">
        <v>34.702739940000001</v>
      </c>
      <c r="H80" s="2">
        <v>7.3817799820000003</v>
      </c>
      <c r="I80" s="2">
        <v>35.578900740000002</v>
      </c>
      <c r="J80" s="2">
        <v>13.876413980000001</v>
      </c>
      <c r="K80" s="2">
        <v>41.266156469999999</v>
      </c>
      <c r="L80" s="2">
        <v>9.2785288060000006</v>
      </c>
      <c r="M80" s="2">
        <v>74.753651779999998</v>
      </c>
      <c r="N80" s="2">
        <v>12.27734182</v>
      </c>
      <c r="O80" s="2">
        <v>12.11485643</v>
      </c>
      <c r="P80" s="2">
        <v>0.85414997150000005</v>
      </c>
      <c r="Q80" s="2" t="str">
        <f t="shared" si="0"/>
        <v>Chad|2015</v>
      </c>
      <c r="R80" s="2">
        <f t="shared" si="1"/>
        <v>5</v>
      </c>
      <c r="T80" s="2">
        <f t="shared" si="24"/>
        <v>0.35768756399999974</v>
      </c>
      <c r="U80" s="2">
        <f t="shared" si="28"/>
        <v>0.39926290199999953</v>
      </c>
      <c r="V80" s="2">
        <f t="shared" si="2"/>
        <v>-0.11228573799999993</v>
      </c>
      <c r="W80" s="2">
        <f t="shared" si="3"/>
        <v>44</v>
      </c>
      <c r="X80" s="2">
        <f t="shared" si="4"/>
        <v>36</v>
      </c>
      <c r="Y80" s="2">
        <f t="shared" si="5"/>
        <v>75</v>
      </c>
      <c r="Z80" s="2" t="str">
        <f t="shared" si="6"/>
        <v/>
      </c>
      <c r="AA80" s="2" t="str">
        <f t="shared" si="7"/>
        <v/>
      </c>
      <c r="AB80" s="2" t="str">
        <f t="shared" si="8"/>
        <v>Fully Accessible</v>
      </c>
      <c r="AC80" s="2">
        <f t="shared" si="9"/>
        <v>0.51154863999999944</v>
      </c>
      <c r="AE80" s="10" t="s">
        <v>140</v>
      </c>
      <c r="AF80" s="11" t="s">
        <v>63</v>
      </c>
      <c r="AH80" s="6" t="str">
        <f t="shared" si="10"/>
        <v>Sub-Saharan Africa</v>
      </c>
      <c r="AI80" s="6"/>
      <c r="AJ80" s="6"/>
      <c r="AK80" s="10">
        <f t="shared" si="26"/>
        <v>0.34604812800000107</v>
      </c>
      <c r="AL80" s="6"/>
      <c r="AM80" s="6"/>
      <c r="AN80" s="6"/>
      <c r="AO80" s="10">
        <f t="shared" si="12"/>
        <v>0.18672612800000082</v>
      </c>
      <c r="AP80" s="6"/>
      <c r="AQ80" s="6"/>
      <c r="AR80" s="6"/>
      <c r="AS80" s="10">
        <f t="shared" si="15"/>
        <v>0.24304660200000114</v>
      </c>
      <c r="AT80" s="6"/>
      <c r="AU80" s="6"/>
      <c r="AX80" s="2">
        <f t="shared" si="18"/>
        <v>30536.83008</v>
      </c>
      <c r="AY80" s="2">
        <f t="shared" si="19"/>
        <v>46.03500176</v>
      </c>
      <c r="AZ80" s="2">
        <f t="shared" si="20"/>
        <v>30490.79507824</v>
      </c>
      <c r="BA80" s="6"/>
    </row>
    <row r="81" spans="1:53" x14ac:dyDescent="0.25">
      <c r="A81" s="2" t="s">
        <v>101</v>
      </c>
      <c r="B81" s="2">
        <v>2020</v>
      </c>
      <c r="C81" s="2">
        <v>16425.859380000002</v>
      </c>
      <c r="D81" s="2">
        <v>23.520000459999999</v>
      </c>
      <c r="E81" s="2">
        <v>46.187534790000001</v>
      </c>
      <c r="F81" s="2">
        <v>14.74028929</v>
      </c>
      <c r="G81" s="2">
        <v>31.562457139999999</v>
      </c>
      <c r="H81" s="2">
        <v>7.5097187840000004</v>
      </c>
      <c r="I81" s="2">
        <v>37.575215249999999</v>
      </c>
      <c r="J81" s="2">
        <v>14.35396111</v>
      </c>
      <c r="K81" s="2">
        <v>38.524967609999997</v>
      </c>
      <c r="L81" s="2">
        <v>9.5458560269999992</v>
      </c>
      <c r="M81" s="2">
        <v>74.192223089999999</v>
      </c>
      <c r="N81" s="2">
        <v>15.99651381</v>
      </c>
      <c r="O81" s="2">
        <v>8.9224527210000009</v>
      </c>
      <c r="P81" s="2">
        <v>0.88881038430000003</v>
      </c>
      <c r="Q81" s="2" t="str">
        <f t="shared" si="0"/>
        <v>Chad|2020</v>
      </c>
      <c r="R81" s="2" t="str">
        <f t="shared" si="1"/>
        <v xml:space="preserve"> </v>
      </c>
      <c r="T81" s="2" t="b">
        <f t="shared" si="24"/>
        <v>0</v>
      </c>
      <c r="U81" s="2" t="b">
        <f t="shared" si="28"/>
        <v>0</v>
      </c>
      <c r="V81" s="2" t="b">
        <f t="shared" si="2"/>
        <v>0</v>
      </c>
      <c r="W81" s="2">
        <f t="shared" si="3"/>
        <v>46</v>
      </c>
      <c r="X81" s="2">
        <f t="shared" si="4"/>
        <v>38</v>
      </c>
      <c r="Y81" s="2">
        <f t="shared" si="5"/>
        <v>74</v>
      </c>
      <c r="Z81" s="2" t="str">
        <f t="shared" si="6"/>
        <v/>
      </c>
      <c r="AA81" s="2" t="str">
        <f t="shared" si="7"/>
        <v/>
      </c>
      <c r="AB81" s="2" t="str">
        <f t="shared" si="8"/>
        <v/>
      </c>
      <c r="AC81" s="2">
        <f t="shared" si="9"/>
        <v>0</v>
      </c>
      <c r="AE81" s="10" t="s">
        <v>141</v>
      </c>
      <c r="AF81" s="11" t="s">
        <v>53</v>
      </c>
      <c r="AH81" s="6" t="str">
        <f t="shared" si="10"/>
        <v>Europe &amp; Central Asia</v>
      </c>
      <c r="AI81" s="6"/>
      <c r="AJ81" s="6"/>
      <c r="AK81" s="10">
        <f t="shared" si="26"/>
        <v>0.31868203800000006</v>
      </c>
      <c r="AL81" s="6"/>
      <c r="AM81" s="6"/>
      <c r="AN81" s="6"/>
      <c r="AO81" s="10">
        <f t="shared" si="12"/>
        <v>0.59534672199999927</v>
      </c>
      <c r="AP81" s="6"/>
      <c r="AQ81" s="6"/>
      <c r="AR81" s="6"/>
      <c r="AS81" s="10">
        <f t="shared" si="15"/>
        <v>7.7637698000000907E-2</v>
      </c>
      <c r="AT81" s="6"/>
      <c r="AU81" s="6"/>
      <c r="AX81" s="2" t="str">
        <f t="shared" si="18"/>
        <v>null</v>
      </c>
      <c r="AY81" s="2" t="str">
        <f t="shared" si="19"/>
        <v>null</v>
      </c>
      <c r="AZ81" s="2" t="str">
        <f t="shared" si="20"/>
        <v>null</v>
      </c>
      <c r="BA81" s="6"/>
    </row>
    <row r="82" spans="1:53" x14ac:dyDescent="0.25">
      <c r="A82" s="2" t="s">
        <v>102</v>
      </c>
      <c r="B82" s="2">
        <v>2015</v>
      </c>
      <c r="C82" s="2">
        <v>165.38699339999999</v>
      </c>
      <c r="D82" s="2">
        <v>30.96199799</v>
      </c>
      <c r="E82" s="2">
        <v>94.15</v>
      </c>
      <c r="F82" s="2">
        <v>0</v>
      </c>
      <c r="G82" s="2">
        <v>5.85</v>
      </c>
      <c r="H82" s="2">
        <v>0</v>
      </c>
      <c r="I82" s="2" t="s">
        <v>64</v>
      </c>
      <c r="J82" s="2" t="s">
        <v>64</v>
      </c>
      <c r="K82" s="2" t="s">
        <v>64</v>
      </c>
      <c r="L82" s="2" t="s">
        <v>64</v>
      </c>
      <c r="M82" s="2" t="s">
        <v>64</v>
      </c>
      <c r="N82" s="2" t="s">
        <v>64</v>
      </c>
      <c r="O82" s="2" t="s">
        <v>64</v>
      </c>
      <c r="P82" s="2" t="s">
        <v>64</v>
      </c>
      <c r="Q82" s="2" t="str">
        <f t="shared" si="0"/>
        <v>Channel Islands|2015</v>
      </c>
      <c r="R82" s="2">
        <f t="shared" si="1"/>
        <v>2</v>
      </c>
      <c r="T82" s="2">
        <f t="shared" si="24"/>
        <v>0</v>
      </c>
      <c r="U82" s="2" t="str">
        <f t="shared" si="28"/>
        <v>null</v>
      </c>
      <c r="V82" s="2" t="str">
        <f t="shared" si="2"/>
        <v>null</v>
      </c>
      <c r="W82" s="2">
        <f t="shared" si="3"/>
        <v>94</v>
      </c>
      <c r="X82" s="2" t="b">
        <f t="shared" si="4"/>
        <v>0</v>
      </c>
      <c r="Y82" s="2" t="b">
        <f t="shared" si="5"/>
        <v>0</v>
      </c>
      <c r="Z82" s="2" t="str">
        <f t="shared" si="6"/>
        <v/>
      </c>
      <c r="AA82" s="2" t="str">
        <f t="shared" si="7"/>
        <v>Fully Accessible</v>
      </c>
      <c r="AB82" s="2" t="str">
        <f t="shared" si="8"/>
        <v>Fully Accessible</v>
      </c>
      <c r="AC82" s="2" t="b">
        <f t="shared" si="9"/>
        <v>0</v>
      </c>
      <c r="AE82" s="10" t="s">
        <v>142</v>
      </c>
      <c r="AF82" s="11" t="s">
        <v>53</v>
      </c>
      <c r="AH82" s="6" t="str">
        <f t="shared" si="10"/>
        <v>Europe &amp; Central Asia</v>
      </c>
      <c r="AI82" s="6"/>
      <c r="AJ82" s="6"/>
      <c r="AK82" s="10">
        <f t="shared" si="26"/>
        <v>-1.9999998812636478E-8</v>
      </c>
      <c r="AL82" s="6"/>
      <c r="AM82" s="6"/>
      <c r="AN82" s="6"/>
      <c r="AO82" s="10">
        <f t="shared" si="12"/>
        <v>0</v>
      </c>
      <c r="AP82" s="6"/>
      <c r="AQ82" s="6"/>
      <c r="AR82" s="6"/>
      <c r="AS82" s="10">
        <f t="shared" si="15"/>
        <v>0</v>
      </c>
      <c r="AT82" s="6"/>
      <c r="AU82" s="6"/>
      <c r="AX82" s="2">
        <f t="shared" si="18"/>
        <v>334.05299379999997</v>
      </c>
      <c r="AY82" s="2">
        <f t="shared" si="19"/>
        <v>61.875997550000001</v>
      </c>
      <c r="AZ82" s="2">
        <f t="shared" si="20"/>
        <v>272.17699624999995</v>
      </c>
      <c r="BA82" s="16"/>
    </row>
    <row r="83" spans="1:53" x14ac:dyDescent="0.25">
      <c r="A83" s="2" t="s">
        <v>102</v>
      </c>
      <c r="B83" s="2">
        <v>2017</v>
      </c>
      <c r="C83" s="2">
        <v>168.6660004</v>
      </c>
      <c r="D83" s="2">
        <v>30.913999560000001</v>
      </c>
      <c r="E83" s="2">
        <v>94.15</v>
      </c>
      <c r="F83" s="2">
        <v>0</v>
      </c>
      <c r="G83" s="2">
        <v>5.85</v>
      </c>
      <c r="H83" s="2">
        <v>0</v>
      </c>
      <c r="I83" s="2" t="s">
        <v>64</v>
      </c>
      <c r="J83" s="2" t="s">
        <v>64</v>
      </c>
      <c r="K83" s="2" t="s">
        <v>64</v>
      </c>
      <c r="L83" s="2" t="s">
        <v>64</v>
      </c>
      <c r="M83" s="2" t="s">
        <v>64</v>
      </c>
      <c r="N83" s="2" t="s">
        <v>64</v>
      </c>
      <c r="O83" s="2" t="s">
        <v>64</v>
      </c>
      <c r="P83" s="2" t="s">
        <v>64</v>
      </c>
      <c r="Q83" s="2" t="str">
        <f t="shared" si="0"/>
        <v>Channel Islands|2017</v>
      </c>
      <c r="R83" s="2" t="str">
        <f t="shared" si="1"/>
        <v xml:space="preserve"> </v>
      </c>
      <c r="T83" s="2" t="b">
        <f t="shared" si="24"/>
        <v>0</v>
      </c>
      <c r="U83" s="2" t="b">
        <f t="shared" si="28"/>
        <v>0</v>
      </c>
      <c r="V83" s="2" t="b">
        <f t="shared" si="2"/>
        <v>0</v>
      </c>
      <c r="W83" s="2">
        <f t="shared" si="3"/>
        <v>94</v>
      </c>
      <c r="X83" s="2" t="b">
        <f t="shared" si="4"/>
        <v>0</v>
      </c>
      <c r="Y83" s="2" t="b">
        <f t="shared" si="5"/>
        <v>0</v>
      </c>
      <c r="Z83" s="2" t="str">
        <f t="shared" si="6"/>
        <v/>
      </c>
      <c r="AA83" s="2" t="str">
        <f t="shared" si="7"/>
        <v/>
      </c>
      <c r="AB83" s="2" t="str">
        <f t="shared" si="8"/>
        <v/>
      </c>
      <c r="AC83" s="2">
        <f t="shared" si="9"/>
        <v>0</v>
      </c>
      <c r="AE83" s="10" t="s">
        <v>143</v>
      </c>
      <c r="AF83" s="11" t="s">
        <v>63</v>
      </c>
      <c r="AH83" s="6" t="str">
        <f t="shared" si="10"/>
        <v>Sub-Saharan Africa</v>
      </c>
      <c r="AI83" s="6"/>
      <c r="AJ83" s="6"/>
      <c r="AK83" s="10">
        <f t="shared" si="26"/>
        <v>1.1266070839999998</v>
      </c>
      <c r="AL83" s="6"/>
      <c r="AM83" s="6"/>
      <c r="AN83" s="6"/>
      <c r="AO83" s="10">
        <f t="shared" si="12"/>
        <v>0.93688905600000116</v>
      </c>
      <c r="AP83" s="6"/>
      <c r="AQ83" s="6"/>
      <c r="AR83" s="6"/>
      <c r="AS83" s="10">
        <f t="shared" si="15"/>
        <v>0.99524793599999839</v>
      </c>
      <c r="AT83" s="6"/>
      <c r="AU83" s="6"/>
      <c r="AX83" s="2" t="str">
        <f t="shared" si="18"/>
        <v>null</v>
      </c>
      <c r="AY83" s="2" t="str">
        <f t="shared" si="19"/>
        <v>null</v>
      </c>
      <c r="AZ83" s="2" t="str">
        <f t="shared" si="20"/>
        <v>null</v>
      </c>
      <c r="BA83" s="6"/>
    </row>
    <row r="84" spans="1:53" x14ac:dyDescent="0.25">
      <c r="A84" s="2" t="s">
        <v>103</v>
      </c>
      <c r="B84" s="2">
        <v>2015</v>
      </c>
      <c r="C84" s="2">
        <v>17969.355469999999</v>
      </c>
      <c r="D84" s="2">
        <v>87.36000061</v>
      </c>
      <c r="E84" s="2">
        <v>99.506492719999997</v>
      </c>
      <c r="F84" s="2">
        <v>0</v>
      </c>
      <c r="G84" s="2">
        <v>0.49350727579999998</v>
      </c>
      <c r="H84" s="2">
        <v>0</v>
      </c>
      <c r="I84" s="2">
        <v>97.067698500000006</v>
      </c>
      <c r="J84" s="2">
        <v>0</v>
      </c>
      <c r="K84" s="2">
        <v>2.9323014980000002</v>
      </c>
      <c r="L84" s="2">
        <v>0</v>
      </c>
      <c r="M84" s="2">
        <v>99.859356980000001</v>
      </c>
      <c r="N84" s="2">
        <v>0</v>
      </c>
      <c r="O84" s="2">
        <v>0.1406430186</v>
      </c>
      <c r="P84" s="2">
        <v>0</v>
      </c>
      <c r="Q84" s="2" t="str">
        <f t="shared" si="0"/>
        <v>Chile|2015</v>
      </c>
      <c r="R84" s="2">
        <f t="shared" si="1"/>
        <v>5</v>
      </c>
      <c r="T84" s="2">
        <f t="shared" si="24"/>
        <v>9.8701199999999295E-2</v>
      </c>
      <c r="U84" s="2">
        <f t="shared" si="28"/>
        <v>0.58646029999999882</v>
      </c>
      <c r="V84" s="2">
        <f t="shared" si="2"/>
        <v>2.8128603999999769E-2</v>
      </c>
      <c r="W84" s="2">
        <f t="shared" si="3"/>
        <v>100</v>
      </c>
      <c r="X84" s="2">
        <f t="shared" si="4"/>
        <v>97</v>
      </c>
      <c r="Y84" s="2">
        <f t="shared" si="5"/>
        <v>100</v>
      </c>
      <c r="Z84" s="2" t="str">
        <f t="shared" si="6"/>
        <v/>
      </c>
      <c r="AA84" s="2" t="str">
        <f t="shared" si="7"/>
        <v/>
      </c>
      <c r="AB84" s="2" t="str">
        <f t="shared" si="8"/>
        <v>Fully Accessible</v>
      </c>
      <c r="AC84" s="2">
        <f t="shared" si="9"/>
        <v>0.5583316959999991</v>
      </c>
      <c r="AE84" s="10" t="s">
        <v>144</v>
      </c>
      <c r="AF84" s="11" t="s">
        <v>53</v>
      </c>
      <c r="AH84" s="6" t="str">
        <f t="shared" si="10"/>
        <v>Europe &amp; Central Asia</v>
      </c>
      <c r="AI84" s="6"/>
      <c r="AJ84" s="6"/>
      <c r="AK84" s="10">
        <f t="shared" si="26"/>
        <v>0</v>
      </c>
      <c r="AL84" s="6"/>
      <c r="AM84" s="6"/>
      <c r="AN84" s="6"/>
      <c r="AO84" s="10">
        <f t="shared" si="12"/>
        <v>0</v>
      </c>
      <c r="AP84" s="6"/>
      <c r="AQ84" s="6"/>
      <c r="AR84" s="6"/>
      <c r="AS84" s="10">
        <f t="shared" si="15"/>
        <v>0</v>
      </c>
      <c r="AT84" s="6"/>
      <c r="AU84" s="6"/>
      <c r="AX84" s="2">
        <f t="shared" si="18"/>
        <v>37085.564449999998</v>
      </c>
      <c r="AY84" s="2">
        <f t="shared" si="19"/>
        <v>175.08699798999999</v>
      </c>
      <c r="AZ84" s="2">
        <f t="shared" si="20"/>
        <v>36910.477452009996</v>
      </c>
      <c r="BA84" s="16"/>
    </row>
    <row r="85" spans="1:53" x14ac:dyDescent="0.25">
      <c r="A85" s="2" t="s">
        <v>103</v>
      </c>
      <c r="B85" s="2">
        <v>2020</v>
      </c>
      <c r="C85" s="2">
        <v>19116.208979999999</v>
      </c>
      <c r="D85" s="2">
        <v>87.72699738</v>
      </c>
      <c r="E85" s="2">
        <v>99.999998719999994</v>
      </c>
      <c r="F85" s="2">
        <v>0</v>
      </c>
      <c r="G85" s="2">
        <v>1.2771393330000001E-6</v>
      </c>
      <c r="H85" s="2">
        <v>0</v>
      </c>
      <c r="I85" s="2">
        <v>100</v>
      </c>
      <c r="J85" s="2">
        <v>0</v>
      </c>
      <c r="K85" s="2">
        <v>0</v>
      </c>
      <c r="L85" s="2">
        <v>0</v>
      </c>
      <c r="M85" s="2">
        <v>100</v>
      </c>
      <c r="N85" s="2">
        <v>0</v>
      </c>
      <c r="O85" s="2">
        <v>0</v>
      </c>
      <c r="P85" s="2">
        <v>0</v>
      </c>
      <c r="Q85" s="2" t="str">
        <f t="shared" si="0"/>
        <v>Chile|2020</v>
      </c>
      <c r="R85" s="2" t="str">
        <f t="shared" si="1"/>
        <v xml:space="preserve"> </v>
      </c>
      <c r="T85" s="2" t="b">
        <f t="shared" si="24"/>
        <v>0</v>
      </c>
      <c r="U85" s="2" t="b">
        <f t="shared" si="28"/>
        <v>0</v>
      </c>
      <c r="V85" s="2" t="b">
        <f t="shared" si="2"/>
        <v>0</v>
      </c>
      <c r="W85" s="2">
        <f t="shared" si="3"/>
        <v>100</v>
      </c>
      <c r="X85" s="2">
        <f t="shared" si="4"/>
        <v>100</v>
      </c>
      <c r="Y85" s="2">
        <f t="shared" si="5"/>
        <v>100</v>
      </c>
      <c r="Z85" s="2" t="str">
        <f t="shared" si="6"/>
        <v/>
      </c>
      <c r="AA85" s="2" t="str">
        <f t="shared" si="7"/>
        <v/>
      </c>
      <c r="AB85" s="2" t="str">
        <f t="shared" si="8"/>
        <v/>
      </c>
      <c r="AC85" s="2">
        <f t="shared" si="9"/>
        <v>0</v>
      </c>
      <c r="AE85" s="10" t="s">
        <v>145</v>
      </c>
      <c r="AF85" s="11" t="s">
        <v>53</v>
      </c>
      <c r="AH85" s="6" t="str">
        <f t="shared" si="10"/>
        <v>Europe &amp; Central Asia</v>
      </c>
      <c r="AI85" s="6"/>
      <c r="AJ85" s="6"/>
      <c r="AK85" s="10">
        <f t="shared" si="26"/>
        <v>-4.5999999827017745E-7</v>
      </c>
      <c r="AL85" s="6"/>
      <c r="AM85" s="6"/>
      <c r="AN85" s="6"/>
      <c r="AO85" s="10">
        <f t="shared" si="12"/>
        <v>0</v>
      </c>
      <c r="AP85" s="6"/>
      <c r="AQ85" s="6"/>
      <c r="AR85" s="6"/>
      <c r="AS85" s="10">
        <f t="shared" si="15"/>
        <v>0</v>
      </c>
      <c r="AT85" s="6"/>
      <c r="AU85" s="6"/>
      <c r="AX85" s="2" t="str">
        <f t="shared" si="18"/>
        <v>null</v>
      </c>
      <c r="AY85" s="2" t="str">
        <f t="shared" si="19"/>
        <v>null</v>
      </c>
      <c r="AZ85" s="2" t="str">
        <f t="shared" si="20"/>
        <v>null</v>
      </c>
      <c r="BA85" s="16"/>
    </row>
    <row r="86" spans="1:53" x14ac:dyDescent="0.25">
      <c r="A86" s="2" t="s">
        <v>105</v>
      </c>
      <c r="B86" s="2">
        <v>2015</v>
      </c>
      <c r="C86" s="2">
        <v>7185.9921880000002</v>
      </c>
      <c r="D86" s="2">
        <v>100</v>
      </c>
      <c r="E86" s="2">
        <v>100</v>
      </c>
      <c r="F86" s="2">
        <v>0</v>
      </c>
      <c r="G86" s="2">
        <v>0</v>
      </c>
      <c r="H86" s="2">
        <v>0</v>
      </c>
      <c r="I86" s="2" t="s">
        <v>64</v>
      </c>
      <c r="J86" s="2" t="s">
        <v>64</v>
      </c>
      <c r="K86" s="2" t="s">
        <v>64</v>
      </c>
      <c r="L86" s="2" t="s">
        <v>64</v>
      </c>
      <c r="M86" s="2">
        <v>100</v>
      </c>
      <c r="N86" s="2">
        <v>0</v>
      </c>
      <c r="O86" s="2">
        <v>0</v>
      </c>
      <c r="P86" s="2">
        <v>0</v>
      </c>
      <c r="Q86" s="2" t="str">
        <f t="shared" si="0"/>
        <v>China, Hong Kong SAR|2015</v>
      </c>
      <c r="R86" s="2">
        <f t="shared" si="1"/>
        <v>5</v>
      </c>
      <c r="T86" s="2">
        <f t="shared" si="24"/>
        <v>0</v>
      </c>
      <c r="U86" s="2" t="str">
        <f t="shared" si="28"/>
        <v>null</v>
      </c>
      <c r="V86" s="2">
        <f t="shared" si="2"/>
        <v>0</v>
      </c>
      <c r="W86" s="2">
        <f t="shared" si="3"/>
        <v>100</v>
      </c>
      <c r="X86" s="2" t="b">
        <f t="shared" si="4"/>
        <v>0</v>
      </c>
      <c r="Y86" s="2">
        <f t="shared" si="5"/>
        <v>100</v>
      </c>
      <c r="Z86" s="2" t="str">
        <f t="shared" si="6"/>
        <v/>
      </c>
      <c r="AA86" s="2" t="str">
        <f t="shared" si="7"/>
        <v>Fully Accessible</v>
      </c>
      <c r="AB86" s="2" t="str">
        <f t="shared" si="8"/>
        <v>Fully Accessible</v>
      </c>
      <c r="AC86" s="2" t="b">
        <f t="shared" si="9"/>
        <v>0</v>
      </c>
      <c r="AE86" s="10" t="s">
        <v>146</v>
      </c>
      <c r="AF86" s="11" t="s">
        <v>61</v>
      </c>
      <c r="AH86" s="6" t="str">
        <f t="shared" si="10"/>
        <v>North America</v>
      </c>
      <c r="AI86" s="6"/>
      <c r="AJ86" s="6"/>
      <c r="AK86" s="10">
        <f t="shared" si="26"/>
        <v>3.3999999971001671E-7</v>
      </c>
      <c r="AL86" s="6"/>
      <c r="AM86" s="6"/>
      <c r="AN86" s="6"/>
      <c r="AO86" s="10">
        <f t="shared" si="12"/>
        <v>0</v>
      </c>
      <c r="AP86" s="6"/>
      <c r="AQ86" s="6"/>
      <c r="AR86" s="6"/>
      <c r="AS86" s="10">
        <f t="shared" si="15"/>
        <v>0</v>
      </c>
      <c r="AT86" s="6"/>
      <c r="AU86" s="6"/>
      <c r="AX86" s="2">
        <f t="shared" si="18"/>
        <v>14682.979981</v>
      </c>
      <c r="AY86" s="2">
        <f t="shared" si="19"/>
        <v>200</v>
      </c>
      <c r="AZ86" s="2">
        <f t="shared" si="20"/>
        <v>14482.979981</v>
      </c>
      <c r="BA86" s="6"/>
    </row>
    <row r="87" spans="1:53" x14ac:dyDescent="0.25">
      <c r="A87" s="2" t="s">
        <v>105</v>
      </c>
      <c r="B87" s="2">
        <v>2020</v>
      </c>
      <c r="C87" s="2">
        <v>7496.9877930000002</v>
      </c>
      <c r="D87" s="2">
        <v>100</v>
      </c>
      <c r="E87" s="2">
        <v>100</v>
      </c>
      <c r="F87" s="2">
        <v>0</v>
      </c>
      <c r="G87" s="2">
        <v>0</v>
      </c>
      <c r="H87" s="2">
        <v>0</v>
      </c>
      <c r="I87" s="2" t="s">
        <v>64</v>
      </c>
      <c r="J87" s="2" t="s">
        <v>64</v>
      </c>
      <c r="K87" s="2" t="s">
        <v>64</v>
      </c>
      <c r="L87" s="2" t="s">
        <v>64</v>
      </c>
      <c r="M87" s="2">
        <v>100</v>
      </c>
      <c r="N87" s="2">
        <v>0</v>
      </c>
      <c r="O87" s="2">
        <v>0</v>
      </c>
      <c r="P87" s="2">
        <v>0</v>
      </c>
      <c r="Q87" s="2" t="str">
        <f t="shared" si="0"/>
        <v>China, Hong Kong SAR|2020</v>
      </c>
      <c r="R87" s="2" t="str">
        <f t="shared" si="1"/>
        <v xml:space="preserve"> </v>
      </c>
      <c r="T87" s="2" t="b">
        <f t="shared" si="24"/>
        <v>0</v>
      </c>
      <c r="U87" s="2" t="b">
        <f t="shared" si="28"/>
        <v>0</v>
      </c>
      <c r="V87" s="2" t="b">
        <f t="shared" si="2"/>
        <v>0</v>
      </c>
      <c r="W87" s="2">
        <f t="shared" si="3"/>
        <v>100</v>
      </c>
      <c r="X87" s="2" t="b">
        <f t="shared" si="4"/>
        <v>0</v>
      </c>
      <c r="Y87" s="2">
        <f t="shared" si="5"/>
        <v>100</v>
      </c>
      <c r="Z87" s="2" t="str">
        <f t="shared" si="6"/>
        <v/>
      </c>
      <c r="AA87" s="2" t="str">
        <f t="shared" si="7"/>
        <v/>
      </c>
      <c r="AB87" s="2" t="str">
        <f t="shared" si="8"/>
        <v/>
      </c>
      <c r="AC87" s="2">
        <f t="shared" si="9"/>
        <v>0</v>
      </c>
      <c r="AE87" s="10" t="s">
        <v>147</v>
      </c>
      <c r="AF87" s="11" t="s">
        <v>57</v>
      </c>
      <c r="AH87" s="6" t="str">
        <f t="shared" si="10"/>
        <v>Latin America &amp; Caribbean</v>
      </c>
      <c r="AI87" s="6"/>
      <c r="AJ87" s="6"/>
      <c r="AK87" s="10">
        <f t="shared" si="26"/>
        <v>0</v>
      </c>
      <c r="AL87" s="6"/>
      <c r="AM87" s="6"/>
      <c r="AN87" s="6"/>
      <c r="AO87" s="10">
        <f t="shared" si="12"/>
        <v>0</v>
      </c>
      <c r="AP87" s="6"/>
      <c r="AQ87" s="6"/>
      <c r="AR87" s="6"/>
      <c r="AS87" s="10">
        <f t="shared" si="15"/>
        <v>0</v>
      </c>
      <c r="AT87" s="6"/>
      <c r="AU87" s="6"/>
      <c r="AX87" s="2" t="str">
        <f t="shared" si="18"/>
        <v>null</v>
      </c>
      <c r="AY87" s="2" t="str">
        <f t="shared" si="19"/>
        <v>null</v>
      </c>
      <c r="AZ87" s="2" t="str">
        <f t="shared" si="20"/>
        <v>null</v>
      </c>
      <c r="BA87" s="6"/>
    </row>
    <row r="88" spans="1:53" x14ac:dyDescent="0.25">
      <c r="A88" s="2" t="s">
        <v>106</v>
      </c>
      <c r="B88" s="2">
        <v>2015</v>
      </c>
      <c r="C88" s="2">
        <v>602.09301760000005</v>
      </c>
      <c r="D88" s="2">
        <v>100</v>
      </c>
      <c r="E88" s="2">
        <v>100</v>
      </c>
      <c r="F88" s="2">
        <v>0</v>
      </c>
      <c r="G88" s="2">
        <v>0</v>
      </c>
      <c r="H88" s="2">
        <v>0</v>
      </c>
      <c r="I88" s="2" t="s">
        <v>64</v>
      </c>
      <c r="J88" s="2" t="s">
        <v>64</v>
      </c>
      <c r="K88" s="2" t="s">
        <v>64</v>
      </c>
      <c r="L88" s="2" t="s">
        <v>64</v>
      </c>
      <c r="M88" s="2">
        <v>100</v>
      </c>
      <c r="N88" s="2">
        <v>0</v>
      </c>
      <c r="O88" s="2">
        <v>0</v>
      </c>
      <c r="P88" s="2">
        <v>0</v>
      </c>
      <c r="Q88" s="2" t="str">
        <f t="shared" si="0"/>
        <v>China, Macao SAR|2015</v>
      </c>
      <c r="R88" s="2">
        <f t="shared" si="1"/>
        <v>5</v>
      </c>
      <c r="T88" s="2">
        <f t="shared" si="24"/>
        <v>0</v>
      </c>
      <c r="U88" s="2" t="str">
        <f t="shared" si="28"/>
        <v>null</v>
      </c>
      <c r="V88" s="2">
        <f t="shared" si="2"/>
        <v>0</v>
      </c>
      <c r="W88" s="2">
        <f t="shared" si="3"/>
        <v>100</v>
      </c>
      <c r="X88" s="2" t="b">
        <f t="shared" si="4"/>
        <v>0</v>
      </c>
      <c r="Y88" s="2">
        <f t="shared" si="5"/>
        <v>100</v>
      </c>
      <c r="Z88" s="2" t="str">
        <f t="shared" si="6"/>
        <v/>
      </c>
      <c r="AA88" s="2" t="str">
        <f t="shared" si="7"/>
        <v>Fully Accessible</v>
      </c>
      <c r="AB88" s="2" t="str">
        <f t="shared" si="8"/>
        <v>Fully Accessible</v>
      </c>
      <c r="AC88" s="2" t="b">
        <f t="shared" si="9"/>
        <v>0</v>
      </c>
      <c r="AE88" s="10" t="s">
        <v>148</v>
      </c>
      <c r="AF88" s="11" t="s">
        <v>57</v>
      </c>
      <c r="AH88" s="6" t="str">
        <f t="shared" si="10"/>
        <v>Latin America &amp; Caribbean</v>
      </c>
      <c r="AI88" s="6"/>
      <c r="AJ88" s="6"/>
      <c r="AK88" s="10">
        <f t="shared" si="26"/>
        <v>3.8419582000000216E-2</v>
      </c>
      <c r="AL88" s="6"/>
      <c r="AM88" s="6"/>
      <c r="AN88" s="6"/>
      <c r="AO88" s="10">
        <f t="shared" si="12"/>
        <v>0</v>
      </c>
      <c r="AP88" s="6"/>
      <c r="AQ88" s="6"/>
      <c r="AR88" s="6"/>
      <c r="AS88" s="10">
        <f t="shared" si="15"/>
        <v>0</v>
      </c>
      <c r="AT88" s="6"/>
      <c r="AU88" s="6"/>
      <c r="AX88" s="2">
        <f t="shared" si="18"/>
        <v>1251.4349976000001</v>
      </c>
      <c r="AY88" s="2">
        <f t="shared" si="19"/>
        <v>200</v>
      </c>
      <c r="AZ88" s="2">
        <f t="shared" si="20"/>
        <v>1051.4349976000001</v>
      </c>
      <c r="BA88" s="6"/>
    </row>
    <row r="89" spans="1:53" x14ac:dyDescent="0.25">
      <c r="A89" s="2" t="s">
        <v>106</v>
      </c>
      <c r="B89" s="2">
        <v>2020</v>
      </c>
      <c r="C89" s="2">
        <v>649.34198000000004</v>
      </c>
      <c r="D89" s="2">
        <v>100</v>
      </c>
      <c r="E89" s="2">
        <v>100</v>
      </c>
      <c r="F89" s="2">
        <v>0</v>
      </c>
      <c r="G89" s="2">
        <v>0</v>
      </c>
      <c r="H89" s="2">
        <v>0</v>
      </c>
      <c r="I89" s="2" t="s">
        <v>64</v>
      </c>
      <c r="J89" s="2" t="s">
        <v>64</v>
      </c>
      <c r="K89" s="2" t="s">
        <v>64</v>
      </c>
      <c r="L89" s="2" t="s">
        <v>64</v>
      </c>
      <c r="M89" s="2">
        <v>100</v>
      </c>
      <c r="N89" s="2">
        <v>0</v>
      </c>
      <c r="O89" s="2">
        <v>0</v>
      </c>
      <c r="P89" s="2">
        <v>0</v>
      </c>
      <c r="Q89" s="2" t="str">
        <f t="shared" si="0"/>
        <v>China, Macao SAR|2020</v>
      </c>
      <c r="R89" s="2" t="str">
        <f t="shared" si="1"/>
        <v xml:space="preserve"> </v>
      </c>
      <c r="T89" s="2" t="b">
        <f t="shared" si="24"/>
        <v>0</v>
      </c>
      <c r="U89" s="2" t="b">
        <f t="shared" si="28"/>
        <v>0</v>
      </c>
      <c r="V89" s="2" t="b">
        <f t="shared" si="2"/>
        <v>0</v>
      </c>
      <c r="W89" s="2">
        <f t="shared" si="3"/>
        <v>100</v>
      </c>
      <c r="X89" s="2" t="b">
        <f t="shared" si="4"/>
        <v>0</v>
      </c>
      <c r="Y89" s="2">
        <f t="shared" si="5"/>
        <v>100</v>
      </c>
      <c r="Z89" s="2" t="str">
        <f t="shared" si="6"/>
        <v/>
      </c>
      <c r="AA89" s="2" t="str">
        <f t="shared" si="7"/>
        <v/>
      </c>
      <c r="AB89" s="2" t="str">
        <f t="shared" si="8"/>
        <v/>
      </c>
      <c r="AC89" s="2">
        <f t="shared" si="9"/>
        <v>0</v>
      </c>
      <c r="AE89" s="10" t="s">
        <v>149</v>
      </c>
      <c r="AF89" s="11" t="s">
        <v>51</v>
      </c>
      <c r="AH89" s="6" t="str">
        <f t="shared" si="10"/>
        <v>East Asia &amp; Pacific</v>
      </c>
      <c r="AI89" s="6"/>
      <c r="AJ89" s="6"/>
      <c r="AK89" s="10">
        <f t="shared" si="26"/>
        <v>0</v>
      </c>
      <c r="AL89" s="6"/>
      <c r="AM89" s="6"/>
      <c r="AN89" s="6"/>
      <c r="AO89" s="10">
        <f t="shared" si="12"/>
        <v>0</v>
      </c>
      <c r="AP89" s="6"/>
      <c r="AQ89" s="6"/>
      <c r="AR89" s="6"/>
      <c r="AS89" s="10">
        <f t="shared" si="15"/>
        <v>0</v>
      </c>
      <c r="AT89" s="6"/>
      <c r="AU89" s="6"/>
      <c r="AX89" s="2" t="str">
        <f t="shared" si="18"/>
        <v>null</v>
      </c>
      <c r="AY89" s="2" t="str">
        <f t="shared" si="19"/>
        <v>null</v>
      </c>
      <c r="AZ89" s="2" t="str">
        <f t="shared" si="20"/>
        <v>null</v>
      </c>
      <c r="BA89" s="6"/>
    </row>
    <row r="90" spans="1:53" x14ac:dyDescent="0.25">
      <c r="A90" s="2" t="s">
        <v>104</v>
      </c>
      <c r="B90" s="2">
        <v>2015</v>
      </c>
      <c r="C90" s="2">
        <v>1430405.375</v>
      </c>
      <c r="D90" s="2">
        <v>55.852706910000002</v>
      </c>
      <c r="E90" s="2">
        <v>91.76264123</v>
      </c>
      <c r="F90" s="2">
        <v>0.81876266180000001</v>
      </c>
      <c r="G90" s="2">
        <v>6.7820774070000001</v>
      </c>
      <c r="H90" s="2">
        <v>0.63651870079999995</v>
      </c>
      <c r="I90" s="2">
        <v>84.479187920000001</v>
      </c>
      <c r="J90" s="2">
        <v>1.51186307</v>
      </c>
      <c r="K90" s="2">
        <v>12.952949009999999</v>
      </c>
      <c r="L90" s="2">
        <v>1.056</v>
      </c>
      <c r="M90" s="2">
        <v>97.519653969999993</v>
      </c>
      <c r="N90" s="2">
        <v>0.27091980389999998</v>
      </c>
      <c r="O90" s="2">
        <v>1.9044754100000001</v>
      </c>
      <c r="P90" s="2">
        <v>0.30495081969999999</v>
      </c>
      <c r="Q90" s="2" t="str">
        <f t="shared" si="0"/>
        <v>China|2015</v>
      </c>
      <c r="R90" s="2">
        <f t="shared" si="1"/>
        <v>5</v>
      </c>
      <c r="T90" s="2">
        <f t="shared" si="24"/>
        <v>0.49969387200000026</v>
      </c>
      <c r="U90" s="2">
        <f t="shared" si="28"/>
        <v>1.0364091180000004</v>
      </c>
      <c r="V90" s="2">
        <f t="shared" si="2"/>
        <v>-8.0954259999998612E-2</v>
      </c>
      <c r="W90" s="2">
        <f t="shared" si="3"/>
        <v>92</v>
      </c>
      <c r="X90" s="2">
        <f t="shared" si="4"/>
        <v>84</v>
      </c>
      <c r="Y90" s="2">
        <f t="shared" si="5"/>
        <v>98</v>
      </c>
      <c r="Z90" s="2" t="str">
        <f t="shared" si="6"/>
        <v/>
      </c>
      <c r="AA90" s="2" t="str">
        <f t="shared" si="7"/>
        <v/>
      </c>
      <c r="AB90" s="2" t="str">
        <f t="shared" si="8"/>
        <v>Fully Accessible</v>
      </c>
      <c r="AC90" s="2">
        <f t="shared" si="9"/>
        <v>1.117363377999999</v>
      </c>
      <c r="AE90" s="10" t="s">
        <v>150</v>
      </c>
      <c r="AF90" s="11" t="s">
        <v>57</v>
      </c>
      <c r="AH90" s="6" t="str">
        <f t="shared" si="10"/>
        <v>Latin America &amp; Caribbean</v>
      </c>
      <c r="AI90" s="6"/>
      <c r="AJ90" s="6"/>
      <c r="AK90" s="10">
        <f t="shared" si="26"/>
        <v>0.37447888400000123</v>
      </c>
      <c r="AL90" s="6"/>
      <c r="AM90" s="6"/>
      <c r="AN90" s="6"/>
      <c r="AO90" s="10">
        <f t="shared" si="12"/>
        <v>0.57531472400000039</v>
      </c>
      <c r="AP90" s="6"/>
      <c r="AQ90" s="6"/>
      <c r="AR90" s="6"/>
      <c r="AS90" s="10">
        <f t="shared" si="15"/>
        <v>0.11743610599999954</v>
      </c>
      <c r="AT90" s="6"/>
      <c r="AU90" s="6"/>
      <c r="AX90" s="2">
        <f t="shared" si="18"/>
        <v>2893545.875</v>
      </c>
      <c r="AY90" s="2">
        <f t="shared" si="19"/>
        <v>117.56579590000001</v>
      </c>
      <c r="AZ90" s="2">
        <f t="shared" si="20"/>
        <v>2893428.3092041002</v>
      </c>
      <c r="BA90" s="16"/>
    </row>
    <row r="91" spans="1:53" x14ac:dyDescent="0.25">
      <c r="A91" s="2" t="s">
        <v>104</v>
      </c>
      <c r="B91" s="2">
        <v>2020</v>
      </c>
      <c r="C91" s="2">
        <v>1463140.5</v>
      </c>
      <c r="D91" s="2">
        <v>61.713088990000003</v>
      </c>
      <c r="E91" s="2">
        <v>94.261110590000001</v>
      </c>
      <c r="F91" s="2">
        <v>0.8147213297</v>
      </c>
      <c r="G91" s="2">
        <v>4.725451938</v>
      </c>
      <c r="H91" s="2">
        <v>0.19871614409999999</v>
      </c>
      <c r="I91" s="2">
        <v>89.661233510000002</v>
      </c>
      <c r="J91" s="2">
        <v>1.832679086</v>
      </c>
      <c r="K91" s="2">
        <v>8.5060874089999992</v>
      </c>
      <c r="L91" s="2">
        <v>0</v>
      </c>
      <c r="M91" s="2">
        <v>97.11488267</v>
      </c>
      <c r="N91" s="2">
        <v>0.1831784927</v>
      </c>
      <c r="O91" s="2">
        <v>2.3799388399999999</v>
      </c>
      <c r="P91" s="2">
        <v>0.32200000000000001</v>
      </c>
      <c r="Q91" s="2" t="str">
        <f t="shared" si="0"/>
        <v>China|2020</v>
      </c>
      <c r="R91" s="2" t="str">
        <f t="shared" si="1"/>
        <v xml:space="preserve"> </v>
      </c>
      <c r="T91" s="2" t="b">
        <f t="shared" si="24"/>
        <v>0</v>
      </c>
      <c r="U91" s="2" t="b">
        <f t="shared" si="28"/>
        <v>0</v>
      </c>
      <c r="V91" s="2" t="b">
        <f t="shared" si="2"/>
        <v>0</v>
      </c>
      <c r="W91" s="2">
        <f t="shared" si="3"/>
        <v>94</v>
      </c>
      <c r="X91" s="2">
        <f t="shared" si="4"/>
        <v>90</v>
      </c>
      <c r="Y91" s="2">
        <f t="shared" si="5"/>
        <v>97</v>
      </c>
      <c r="Z91" s="2" t="str">
        <f t="shared" si="6"/>
        <v/>
      </c>
      <c r="AA91" s="2" t="str">
        <f t="shared" si="7"/>
        <v/>
      </c>
      <c r="AB91" s="2" t="str">
        <f t="shared" si="8"/>
        <v/>
      </c>
      <c r="AC91" s="2">
        <f t="shared" si="9"/>
        <v>0</v>
      </c>
      <c r="AE91" s="10" t="s">
        <v>151</v>
      </c>
      <c r="AF91" s="11" t="s">
        <v>63</v>
      </c>
      <c r="AH91" s="6" t="str">
        <f t="shared" si="10"/>
        <v>Sub-Saharan Africa</v>
      </c>
      <c r="AI91" s="6"/>
      <c r="AJ91" s="6"/>
      <c r="AK91" s="10">
        <f t="shared" si="26"/>
        <v>6.9279840000000092E-2</v>
      </c>
      <c r="AL91" s="6"/>
      <c r="AM91" s="6"/>
      <c r="AN91" s="6"/>
      <c r="AO91" s="10">
        <f t="shared" si="12"/>
        <v>-0.24019526999999954</v>
      </c>
      <c r="AP91" s="6"/>
      <c r="AQ91" s="6"/>
      <c r="AR91" s="6"/>
      <c r="AS91" s="10">
        <f t="shared" si="15"/>
        <v>0.28683647599999917</v>
      </c>
      <c r="AT91" s="6"/>
      <c r="AU91" s="6"/>
      <c r="AX91" s="2" t="str">
        <f t="shared" si="18"/>
        <v>null</v>
      </c>
      <c r="AY91" s="2" t="str">
        <f t="shared" si="19"/>
        <v>null</v>
      </c>
      <c r="AZ91" s="2" t="str">
        <f t="shared" si="20"/>
        <v>null</v>
      </c>
      <c r="BA91" s="6"/>
    </row>
    <row r="92" spans="1:53" x14ac:dyDescent="0.25">
      <c r="A92" s="2" t="s">
        <v>107</v>
      </c>
      <c r="B92" s="2">
        <v>2015</v>
      </c>
      <c r="C92" s="2">
        <v>47520.667970000002</v>
      </c>
      <c r="D92" s="2">
        <v>79.763999940000005</v>
      </c>
      <c r="E92" s="2">
        <v>96.335868120000001</v>
      </c>
      <c r="F92" s="2">
        <v>0.1840519904</v>
      </c>
      <c r="G92" s="2">
        <v>1.7034450619999999</v>
      </c>
      <c r="H92" s="2">
        <v>1.7766348270000001</v>
      </c>
      <c r="I92" s="2">
        <v>83.273725850000005</v>
      </c>
      <c r="J92" s="2">
        <v>0.68766562610000004</v>
      </c>
      <c r="K92" s="2">
        <v>7.2590323550000004</v>
      </c>
      <c r="L92" s="2">
        <v>8.7795761720000005</v>
      </c>
      <c r="M92" s="2">
        <v>99.649712370000003</v>
      </c>
      <c r="N92" s="2">
        <v>5.6286030219999998E-2</v>
      </c>
      <c r="O92" s="2">
        <v>0.29400160289999999</v>
      </c>
      <c r="P92" s="2">
        <v>0</v>
      </c>
      <c r="Q92" s="2" t="str">
        <f t="shared" si="0"/>
        <v>Colombia|2015</v>
      </c>
      <c r="R92" s="2">
        <f t="shared" si="1"/>
        <v>5</v>
      </c>
      <c r="T92" s="2">
        <f t="shared" si="24"/>
        <v>0.23115779800000097</v>
      </c>
      <c r="U92" s="2">
        <f t="shared" si="28"/>
        <v>0.69866939399999806</v>
      </c>
      <c r="V92" s="2">
        <f t="shared" si="2"/>
        <v>5.7696085999998557E-2</v>
      </c>
      <c r="W92" s="2">
        <f t="shared" si="3"/>
        <v>96</v>
      </c>
      <c r="X92" s="2">
        <f t="shared" si="4"/>
        <v>83</v>
      </c>
      <c r="Y92" s="2">
        <f t="shared" si="5"/>
        <v>100</v>
      </c>
      <c r="Z92" s="2" t="str">
        <f t="shared" si="6"/>
        <v/>
      </c>
      <c r="AA92" s="2" t="str">
        <f t="shared" si="7"/>
        <v/>
      </c>
      <c r="AB92" s="2" t="str">
        <f t="shared" si="8"/>
        <v>Fully Accessible</v>
      </c>
      <c r="AC92" s="2">
        <f t="shared" si="9"/>
        <v>0.64097330799999952</v>
      </c>
      <c r="AE92" s="10" t="s">
        <v>152</v>
      </c>
      <c r="AF92" s="11" t="s">
        <v>63</v>
      </c>
      <c r="AH92" s="6" t="str">
        <f t="shared" si="10"/>
        <v>Sub-Saharan Africa</v>
      </c>
      <c r="AI92" s="6"/>
      <c r="AJ92" s="6"/>
      <c r="AK92" s="10">
        <f t="shared" si="26"/>
        <v>5.0512917999999726E-2</v>
      </c>
      <c r="AL92" s="6"/>
      <c r="AM92" s="6"/>
      <c r="AN92" s="6"/>
      <c r="AO92" s="10">
        <f t="shared" si="12"/>
        <v>0.28183505000000081</v>
      </c>
      <c r="AP92" s="6"/>
      <c r="AQ92" s="6"/>
      <c r="AR92" s="6"/>
      <c r="AS92" s="10">
        <f t="shared" si="15"/>
        <v>-0.47187666199999967</v>
      </c>
      <c r="AT92" s="6"/>
      <c r="AU92" s="6"/>
      <c r="AX92" s="2">
        <f t="shared" si="18"/>
        <v>98403.550780000005</v>
      </c>
      <c r="AY92" s="2">
        <f t="shared" si="19"/>
        <v>161.18899536000001</v>
      </c>
      <c r="AZ92" s="2">
        <f t="shared" si="20"/>
        <v>98242.361784640001</v>
      </c>
      <c r="BA92" s="16"/>
    </row>
    <row r="93" spans="1:53" x14ac:dyDescent="0.25">
      <c r="A93" s="2" t="s">
        <v>107</v>
      </c>
      <c r="B93" s="2">
        <v>2020</v>
      </c>
      <c r="C93" s="2">
        <v>50882.882810000003</v>
      </c>
      <c r="D93" s="2">
        <v>81.424995420000002</v>
      </c>
      <c r="E93" s="2">
        <v>97.491657110000006</v>
      </c>
      <c r="F93" s="2">
        <v>0.18615215909999999</v>
      </c>
      <c r="G93" s="2">
        <v>0.95361622280000002</v>
      </c>
      <c r="H93" s="2">
        <v>1.3685745119999999</v>
      </c>
      <c r="I93" s="2">
        <v>86.767072819999996</v>
      </c>
      <c r="J93" s="2">
        <v>0.73122820160000002</v>
      </c>
      <c r="K93" s="2">
        <v>5.13386897</v>
      </c>
      <c r="L93" s="2">
        <v>7.3678300050000001</v>
      </c>
      <c r="M93" s="2">
        <v>99.938192799999996</v>
      </c>
      <c r="N93" s="2">
        <v>6.18072E-2</v>
      </c>
      <c r="O93" s="2">
        <v>0</v>
      </c>
      <c r="P93" s="2">
        <v>0</v>
      </c>
      <c r="Q93" s="2" t="str">
        <f t="shared" si="0"/>
        <v>Colombia|2020</v>
      </c>
      <c r="R93" s="2" t="str">
        <f t="shared" si="1"/>
        <v xml:space="preserve"> </v>
      </c>
      <c r="T93" s="2" t="b">
        <f t="shared" si="24"/>
        <v>0</v>
      </c>
      <c r="U93" s="2" t="b">
        <f t="shared" si="28"/>
        <v>0</v>
      </c>
      <c r="V93" s="2" t="b">
        <f t="shared" si="2"/>
        <v>0</v>
      </c>
      <c r="W93" s="2">
        <f t="shared" si="3"/>
        <v>97</v>
      </c>
      <c r="X93" s="2">
        <f t="shared" si="4"/>
        <v>87</v>
      </c>
      <c r="Y93" s="2">
        <f t="shared" si="5"/>
        <v>100</v>
      </c>
      <c r="Z93" s="2" t="str">
        <f t="shared" si="6"/>
        <v/>
      </c>
      <c r="AA93" s="2" t="str">
        <f t="shared" si="7"/>
        <v/>
      </c>
      <c r="AB93" s="2" t="str">
        <f t="shared" si="8"/>
        <v/>
      </c>
      <c r="AC93" s="2">
        <f t="shared" si="9"/>
        <v>0</v>
      </c>
      <c r="AE93" s="10" t="s">
        <v>153</v>
      </c>
      <c r="AF93" s="11" t="s">
        <v>57</v>
      </c>
      <c r="AH93" s="6" t="str">
        <f t="shared" si="10"/>
        <v>Latin America &amp; Caribbean</v>
      </c>
      <c r="AI93" s="6"/>
      <c r="AJ93" s="6"/>
      <c r="AK93" s="10">
        <f t="shared" si="26"/>
        <v>7.8589980000000989E-2</v>
      </c>
      <c r="AL93" s="6"/>
      <c r="AM93" s="6"/>
      <c r="AN93" s="6"/>
      <c r="AO93" s="10">
        <f t="shared" si="12"/>
        <v>0.10114415799999961</v>
      </c>
      <c r="AP93" s="6"/>
      <c r="AQ93" s="6"/>
      <c r="AR93" s="6"/>
      <c r="AS93" s="10">
        <f t="shared" si="15"/>
        <v>0</v>
      </c>
      <c r="AT93" s="6"/>
      <c r="AU93" s="6"/>
      <c r="AX93" s="2" t="str">
        <f t="shared" si="18"/>
        <v>null</v>
      </c>
      <c r="AY93" s="2" t="str">
        <f t="shared" si="19"/>
        <v>null</v>
      </c>
      <c r="AZ93" s="2" t="str">
        <f t="shared" si="20"/>
        <v>null</v>
      </c>
      <c r="BA93" s="16"/>
    </row>
    <row r="94" spans="1:53" x14ac:dyDescent="0.25">
      <c r="A94" s="2" t="s">
        <v>108</v>
      </c>
      <c r="B94" s="2">
        <v>2015</v>
      </c>
      <c r="C94" s="2">
        <v>777.43499759999997</v>
      </c>
      <c r="D94" s="2">
        <v>28.47000122</v>
      </c>
      <c r="E94" s="2">
        <v>80.132000079999997</v>
      </c>
      <c r="F94" s="2">
        <v>10.877265</v>
      </c>
      <c r="G94" s="2">
        <v>8.3951934319999992</v>
      </c>
      <c r="H94" s="2">
        <v>0.59554149119999999</v>
      </c>
      <c r="I94" s="2">
        <v>76.911723449999997</v>
      </c>
      <c r="J94" s="2">
        <v>11.568647240000001</v>
      </c>
      <c r="K94" s="2">
        <v>10.82245445</v>
      </c>
      <c r="L94" s="2">
        <v>0.69717485830000003</v>
      </c>
      <c r="M94" s="2">
        <v>88.222845579999998</v>
      </c>
      <c r="N94" s="2">
        <v>9.1401884950000003</v>
      </c>
      <c r="O94" s="2">
        <v>2.2967751299999999</v>
      </c>
      <c r="P94" s="2">
        <v>0.34019079699999999</v>
      </c>
      <c r="Q94" s="2" t="str">
        <f t="shared" si="0"/>
        <v>Comoros|2015</v>
      </c>
      <c r="R94" s="2">
        <f t="shared" si="1"/>
        <v>4</v>
      </c>
      <c r="T94" s="2">
        <f t="shared" si="24"/>
        <v>1.9624432500002342E-2</v>
      </c>
      <c r="U94" s="2">
        <f t="shared" si="28"/>
        <v>0</v>
      </c>
      <c r="V94" s="2">
        <f t="shared" si="2"/>
        <v>0</v>
      </c>
      <c r="W94" s="2">
        <f t="shared" si="3"/>
        <v>80</v>
      </c>
      <c r="X94" s="2">
        <f t="shared" si="4"/>
        <v>77</v>
      </c>
      <c r="Y94" s="2">
        <f t="shared" si="5"/>
        <v>88</v>
      </c>
      <c r="Z94" s="2" t="str">
        <f t="shared" si="6"/>
        <v/>
      </c>
      <c r="AA94" s="2" t="str">
        <f t="shared" si="7"/>
        <v/>
      </c>
      <c r="AB94" s="2" t="str">
        <f t="shared" si="8"/>
        <v>Fully Accessible</v>
      </c>
      <c r="AC94" s="2">
        <f t="shared" si="9"/>
        <v>0</v>
      </c>
      <c r="AE94" s="10" t="s">
        <v>154</v>
      </c>
      <c r="AF94" s="11" t="s">
        <v>63</v>
      </c>
      <c r="AH94" s="6" t="str">
        <f t="shared" si="10"/>
        <v>Sub-Saharan Africa</v>
      </c>
      <c r="AI94" s="6"/>
      <c r="AJ94" s="6"/>
      <c r="AK94" s="10">
        <f t="shared" si="26"/>
        <v>0.4255644920000009</v>
      </c>
      <c r="AL94" s="6"/>
      <c r="AM94" s="6"/>
      <c r="AN94" s="6"/>
      <c r="AO94" s="10">
        <f t="shared" si="12"/>
        <v>8.5856410000000952E-2</v>
      </c>
      <c r="AP94" s="6"/>
      <c r="AQ94" s="6"/>
      <c r="AR94" s="6"/>
      <c r="AS94" s="10">
        <f t="shared" si="15"/>
        <v>-9.0115679999996697E-3</v>
      </c>
      <c r="AT94" s="6"/>
      <c r="AU94" s="6"/>
      <c r="AX94" s="2">
        <f t="shared" si="18"/>
        <v>1628.3259888</v>
      </c>
      <c r="AY94" s="2">
        <f t="shared" si="19"/>
        <v>57.634002680000002</v>
      </c>
      <c r="AZ94" s="2">
        <f t="shared" si="20"/>
        <v>1570.6919861199999</v>
      </c>
      <c r="BA94" s="6"/>
    </row>
    <row r="95" spans="1:53" x14ac:dyDescent="0.25">
      <c r="A95" s="2" t="s">
        <v>108</v>
      </c>
      <c r="B95" s="2">
        <v>2019</v>
      </c>
      <c r="C95" s="2">
        <v>850.89099120000003</v>
      </c>
      <c r="D95" s="2">
        <v>29.164001460000001</v>
      </c>
      <c r="E95" s="2">
        <v>80.210497810000007</v>
      </c>
      <c r="F95" s="2">
        <v>10.86041131</v>
      </c>
      <c r="G95" s="2">
        <v>8.9290908879999993</v>
      </c>
      <c r="H95" s="2" t="s">
        <v>64</v>
      </c>
      <c r="I95" s="2">
        <v>76.911723449999997</v>
      </c>
      <c r="J95" s="2">
        <v>11.568647240000001</v>
      </c>
      <c r="K95" s="2">
        <v>11.519629309999999</v>
      </c>
      <c r="L95" s="2" t="s">
        <v>64</v>
      </c>
      <c r="M95" s="2">
        <v>88.222845579999998</v>
      </c>
      <c r="N95" s="2">
        <v>9.1401884950000003</v>
      </c>
      <c r="O95" s="2">
        <v>2.2967751299999999</v>
      </c>
      <c r="P95" s="2">
        <v>0.34019079699999999</v>
      </c>
      <c r="Q95" s="2" t="str">
        <f t="shared" si="0"/>
        <v>Comoros|2019</v>
      </c>
      <c r="R95" s="2" t="str">
        <f t="shared" si="1"/>
        <v xml:space="preserve"> </v>
      </c>
      <c r="T95" s="2" t="b">
        <f t="shared" si="24"/>
        <v>0</v>
      </c>
      <c r="U95" s="2" t="b">
        <f t="shared" si="28"/>
        <v>0</v>
      </c>
      <c r="V95" s="2" t="b">
        <f t="shared" si="2"/>
        <v>0</v>
      </c>
      <c r="W95" s="2">
        <f t="shared" si="3"/>
        <v>80</v>
      </c>
      <c r="X95" s="2">
        <f t="shared" si="4"/>
        <v>77</v>
      </c>
      <c r="Y95" s="2">
        <f t="shared" si="5"/>
        <v>88</v>
      </c>
      <c r="Z95" s="2" t="str">
        <f t="shared" si="6"/>
        <v/>
      </c>
      <c r="AA95" s="2" t="str">
        <f t="shared" si="7"/>
        <v/>
      </c>
      <c r="AB95" s="2" t="str">
        <f t="shared" si="8"/>
        <v/>
      </c>
      <c r="AC95" s="2">
        <f t="shared" si="9"/>
        <v>0</v>
      </c>
      <c r="AE95" s="10" t="s">
        <v>155</v>
      </c>
      <c r="AF95" s="11" t="s">
        <v>57</v>
      </c>
      <c r="AH95" s="6" t="str">
        <f t="shared" si="10"/>
        <v>Latin America &amp; Caribbean</v>
      </c>
      <c r="AI95" s="6"/>
      <c r="AJ95" s="6"/>
      <c r="AK95" s="10">
        <f t="shared" si="26"/>
        <v>0.48696208400000102</v>
      </c>
      <c r="AL95" s="6"/>
      <c r="AM95" s="6"/>
      <c r="AN95" s="6"/>
      <c r="AO95" s="10">
        <f t="shared" si="12"/>
        <v>0.68774516000000008</v>
      </c>
      <c r="AP95" s="6"/>
      <c r="AQ95" s="6"/>
      <c r="AR95" s="6"/>
      <c r="AS95" s="10">
        <f t="shared" si="15"/>
        <v>0.20842402600000015</v>
      </c>
      <c r="AT95" s="6"/>
      <c r="AU95" s="6"/>
      <c r="AX95" s="2" t="str">
        <f t="shared" si="18"/>
        <v>null</v>
      </c>
      <c r="AY95" s="2" t="str">
        <f t="shared" si="19"/>
        <v>null</v>
      </c>
      <c r="AZ95" s="2" t="str">
        <f t="shared" si="20"/>
        <v>null</v>
      </c>
      <c r="BA95" s="6"/>
    </row>
    <row r="96" spans="1:53" x14ac:dyDescent="0.25">
      <c r="A96" s="2" t="s">
        <v>109</v>
      </c>
      <c r="B96" s="2">
        <v>2015</v>
      </c>
      <c r="C96" s="2">
        <v>4856.0927730000003</v>
      </c>
      <c r="D96" s="2">
        <v>65.542999269999996</v>
      </c>
      <c r="E96" s="2">
        <v>71.149581769999998</v>
      </c>
      <c r="F96" s="2">
        <v>10.510526049999999</v>
      </c>
      <c r="G96" s="2">
        <v>11.662046309999999</v>
      </c>
      <c r="H96" s="2">
        <v>6.6778458760000001</v>
      </c>
      <c r="I96" s="2">
        <v>41.39183594</v>
      </c>
      <c r="J96" s="2">
        <v>10.739572649999999</v>
      </c>
      <c r="K96" s="2">
        <v>28.501848710000001</v>
      </c>
      <c r="L96" s="2">
        <v>19.366742689999999</v>
      </c>
      <c r="M96" s="2">
        <v>86.793705160000002</v>
      </c>
      <c r="N96" s="2">
        <v>10.390112999999999</v>
      </c>
      <c r="O96" s="2">
        <v>2.809090742</v>
      </c>
      <c r="P96" s="2">
        <v>7.0910958900000003E-3</v>
      </c>
      <c r="Q96" s="2" t="str">
        <f t="shared" si="0"/>
        <v>Congo|2015</v>
      </c>
      <c r="R96" s="2">
        <f t="shared" si="1"/>
        <v>5</v>
      </c>
      <c r="T96" s="2">
        <f t="shared" si="24"/>
        <v>0.52698596200000059</v>
      </c>
      <c r="U96" s="2">
        <f t="shared" si="28"/>
        <v>0.8665154479999998</v>
      </c>
      <c r="V96" s="2">
        <f t="shared" si="2"/>
        <v>5.9918199999998478E-2</v>
      </c>
      <c r="W96" s="2">
        <f t="shared" si="3"/>
        <v>71</v>
      </c>
      <c r="X96" s="2">
        <f t="shared" si="4"/>
        <v>41</v>
      </c>
      <c r="Y96" s="2">
        <f t="shared" si="5"/>
        <v>87</v>
      </c>
      <c r="Z96" s="2" t="str">
        <f t="shared" si="6"/>
        <v/>
      </c>
      <c r="AA96" s="2" t="str">
        <f t="shared" si="7"/>
        <v/>
      </c>
      <c r="AB96" s="2" t="str">
        <f t="shared" si="8"/>
        <v>Fully Accessible</v>
      </c>
      <c r="AC96" s="2">
        <f t="shared" si="9"/>
        <v>0.80659724800000132</v>
      </c>
      <c r="AE96" s="10" t="s">
        <v>156</v>
      </c>
      <c r="AF96" s="11" t="s">
        <v>53</v>
      </c>
      <c r="AH96" s="6" t="str">
        <f t="shared" si="10"/>
        <v>Europe &amp; Central Asia</v>
      </c>
      <c r="AI96" s="6"/>
      <c r="AJ96" s="6"/>
      <c r="AK96" s="10">
        <f t="shared" si="26"/>
        <v>5.8937020000001897E-3</v>
      </c>
      <c r="AL96" s="6"/>
      <c r="AM96" s="6"/>
      <c r="AN96" s="6"/>
      <c r="AO96" s="10">
        <f t="shared" si="12"/>
        <v>1.9982056000000626E-2</v>
      </c>
      <c r="AP96" s="6"/>
      <c r="AQ96" s="6"/>
      <c r="AR96" s="6"/>
      <c r="AS96" s="10">
        <f t="shared" si="15"/>
        <v>0</v>
      </c>
      <c r="AT96" s="6"/>
      <c r="AU96" s="6"/>
      <c r="AX96" s="2">
        <f t="shared" si="18"/>
        <v>10374.184570000001</v>
      </c>
      <c r="AY96" s="2">
        <f t="shared" si="19"/>
        <v>133.37200165000002</v>
      </c>
      <c r="AZ96" s="2">
        <f t="shared" si="20"/>
        <v>10240.812568350002</v>
      </c>
      <c r="BA96" s="6"/>
    </row>
    <row r="97" spans="1:53" x14ac:dyDescent="0.25">
      <c r="A97" s="2" t="s">
        <v>109</v>
      </c>
      <c r="B97" s="2">
        <v>2020</v>
      </c>
      <c r="C97" s="2">
        <v>5518.091797</v>
      </c>
      <c r="D97" s="2">
        <v>67.829002380000006</v>
      </c>
      <c r="E97" s="2">
        <v>73.78451158</v>
      </c>
      <c r="F97" s="2">
        <v>10.46117203</v>
      </c>
      <c r="G97" s="2">
        <v>9.5591807220000007</v>
      </c>
      <c r="H97" s="2">
        <v>6.1951356640000004</v>
      </c>
      <c r="I97" s="2">
        <v>45.724413179999999</v>
      </c>
      <c r="J97" s="2">
        <v>10.6323901</v>
      </c>
      <c r="K97" s="2">
        <v>24.405169730000001</v>
      </c>
      <c r="L97" s="2">
        <v>19.238026990000002</v>
      </c>
      <c r="M97" s="2">
        <v>87.093296159999994</v>
      </c>
      <c r="N97" s="2">
        <v>10.37996439</v>
      </c>
      <c r="O97" s="2">
        <v>2.5177899969999999</v>
      </c>
      <c r="P97" s="2">
        <v>8.9494520549999994E-3</v>
      </c>
      <c r="Q97" s="2" t="str">
        <f t="shared" si="0"/>
        <v>Congo|2020</v>
      </c>
      <c r="R97" s="2" t="str">
        <f t="shared" si="1"/>
        <v xml:space="preserve"> </v>
      </c>
      <c r="T97" s="2" t="b">
        <f t="shared" si="24"/>
        <v>0</v>
      </c>
      <c r="U97" s="2" t="b">
        <f t="shared" si="28"/>
        <v>0</v>
      </c>
      <c r="V97" s="2" t="b">
        <f t="shared" si="2"/>
        <v>0</v>
      </c>
      <c r="W97" s="2">
        <f t="shared" si="3"/>
        <v>74</v>
      </c>
      <c r="X97" s="2">
        <f t="shared" si="4"/>
        <v>46</v>
      </c>
      <c r="Y97" s="2">
        <f t="shared" si="5"/>
        <v>87</v>
      </c>
      <c r="Z97" s="2" t="str">
        <f t="shared" si="6"/>
        <v/>
      </c>
      <c r="AA97" s="2" t="str">
        <f t="shared" si="7"/>
        <v/>
      </c>
      <c r="AB97" s="2" t="str">
        <f t="shared" si="8"/>
        <v/>
      </c>
      <c r="AC97" s="2">
        <f t="shared" si="9"/>
        <v>0</v>
      </c>
      <c r="AE97" s="10" t="s">
        <v>157</v>
      </c>
      <c r="AF97" s="11" t="s">
        <v>53</v>
      </c>
      <c r="AH97" s="6" t="str">
        <f t="shared" si="10"/>
        <v>Europe &amp; Central Asia</v>
      </c>
      <c r="AI97" s="6"/>
      <c r="AJ97" s="6"/>
      <c r="AK97" s="10">
        <f t="shared" si="26"/>
        <v>-1.0180000003856548E-6</v>
      </c>
      <c r="AL97" s="6"/>
      <c r="AM97" s="6"/>
      <c r="AN97" s="6"/>
      <c r="AO97" s="10">
        <f t="shared" si="12"/>
        <v>0</v>
      </c>
      <c r="AP97" s="6"/>
      <c r="AQ97" s="6"/>
      <c r="AR97" s="6"/>
      <c r="AS97" s="10">
        <f t="shared" si="15"/>
        <v>0</v>
      </c>
      <c r="AT97" s="6"/>
      <c r="AU97" s="6"/>
      <c r="AX97" s="2" t="str">
        <f t="shared" si="18"/>
        <v>null</v>
      </c>
      <c r="AY97" s="2" t="str">
        <f t="shared" si="19"/>
        <v>null</v>
      </c>
      <c r="AZ97" s="2" t="str">
        <f t="shared" si="20"/>
        <v>null</v>
      </c>
      <c r="BA97" s="6"/>
    </row>
    <row r="98" spans="1:53" x14ac:dyDescent="0.25">
      <c r="A98" s="2" t="s">
        <v>110</v>
      </c>
      <c r="B98" s="2">
        <v>2015</v>
      </c>
      <c r="C98" s="2">
        <v>17.580999370000001</v>
      </c>
      <c r="D98" s="2">
        <v>74.403999330000005</v>
      </c>
      <c r="E98" s="2">
        <v>99.953671020000002</v>
      </c>
      <c r="F98" s="2">
        <v>0</v>
      </c>
      <c r="G98" s="2">
        <v>4.6328976289999997E-2</v>
      </c>
      <c r="H98" s="2">
        <v>0</v>
      </c>
      <c r="I98" s="2" t="s">
        <v>64</v>
      </c>
      <c r="J98" s="2" t="s">
        <v>64</v>
      </c>
      <c r="K98" s="2" t="s">
        <v>64</v>
      </c>
      <c r="L98" s="2" t="s">
        <v>64</v>
      </c>
      <c r="M98" s="2" t="s">
        <v>64</v>
      </c>
      <c r="N98" s="2" t="s">
        <v>64</v>
      </c>
      <c r="O98" s="2" t="s">
        <v>64</v>
      </c>
      <c r="P98" s="2" t="s">
        <v>64</v>
      </c>
      <c r="Q98" s="2" t="str">
        <f t="shared" si="0"/>
        <v>Cook Islands|2015</v>
      </c>
      <c r="R98" s="2">
        <f t="shared" si="1"/>
        <v>5</v>
      </c>
      <c r="T98" s="2">
        <f t="shared" si="24"/>
        <v>3.5878400000001419E-3</v>
      </c>
      <c r="U98" s="2" t="str">
        <f t="shared" si="28"/>
        <v>null</v>
      </c>
      <c r="V98" s="2" t="str">
        <f t="shared" si="2"/>
        <v>null</v>
      </c>
      <c r="W98" s="2">
        <f t="shared" si="3"/>
        <v>100</v>
      </c>
      <c r="X98" s="2" t="b">
        <f t="shared" si="4"/>
        <v>0</v>
      </c>
      <c r="Y98" s="2" t="b">
        <f t="shared" si="5"/>
        <v>0</v>
      </c>
      <c r="Z98" s="2" t="str">
        <f t="shared" si="6"/>
        <v/>
      </c>
      <c r="AA98" s="2" t="str">
        <f t="shared" si="7"/>
        <v>Fully Accessible</v>
      </c>
      <c r="AB98" s="2" t="str">
        <f t="shared" si="8"/>
        <v>Fully Accessible</v>
      </c>
      <c r="AC98" s="2" t="b">
        <f t="shared" si="9"/>
        <v>0</v>
      </c>
      <c r="AE98" s="10" t="s">
        <v>158</v>
      </c>
      <c r="AF98" s="11" t="s">
        <v>50</v>
      </c>
      <c r="AH98" s="6" t="str">
        <f t="shared" si="10"/>
        <v>South Asia</v>
      </c>
      <c r="AI98" s="6"/>
      <c r="AJ98" s="6"/>
      <c r="AK98" s="10">
        <f t="shared" si="26"/>
        <v>0.47027847999999894</v>
      </c>
      <c r="AL98" s="6"/>
      <c r="AM98" s="6"/>
      <c r="AN98" s="6"/>
      <c r="AO98" s="10">
        <f t="shared" si="12"/>
        <v>0.64210055599999971</v>
      </c>
      <c r="AP98" s="6"/>
      <c r="AQ98" s="6"/>
      <c r="AR98" s="6"/>
      <c r="AS98" s="10">
        <f t="shared" si="15"/>
        <v>5.379433800000015E-2</v>
      </c>
      <c r="AT98" s="6"/>
      <c r="AU98" s="6"/>
      <c r="AX98" s="2">
        <f t="shared" si="18"/>
        <v>35.144998549999997</v>
      </c>
      <c r="AY98" s="2">
        <f t="shared" si="19"/>
        <v>149.89900208</v>
      </c>
      <c r="AZ98" s="2">
        <f t="shared" si="20"/>
        <v>-114.75400353000001</v>
      </c>
      <c r="BA98" s="16"/>
    </row>
    <row r="99" spans="1:53" x14ac:dyDescent="0.25">
      <c r="A99" s="2" t="s">
        <v>110</v>
      </c>
      <c r="B99" s="2">
        <v>2020</v>
      </c>
      <c r="C99" s="2">
        <v>17.56399918</v>
      </c>
      <c r="D99" s="2">
        <v>75.495002749999998</v>
      </c>
      <c r="E99" s="2">
        <v>99.971610220000002</v>
      </c>
      <c r="F99" s="2">
        <v>0</v>
      </c>
      <c r="G99" s="2">
        <v>2.8389782700000001E-2</v>
      </c>
      <c r="H99" s="2">
        <v>0</v>
      </c>
      <c r="I99" s="2" t="s">
        <v>64</v>
      </c>
      <c r="J99" s="2" t="s">
        <v>64</v>
      </c>
      <c r="K99" s="2" t="s">
        <v>64</v>
      </c>
      <c r="L99" s="2" t="s">
        <v>64</v>
      </c>
      <c r="M99" s="2" t="s">
        <v>64</v>
      </c>
      <c r="N99" s="2" t="s">
        <v>64</v>
      </c>
      <c r="O99" s="2" t="s">
        <v>64</v>
      </c>
      <c r="P99" s="2" t="s">
        <v>64</v>
      </c>
      <c r="Q99" s="2" t="str">
        <f t="shared" si="0"/>
        <v>Cook Islands|2020</v>
      </c>
      <c r="R99" s="2" t="str">
        <f t="shared" si="1"/>
        <v xml:space="preserve"> </v>
      </c>
      <c r="T99" s="2" t="b">
        <f t="shared" si="24"/>
        <v>0</v>
      </c>
      <c r="U99" s="2" t="b">
        <f t="shared" si="28"/>
        <v>0</v>
      </c>
      <c r="V99" s="2" t="b">
        <f t="shared" si="2"/>
        <v>0</v>
      </c>
      <c r="W99" s="2">
        <f t="shared" si="3"/>
        <v>100</v>
      </c>
      <c r="X99" s="2" t="b">
        <f t="shared" si="4"/>
        <v>0</v>
      </c>
      <c r="Y99" s="2" t="b">
        <f t="shared" si="5"/>
        <v>0</v>
      </c>
      <c r="Z99" s="2" t="str">
        <f t="shared" si="6"/>
        <v/>
      </c>
      <c r="AA99" s="2" t="str">
        <f t="shared" si="7"/>
        <v/>
      </c>
      <c r="AB99" s="2" t="str">
        <f t="shared" si="8"/>
        <v/>
      </c>
      <c r="AC99" s="2">
        <f t="shared" si="9"/>
        <v>0</v>
      </c>
      <c r="AE99" s="10" t="s">
        <v>159</v>
      </c>
      <c r="AF99" s="11" t="s">
        <v>51</v>
      </c>
      <c r="AH99" s="6" t="str">
        <f t="shared" si="10"/>
        <v>East Asia &amp; Pacific</v>
      </c>
      <c r="AI99" s="6"/>
      <c r="AJ99" s="6"/>
      <c r="AK99" s="10">
        <f t="shared" si="26"/>
        <v>0.77759933000000103</v>
      </c>
      <c r="AL99" s="6"/>
      <c r="AM99" s="6"/>
      <c r="AN99" s="6"/>
      <c r="AO99" s="10">
        <f t="shared" si="12"/>
        <v>1.0074342380000019</v>
      </c>
      <c r="AP99" s="6"/>
      <c r="AQ99" s="6"/>
      <c r="AR99" s="6"/>
      <c r="AS99" s="10">
        <f t="shared" si="15"/>
        <v>0.42760406200000034</v>
      </c>
      <c r="AT99" s="6"/>
      <c r="AU99" s="6"/>
      <c r="AX99" s="2" t="str">
        <f t="shared" si="18"/>
        <v>null</v>
      </c>
      <c r="AY99" s="2" t="str">
        <f t="shared" si="19"/>
        <v>null</v>
      </c>
      <c r="AZ99" s="2" t="str">
        <f t="shared" si="20"/>
        <v>null</v>
      </c>
      <c r="BA99" s="6"/>
    </row>
    <row r="100" spans="1:53" x14ac:dyDescent="0.25">
      <c r="A100" s="2" t="s">
        <v>111</v>
      </c>
      <c r="B100" s="2">
        <v>2015</v>
      </c>
      <c r="C100" s="2">
        <v>4847.8051759999998</v>
      </c>
      <c r="D100" s="2">
        <v>76.861999510000004</v>
      </c>
      <c r="E100" s="2">
        <v>99.378686819999999</v>
      </c>
      <c r="F100" s="2">
        <v>0.25413037840000002</v>
      </c>
      <c r="G100" s="2">
        <v>0.21133501860000001</v>
      </c>
      <c r="H100" s="2">
        <v>0.15584778429999999</v>
      </c>
      <c r="I100" s="2">
        <v>98.186032490000002</v>
      </c>
      <c r="J100" s="2">
        <v>0.4100611535</v>
      </c>
      <c r="K100" s="2">
        <v>0.73034857679999998</v>
      </c>
      <c r="L100" s="2">
        <v>0.67355777780000003</v>
      </c>
      <c r="M100" s="2">
        <v>99.737715109999996</v>
      </c>
      <c r="N100" s="2">
        <v>0.20719007179999999</v>
      </c>
      <c r="O100" s="2">
        <v>5.5094818300000001E-2</v>
      </c>
      <c r="P100" s="2">
        <v>0</v>
      </c>
      <c r="Q100" s="2" t="str">
        <f t="shared" si="0"/>
        <v>Costa Rica|2015</v>
      </c>
      <c r="R100" s="2">
        <f t="shared" si="1"/>
        <v>5</v>
      </c>
      <c r="T100" s="2">
        <f t="shared" si="24"/>
        <v>8.6370021999999838E-2</v>
      </c>
      <c r="U100" s="2">
        <f t="shared" si="28"/>
        <v>0.29204350199999851</v>
      </c>
      <c r="V100" s="2">
        <f t="shared" si="2"/>
        <v>2.2387550000001966E-2</v>
      </c>
      <c r="W100" s="2">
        <f t="shared" si="3"/>
        <v>99</v>
      </c>
      <c r="X100" s="2">
        <f t="shared" si="4"/>
        <v>98</v>
      </c>
      <c r="Y100" s="2">
        <f t="shared" si="5"/>
        <v>100</v>
      </c>
      <c r="Z100" s="2" t="str">
        <f t="shared" si="6"/>
        <v/>
      </c>
      <c r="AA100" s="2" t="str">
        <f t="shared" si="7"/>
        <v/>
      </c>
      <c r="AB100" s="2" t="str">
        <f t="shared" si="8"/>
        <v>Fully Accessible</v>
      </c>
      <c r="AC100" s="2">
        <f t="shared" si="9"/>
        <v>0.26965595199999653</v>
      </c>
      <c r="AE100" s="10" t="s">
        <v>160</v>
      </c>
      <c r="AF100" s="11" t="s">
        <v>50</v>
      </c>
      <c r="AH100" s="6" t="str">
        <f t="shared" si="10"/>
        <v>South Asia</v>
      </c>
      <c r="AI100" s="6"/>
      <c r="AJ100" s="6"/>
      <c r="AK100" s="10">
        <f t="shared" si="26"/>
        <v>0.13512985000000127</v>
      </c>
      <c r="AL100" s="6"/>
      <c r="AM100" s="6"/>
      <c r="AN100" s="6"/>
      <c r="AO100" s="10">
        <f t="shared" si="12"/>
        <v>0.33324654600000087</v>
      </c>
      <c r="AP100" s="6"/>
      <c r="AQ100" s="6"/>
      <c r="AR100" s="6"/>
      <c r="AS100" s="10">
        <f t="shared" si="15"/>
        <v>3.014517000000012E-2</v>
      </c>
      <c r="AT100" s="6"/>
      <c r="AU100" s="6"/>
      <c r="AX100" s="2">
        <f t="shared" si="18"/>
        <v>9941.9189459999998</v>
      </c>
      <c r="AY100" s="2">
        <f t="shared" si="19"/>
        <v>157.63299560000002</v>
      </c>
      <c r="AZ100" s="2">
        <f t="shared" si="20"/>
        <v>9784.2859503999989</v>
      </c>
      <c r="BA100" s="16"/>
    </row>
    <row r="101" spans="1:53" x14ac:dyDescent="0.25">
      <c r="A101" s="2" t="s">
        <v>111</v>
      </c>
      <c r="B101" s="2">
        <v>2020</v>
      </c>
      <c r="C101" s="2">
        <v>5094.1137699999999</v>
      </c>
      <c r="D101" s="2">
        <v>80.770996089999997</v>
      </c>
      <c r="E101" s="2">
        <v>99.810536929999998</v>
      </c>
      <c r="F101" s="2">
        <v>0.18945947460000001</v>
      </c>
      <c r="G101" s="2">
        <v>3.5944518969999999E-6</v>
      </c>
      <c r="H101" s="2">
        <v>0</v>
      </c>
      <c r="I101" s="2">
        <v>99.646249999999995</v>
      </c>
      <c r="J101" s="2">
        <v>0.35375000000000001</v>
      </c>
      <c r="K101" s="2">
        <v>0</v>
      </c>
      <c r="L101" s="2">
        <v>0</v>
      </c>
      <c r="M101" s="2">
        <v>99.849652860000006</v>
      </c>
      <c r="N101" s="2">
        <v>0.15034714290000001</v>
      </c>
      <c r="O101" s="2">
        <v>0</v>
      </c>
      <c r="P101" s="2">
        <v>0</v>
      </c>
      <c r="Q101" s="2" t="str">
        <f t="shared" si="0"/>
        <v>Costa Rica|2020</v>
      </c>
      <c r="R101" s="2" t="str">
        <f t="shared" si="1"/>
        <v xml:space="preserve"> </v>
      </c>
      <c r="T101" s="2" t="b">
        <f t="shared" si="24"/>
        <v>0</v>
      </c>
      <c r="U101" s="2" t="b">
        <f t="shared" si="28"/>
        <v>0</v>
      </c>
      <c r="V101" s="2" t="b">
        <f t="shared" si="2"/>
        <v>0</v>
      </c>
      <c r="W101" s="2">
        <f t="shared" si="3"/>
        <v>100</v>
      </c>
      <c r="X101" s="2">
        <f t="shared" si="4"/>
        <v>100</v>
      </c>
      <c r="Y101" s="2">
        <f t="shared" si="5"/>
        <v>100</v>
      </c>
      <c r="Z101" s="2" t="str">
        <f t="shared" si="6"/>
        <v/>
      </c>
      <c r="AA101" s="2" t="str">
        <f t="shared" si="7"/>
        <v/>
      </c>
      <c r="AB101" s="2" t="str">
        <f t="shared" si="8"/>
        <v/>
      </c>
      <c r="AC101" s="2">
        <f t="shared" si="9"/>
        <v>0</v>
      </c>
      <c r="AE101" s="10" t="s">
        <v>161</v>
      </c>
      <c r="AF101" s="11" t="s">
        <v>56</v>
      </c>
      <c r="AH101" s="6" t="str">
        <f t="shared" si="10"/>
        <v>Middle East &amp; North Africa</v>
      </c>
      <c r="AI101" s="6"/>
      <c r="AJ101" s="6"/>
      <c r="AK101" s="10">
        <f t="shared" si="26"/>
        <v>0.82246198999999931</v>
      </c>
      <c r="AL101" s="6"/>
      <c r="AM101" s="6"/>
      <c r="AN101" s="6"/>
      <c r="AO101" s="10">
        <f t="shared" si="12"/>
        <v>2.0136873339999992</v>
      </c>
      <c r="AP101" s="6"/>
      <c r="AQ101" s="6"/>
      <c r="AR101" s="6"/>
      <c r="AS101" s="10">
        <f t="shared" si="15"/>
        <v>0.29617568600000083</v>
      </c>
      <c r="AT101" s="6"/>
      <c r="AU101" s="6"/>
      <c r="AX101" s="2" t="str">
        <f t="shared" si="18"/>
        <v>null</v>
      </c>
      <c r="AY101" s="2" t="str">
        <f t="shared" si="19"/>
        <v>null</v>
      </c>
      <c r="AZ101" s="2" t="str">
        <f t="shared" si="20"/>
        <v>null</v>
      </c>
      <c r="BA101" s="16"/>
    </row>
    <row r="102" spans="1:53" x14ac:dyDescent="0.25">
      <c r="A102" s="2" t="s">
        <v>112</v>
      </c>
      <c r="B102" s="2">
        <v>2015</v>
      </c>
      <c r="C102" s="2">
        <v>23226.148440000001</v>
      </c>
      <c r="D102" s="2">
        <v>49.444000240000001</v>
      </c>
      <c r="E102" s="2">
        <v>71.075766900000005</v>
      </c>
      <c r="F102" s="2">
        <v>8.7671364589999996</v>
      </c>
      <c r="G102" s="2">
        <v>14.417680539999999</v>
      </c>
      <c r="H102" s="2">
        <v>5.7394160950000002</v>
      </c>
      <c r="I102" s="2">
        <v>55.843171720000001</v>
      </c>
      <c r="J102" s="2">
        <v>13.188467299999999</v>
      </c>
      <c r="K102" s="2">
        <v>22.631284709999999</v>
      </c>
      <c r="L102" s="2">
        <v>8.3370762729999992</v>
      </c>
      <c r="M102" s="2">
        <v>86.650945350000001</v>
      </c>
      <c r="N102" s="2">
        <v>4.2463692540000002</v>
      </c>
      <c r="O102" s="2">
        <v>6.0193512360000003</v>
      </c>
      <c r="P102" s="2">
        <v>3.083334164</v>
      </c>
      <c r="Q102" s="2" t="str">
        <f t="shared" si="0"/>
        <v>Côte d'Ivoire|2015</v>
      </c>
      <c r="R102" s="2">
        <f t="shared" si="1"/>
        <v>5</v>
      </c>
      <c r="T102" s="2">
        <f t="shared" si="24"/>
        <v>-3.333930200000168E-2</v>
      </c>
      <c r="U102" s="2">
        <f t="shared" si="28"/>
        <v>-2.4144972000000563E-2</v>
      </c>
      <c r="V102" s="2">
        <f t="shared" si="2"/>
        <v>-0.31147841199999959</v>
      </c>
      <c r="W102" s="2">
        <f t="shared" si="3"/>
        <v>71</v>
      </c>
      <c r="X102" s="2">
        <f t="shared" si="4"/>
        <v>56</v>
      </c>
      <c r="Y102" s="2">
        <f t="shared" si="5"/>
        <v>87</v>
      </c>
      <c r="Z102" s="2" t="str">
        <f t="shared" si="6"/>
        <v/>
      </c>
      <c r="AA102" s="2" t="str">
        <f t="shared" si="7"/>
        <v/>
      </c>
      <c r="AB102" s="2" t="str">
        <f t="shared" si="8"/>
        <v>Fully Accessible</v>
      </c>
      <c r="AC102" s="2">
        <f t="shared" si="9"/>
        <v>0.28733343999999905</v>
      </c>
      <c r="AE102" s="10" t="s">
        <v>162</v>
      </c>
      <c r="AF102" s="11" t="s">
        <v>53</v>
      </c>
      <c r="AH102" s="6" t="str">
        <f t="shared" si="10"/>
        <v>Europe &amp; Central Asia</v>
      </c>
      <c r="AI102" s="6"/>
      <c r="AJ102" s="6"/>
      <c r="AK102" s="10">
        <f t="shared" si="26"/>
        <v>5.5157040000011646E-3</v>
      </c>
      <c r="AL102" s="6"/>
      <c r="AM102" s="6"/>
      <c r="AN102" s="6"/>
      <c r="AO102" s="10">
        <f t="shared" si="12"/>
        <v>2.3620912000001226E-2</v>
      </c>
      <c r="AP102" s="6"/>
      <c r="AQ102" s="6"/>
      <c r="AR102" s="6"/>
      <c r="AS102" s="10">
        <f t="shared" si="15"/>
        <v>-1.2111559999993915E-3</v>
      </c>
      <c r="AT102" s="6"/>
      <c r="AU102" s="6"/>
      <c r="AX102" s="2">
        <f t="shared" si="18"/>
        <v>49604.42383</v>
      </c>
      <c r="AY102" s="2">
        <f t="shared" si="19"/>
        <v>101.14999771000001</v>
      </c>
      <c r="AZ102" s="2">
        <f t="shared" si="20"/>
        <v>49503.273832289997</v>
      </c>
      <c r="BA102" s="6"/>
    </row>
    <row r="103" spans="1:53" x14ac:dyDescent="0.25">
      <c r="A103" s="2" t="s">
        <v>112</v>
      </c>
      <c r="B103" s="2">
        <v>2020</v>
      </c>
      <c r="C103" s="2">
        <v>26378.275389999999</v>
      </c>
      <c r="D103" s="2">
        <v>51.70599747</v>
      </c>
      <c r="E103" s="2">
        <v>70.909070389999997</v>
      </c>
      <c r="F103" s="2">
        <v>8.9354217019999993</v>
      </c>
      <c r="G103" s="2">
        <v>14.192441609999999</v>
      </c>
      <c r="H103" s="2">
        <v>5.9630662929999998</v>
      </c>
      <c r="I103" s="2">
        <v>55.722446859999998</v>
      </c>
      <c r="J103" s="2">
        <v>13.343168289999999</v>
      </c>
      <c r="K103" s="2">
        <v>23.17527956</v>
      </c>
      <c r="L103" s="2">
        <v>7.7591052889999998</v>
      </c>
      <c r="M103" s="2">
        <v>85.093553290000003</v>
      </c>
      <c r="N103" s="2">
        <v>4.8185351560000003</v>
      </c>
      <c r="O103" s="2">
        <v>5.8023665600000003</v>
      </c>
      <c r="P103" s="2">
        <v>4.2855449940000003</v>
      </c>
      <c r="Q103" s="2" t="str">
        <f t="shared" si="0"/>
        <v>Côte d'Ivoire|2020</v>
      </c>
      <c r="R103" s="2" t="str">
        <f t="shared" si="1"/>
        <v xml:space="preserve"> </v>
      </c>
      <c r="T103" s="2" t="b">
        <f t="shared" si="24"/>
        <v>0</v>
      </c>
      <c r="U103" s="2" t="b">
        <f t="shared" si="28"/>
        <v>0</v>
      </c>
      <c r="V103" s="2" t="b">
        <f t="shared" si="2"/>
        <v>0</v>
      </c>
      <c r="W103" s="2">
        <f t="shared" si="3"/>
        <v>71</v>
      </c>
      <c r="X103" s="2">
        <f t="shared" si="4"/>
        <v>56</v>
      </c>
      <c r="Y103" s="2">
        <f t="shared" si="5"/>
        <v>85</v>
      </c>
      <c r="Z103" s="2" t="str">
        <f t="shared" si="6"/>
        <v/>
      </c>
      <c r="AA103" s="2" t="str">
        <f t="shared" si="7"/>
        <v/>
      </c>
      <c r="AB103" s="2" t="str">
        <f t="shared" si="8"/>
        <v/>
      </c>
      <c r="AC103" s="2">
        <f t="shared" si="9"/>
        <v>0</v>
      </c>
      <c r="AE103" s="10" t="s">
        <v>163</v>
      </c>
      <c r="AF103" s="11" t="s">
        <v>53</v>
      </c>
      <c r="AH103" s="6" t="str">
        <f t="shared" si="10"/>
        <v>Europe &amp; Central Asia</v>
      </c>
      <c r="AI103" s="6"/>
      <c r="AJ103" s="6"/>
      <c r="AK103" s="10">
        <f t="shared" si="26"/>
        <v>0</v>
      </c>
      <c r="AL103" s="6"/>
      <c r="AM103" s="6"/>
      <c r="AN103" s="6"/>
      <c r="AO103" s="10">
        <f t="shared" si="12"/>
        <v>0</v>
      </c>
      <c r="AP103" s="6"/>
      <c r="AQ103" s="6"/>
      <c r="AR103" s="6"/>
      <c r="AS103" s="10">
        <f t="shared" si="15"/>
        <v>0</v>
      </c>
      <c r="AT103" s="6"/>
      <c r="AU103" s="6"/>
      <c r="AX103" s="2" t="str">
        <f t="shared" si="18"/>
        <v>null</v>
      </c>
      <c r="AY103" s="2" t="str">
        <f t="shared" si="19"/>
        <v>null</v>
      </c>
      <c r="AZ103" s="2" t="str">
        <f t="shared" si="20"/>
        <v>null</v>
      </c>
      <c r="BA103" s="6"/>
    </row>
    <row r="104" spans="1:53" x14ac:dyDescent="0.25">
      <c r="A104" s="2" t="s">
        <v>113</v>
      </c>
      <c r="B104" s="2">
        <v>2015</v>
      </c>
      <c r="C104" s="2">
        <v>4232.8740230000003</v>
      </c>
      <c r="D104" s="2">
        <v>56.155002590000002</v>
      </c>
      <c r="E104" s="2" t="s">
        <v>64</v>
      </c>
      <c r="F104" s="2" t="s">
        <v>64</v>
      </c>
      <c r="G104" s="2" t="s">
        <v>64</v>
      </c>
      <c r="H104" s="2" t="s">
        <v>64</v>
      </c>
      <c r="I104" s="2" t="s">
        <v>64</v>
      </c>
      <c r="J104" s="2" t="s">
        <v>64</v>
      </c>
      <c r="K104" s="2" t="s">
        <v>64</v>
      </c>
      <c r="L104" s="2" t="s">
        <v>64</v>
      </c>
      <c r="M104" s="2">
        <v>100</v>
      </c>
      <c r="N104" s="2">
        <v>0</v>
      </c>
      <c r="O104" s="2">
        <v>0</v>
      </c>
      <c r="P104" s="2">
        <v>0</v>
      </c>
      <c r="Q104" s="2" t="str">
        <f t="shared" si="0"/>
        <v>Croatia|2015</v>
      </c>
      <c r="R104" s="2">
        <f t="shared" si="1"/>
        <v>5</v>
      </c>
      <c r="T104" s="2" t="str">
        <f t="shared" si="24"/>
        <v>null</v>
      </c>
      <c r="U104" s="2" t="str">
        <f t="shared" si="28"/>
        <v>null</v>
      </c>
      <c r="V104" s="2">
        <f t="shared" si="2"/>
        <v>0</v>
      </c>
      <c r="W104" s="2" t="b">
        <f t="shared" si="3"/>
        <v>0</v>
      </c>
      <c r="X104" s="2" t="b">
        <f t="shared" si="4"/>
        <v>0</v>
      </c>
      <c r="Y104" s="2">
        <f t="shared" si="5"/>
        <v>100</v>
      </c>
      <c r="Z104" s="2" t="str">
        <f t="shared" si="6"/>
        <v>Fully Accessible</v>
      </c>
      <c r="AA104" s="2" t="str">
        <f t="shared" si="7"/>
        <v>Fully Accessible</v>
      </c>
      <c r="AB104" s="2" t="str">
        <f t="shared" si="8"/>
        <v>Fully Accessible</v>
      </c>
      <c r="AC104" s="2" t="b">
        <f t="shared" si="9"/>
        <v>0</v>
      </c>
      <c r="AE104" s="10" t="s">
        <v>164</v>
      </c>
      <c r="AF104" s="11" t="s">
        <v>53</v>
      </c>
      <c r="AH104" s="6" t="str">
        <f t="shared" si="10"/>
        <v>Europe &amp; Central Asia</v>
      </c>
      <c r="AI104" s="6"/>
      <c r="AJ104" s="6"/>
      <c r="AK104" s="10">
        <f t="shared" si="26"/>
        <v>-2.999999992425728E-7</v>
      </c>
      <c r="AL104" s="6"/>
      <c r="AM104" s="6"/>
      <c r="AN104" s="6"/>
      <c r="AO104" s="10">
        <f t="shared" si="12"/>
        <v>0</v>
      </c>
      <c r="AP104" s="6"/>
      <c r="AQ104" s="6"/>
      <c r="AR104" s="6"/>
      <c r="AS104" s="10">
        <f t="shared" si="15"/>
        <v>0</v>
      </c>
      <c r="AT104" s="6"/>
      <c r="AU104" s="6"/>
      <c r="AX104" s="2">
        <f t="shared" si="18"/>
        <v>8338.1420890000009</v>
      </c>
      <c r="AY104" s="2">
        <f t="shared" si="19"/>
        <v>113.70800018</v>
      </c>
      <c r="AZ104" s="2">
        <f t="shared" si="20"/>
        <v>8224.4340888200004</v>
      </c>
      <c r="BA104" s="6"/>
    </row>
    <row r="105" spans="1:53" x14ac:dyDescent="0.25">
      <c r="A105" s="2" t="s">
        <v>113</v>
      </c>
      <c r="B105" s="2">
        <v>2020</v>
      </c>
      <c r="C105" s="2">
        <v>4105.2680659999996</v>
      </c>
      <c r="D105" s="2">
        <v>57.552997589999997</v>
      </c>
      <c r="E105" s="2" t="s">
        <v>64</v>
      </c>
      <c r="F105" s="2" t="s">
        <v>64</v>
      </c>
      <c r="G105" s="2" t="s">
        <v>64</v>
      </c>
      <c r="H105" s="2" t="s">
        <v>64</v>
      </c>
      <c r="I105" s="2" t="s">
        <v>64</v>
      </c>
      <c r="J105" s="2" t="s">
        <v>64</v>
      </c>
      <c r="K105" s="2" t="s">
        <v>64</v>
      </c>
      <c r="L105" s="2" t="s">
        <v>64</v>
      </c>
      <c r="M105" s="2">
        <v>100</v>
      </c>
      <c r="N105" s="2">
        <v>0</v>
      </c>
      <c r="O105" s="2">
        <v>0</v>
      </c>
      <c r="P105" s="2">
        <v>0</v>
      </c>
      <c r="Q105" s="2" t="str">
        <f t="shared" si="0"/>
        <v>Croatia|2020</v>
      </c>
      <c r="R105" s="2" t="str">
        <f t="shared" si="1"/>
        <v xml:space="preserve"> </v>
      </c>
      <c r="T105" s="2" t="b">
        <f t="shared" si="24"/>
        <v>0</v>
      </c>
      <c r="U105" s="2" t="b">
        <f t="shared" si="28"/>
        <v>0</v>
      </c>
      <c r="V105" s="2" t="b">
        <f t="shared" si="2"/>
        <v>0</v>
      </c>
      <c r="W105" s="2" t="b">
        <f t="shared" si="3"/>
        <v>0</v>
      </c>
      <c r="X105" s="2" t="b">
        <f t="shared" si="4"/>
        <v>0</v>
      </c>
      <c r="Y105" s="2">
        <f t="shared" si="5"/>
        <v>100</v>
      </c>
      <c r="Z105" s="2" t="str">
        <f t="shared" si="6"/>
        <v/>
      </c>
      <c r="AA105" s="2" t="str">
        <f t="shared" si="7"/>
        <v/>
      </c>
      <c r="AB105" s="2" t="str">
        <f t="shared" si="8"/>
        <v/>
      </c>
      <c r="AC105" s="2">
        <f t="shared" si="9"/>
        <v>0</v>
      </c>
      <c r="AE105" s="10" t="s">
        <v>165</v>
      </c>
      <c r="AF105" s="11" t="s">
        <v>53</v>
      </c>
      <c r="AH105" s="6" t="str">
        <f t="shared" si="10"/>
        <v>Europe &amp; Central Asia</v>
      </c>
      <c r="AI105" s="6"/>
      <c r="AJ105" s="6"/>
      <c r="AK105" s="10">
        <f t="shared" si="26"/>
        <v>0</v>
      </c>
      <c r="AL105" s="6"/>
      <c r="AM105" s="6"/>
      <c r="AN105" s="6"/>
      <c r="AO105" s="10">
        <f t="shared" si="12"/>
        <v>0</v>
      </c>
      <c r="AP105" s="6"/>
      <c r="AQ105" s="6"/>
      <c r="AR105" s="6"/>
      <c r="AS105" s="10">
        <f t="shared" si="15"/>
        <v>0</v>
      </c>
      <c r="AT105" s="6"/>
      <c r="AU105" s="6"/>
      <c r="AX105" s="2" t="str">
        <f t="shared" si="18"/>
        <v>null</v>
      </c>
      <c r="AY105" s="2" t="str">
        <f t="shared" si="19"/>
        <v>null</v>
      </c>
      <c r="AZ105" s="2" t="str">
        <f t="shared" si="20"/>
        <v>null</v>
      </c>
      <c r="BA105" s="6"/>
    </row>
    <row r="106" spans="1:53" x14ac:dyDescent="0.25">
      <c r="A106" s="2" t="s">
        <v>114</v>
      </c>
      <c r="B106" s="2">
        <v>2015</v>
      </c>
      <c r="C106" s="2">
        <v>11324.777340000001</v>
      </c>
      <c r="D106" s="2">
        <v>76.896003719999996</v>
      </c>
      <c r="E106" s="2">
        <v>95.871796470000007</v>
      </c>
      <c r="F106" s="2">
        <v>1.7502537890000001</v>
      </c>
      <c r="G106" s="2">
        <v>1.99464</v>
      </c>
      <c r="H106" s="2">
        <v>0.38330973619999997</v>
      </c>
      <c r="I106" s="2">
        <v>90.445060659999996</v>
      </c>
      <c r="J106" s="2">
        <v>3.3621971309999998</v>
      </c>
      <c r="K106" s="2">
        <v>4.747322467</v>
      </c>
      <c r="L106" s="2">
        <v>1.445419738</v>
      </c>
      <c r="M106" s="2">
        <v>97.502301369999998</v>
      </c>
      <c r="N106" s="2">
        <v>1.2659328999999999</v>
      </c>
      <c r="O106" s="2">
        <v>1.167575187</v>
      </c>
      <c r="P106" s="2">
        <v>6.4190542059999994E-2</v>
      </c>
      <c r="Q106" s="2" t="str">
        <f t="shared" si="0"/>
        <v>Cuba|2015</v>
      </c>
      <c r="R106" s="2">
        <f t="shared" si="1"/>
        <v>5</v>
      </c>
      <c r="T106" s="2">
        <f t="shared" si="24"/>
        <v>0.22617993799999853</v>
      </c>
      <c r="U106" s="2">
        <f t="shared" si="28"/>
        <v>0.78831809600000047</v>
      </c>
      <c r="V106" s="2">
        <f t="shared" si="2"/>
        <v>5.4655053999999835E-2</v>
      </c>
      <c r="W106" s="2">
        <f t="shared" si="3"/>
        <v>96</v>
      </c>
      <c r="X106" s="2">
        <f t="shared" si="4"/>
        <v>90</v>
      </c>
      <c r="Y106" s="2">
        <f t="shared" si="5"/>
        <v>98</v>
      </c>
      <c r="Z106" s="2" t="str">
        <f t="shared" si="6"/>
        <v/>
      </c>
      <c r="AA106" s="2" t="str">
        <f t="shared" si="7"/>
        <v/>
      </c>
      <c r="AB106" s="2" t="str">
        <f t="shared" si="8"/>
        <v>Fully Accessible</v>
      </c>
      <c r="AC106" s="2">
        <f t="shared" si="9"/>
        <v>0.73366304200000065</v>
      </c>
      <c r="AE106" s="10" t="s">
        <v>166</v>
      </c>
      <c r="AF106" s="11" t="s">
        <v>57</v>
      </c>
      <c r="AH106" s="6" t="str">
        <f t="shared" si="10"/>
        <v>Latin America &amp; Caribbean</v>
      </c>
      <c r="AI106" s="6"/>
      <c r="AJ106" s="6"/>
      <c r="AK106" s="10">
        <f t="shared" si="26"/>
        <v>0.12262964200000112</v>
      </c>
      <c r="AL106" s="6"/>
      <c r="AM106" s="6"/>
      <c r="AN106" s="6"/>
      <c r="AO106" s="10">
        <f t="shared" si="12"/>
        <v>0.17984045199999912</v>
      </c>
      <c r="AP106" s="6"/>
      <c r="AQ106" s="6"/>
      <c r="AR106" s="6"/>
      <c r="AS106" s="10">
        <f t="shared" si="15"/>
        <v>2.1605134000000702E-2</v>
      </c>
      <c r="AT106" s="6"/>
      <c r="AU106" s="6"/>
      <c r="AX106" s="2">
        <f t="shared" si="18"/>
        <v>22651.393550000001</v>
      </c>
      <c r="AY106" s="2">
        <f t="shared" si="19"/>
        <v>154.09000395999999</v>
      </c>
      <c r="AZ106" s="2">
        <f t="shared" si="20"/>
        <v>22497.303546040002</v>
      </c>
      <c r="BA106" s="16"/>
    </row>
    <row r="107" spans="1:53" x14ac:dyDescent="0.25">
      <c r="A107" s="2" t="s">
        <v>114</v>
      </c>
      <c r="B107" s="2">
        <v>2020</v>
      </c>
      <c r="C107" s="2">
        <v>11326.61621</v>
      </c>
      <c r="D107" s="2">
        <v>77.194000239999994</v>
      </c>
      <c r="E107" s="2">
        <v>97.002696159999999</v>
      </c>
      <c r="F107" s="2">
        <v>1.471384542</v>
      </c>
      <c r="G107" s="2">
        <v>1.252811506</v>
      </c>
      <c r="H107" s="2">
        <v>0.27310779629999998</v>
      </c>
      <c r="I107" s="2">
        <v>94.386651139999998</v>
      </c>
      <c r="J107" s="2">
        <v>2.591752445</v>
      </c>
      <c r="K107" s="2">
        <v>1.9059729350000001</v>
      </c>
      <c r="L107" s="2">
        <v>1.115623477</v>
      </c>
      <c r="M107" s="2">
        <v>97.775576639999997</v>
      </c>
      <c r="N107" s="2">
        <v>1.1403859000000001</v>
      </c>
      <c r="O107" s="2">
        <v>1.059840374</v>
      </c>
      <c r="P107" s="2">
        <v>2.4197084109999999E-2</v>
      </c>
      <c r="Q107" s="2" t="str">
        <f t="shared" si="0"/>
        <v>Cuba|2020</v>
      </c>
      <c r="R107" s="2" t="str">
        <f t="shared" si="1"/>
        <v xml:space="preserve"> </v>
      </c>
      <c r="T107" s="2" t="b">
        <f t="shared" si="24"/>
        <v>0</v>
      </c>
      <c r="U107" s="2" t="b">
        <f t="shared" si="28"/>
        <v>0</v>
      </c>
      <c r="V107" s="2" t="b">
        <f t="shared" si="2"/>
        <v>0</v>
      </c>
      <c r="W107" s="2">
        <f t="shared" si="3"/>
        <v>97</v>
      </c>
      <c r="X107" s="2">
        <f t="shared" si="4"/>
        <v>94</v>
      </c>
      <c r="Y107" s="2">
        <f t="shared" si="5"/>
        <v>98</v>
      </c>
      <c r="Z107" s="2" t="str">
        <f t="shared" si="6"/>
        <v/>
      </c>
      <c r="AA107" s="2" t="str">
        <f t="shared" si="7"/>
        <v/>
      </c>
      <c r="AB107" s="2" t="str">
        <f t="shared" si="8"/>
        <v/>
      </c>
      <c r="AC107" s="2">
        <f t="shared" si="9"/>
        <v>0</v>
      </c>
      <c r="AE107" s="10" t="s">
        <v>167</v>
      </c>
      <c r="AF107" s="11" t="s">
        <v>51</v>
      </c>
      <c r="AH107" s="6" t="str">
        <f t="shared" si="10"/>
        <v>East Asia &amp; Pacific</v>
      </c>
      <c r="AI107" s="6"/>
      <c r="AJ107" s="6"/>
      <c r="AK107" s="10">
        <f t="shared" si="26"/>
        <v>3.1221394000002078E-2</v>
      </c>
      <c r="AL107" s="6"/>
      <c r="AM107" s="6"/>
      <c r="AN107" s="6"/>
      <c r="AO107" s="10">
        <f t="shared" si="12"/>
        <v>0</v>
      </c>
      <c r="AP107" s="6"/>
      <c r="AQ107" s="6"/>
      <c r="AR107" s="6"/>
      <c r="AS107" s="10">
        <f t="shared" si="15"/>
        <v>0</v>
      </c>
      <c r="AT107" s="6"/>
      <c r="AU107" s="6"/>
      <c r="AX107" s="2" t="str">
        <f t="shared" si="18"/>
        <v>null</v>
      </c>
      <c r="AY107" s="2" t="str">
        <f t="shared" si="19"/>
        <v>null</v>
      </c>
      <c r="AZ107" s="2" t="str">
        <f t="shared" si="20"/>
        <v>null</v>
      </c>
      <c r="BA107" s="6"/>
    </row>
    <row r="108" spans="1:53" x14ac:dyDescent="0.25">
      <c r="A108" s="2" t="s">
        <v>115</v>
      </c>
      <c r="B108" s="2">
        <v>2015</v>
      </c>
      <c r="C108" s="2">
        <v>159.8500061</v>
      </c>
      <c r="D108" s="2">
        <v>89.35199738</v>
      </c>
      <c r="E108" s="2">
        <v>99.49775185</v>
      </c>
      <c r="F108" s="2">
        <v>0</v>
      </c>
      <c r="G108" s="2">
        <v>0.50224815249999999</v>
      </c>
      <c r="H108" s="2">
        <v>0</v>
      </c>
      <c r="I108" s="2" t="s">
        <v>64</v>
      </c>
      <c r="J108" s="2" t="s">
        <v>64</v>
      </c>
      <c r="K108" s="2" t="s">
        <v>64</v>
      </c>
      <c r="L108" s="2" t="s">
        <v>64</v>
      </c>
      <c r="M108" s="2" t="s">
        <v>64</v>
      </c>
      <c r="N108" s="2" t="s">
        <v>64</v>
      </c>
      <c r="O108" s="2" t="s">
        <v>64</v>
      </c>
      <c r="P108" s="2" t="s">
        <v>64</v>
      </c>
      <c r="Q108" s="2" t="str">
        <f t="shared" si="0"/>
        <v>Curaçao|2015</v>
      </c>
      <c r="R108" s="2">
        <f t="shared" si="1"/>
        <v>2</v>
      </c>
      <c r="T108" s="2">
        <f t="shared" si="24"/>
        <v>0</v>
      </c>
      <c r="U108" s="2" t="str">
        <f t="shared" si="28"/>
        <v>null</v>
      </c>
      <c r="V108" s="2" t="str">
        <f t="shared" si="2"/>
        <v>null</v>
      </c>
      <c r="W108" s="2">
        <f t="shared" si="3"/>
        <v>99</v>
      </c>
      <c r="X108" s="2" t="b">
        <f t="shared" si="4"/>
        <v>0</v>
      </c>
      <c r="Y108" s="2" t="b">
        <f t="shared" si="5"/>
        <v>0</v>
      </c>
      <c r="Z108" s="2" t="str">
        <f t="shared" si="6"/>
        <v/>
      </c>
      <c r="AA108" s="2" t="str">
        <f t="shared" si="7"/>
        <v>Fully Accessible</v>
      </c>
      <c r="AB108" s="2" t="str">
        <f t="shared" si="8"/>
        <v>Fully Accessible</v>
      </c>
      <c r="AC108" s="2" t="b">
        <f t="shared" si="9"/>
        <v>0</v>
      </c>
      <c r="AE108" s="10" t="s">
        <v>168</v>
      </c>
      <c r="AF108" s="11" t="s">
        <v>56</v>
      </c>
      <c r="AH108" s="6" t="str">
        <f t="shared" si="10"/>
        <v>Middle East &amp; North Africa</v>
      </c>
      <c r="AI108" s="6"/>
      <c r="AJ108" s="6"/>
      <c r="AK108" s="10">
        <f t="shared" si="26"/>
        <v>-1.3296389999999292E-2</v>
      </c>
      <c r="AL108" s="6"/>
      <c r="AM108" s="6"/>
      <c r="AN108" s="6"/>
      <c r="AO108" s="10">
        <f t="shared" si="12"/>
        <v>-1.0167340000000991E-2</v>
      </c>
      <c r="AP108" s="6"/>
      <c r="AQ108" s="6"/>
      <c r="AR108" s="6"/>
      <c r="AS108" s="10">
        <f t="shared" si="15"/>
        <v>-1.8220846000002667E-2</v>
      </c>
      <c r="AT108" s="6"/>
      <c r="AU108" s="6"/>
      <c r="AX108" s="2">
        <f t="shared" si="18"/>
        <v>321.83599849999996</v>
      </c>
      <c r="AY108" s="2">
        <f t="shared" si="19"/>
        <v>178.55500031</v>
      </c>
      <c r="AZ108" s="2">
        <f t="shared" si="20"/>
        <v>143.28099818999996</v>
      </c>
      <c r="BA108" s="16"/>
    </row>
    <row r="109" spans="1:53" x14ac:dyDescent="0.25">
      <c r="A109" s="2" t="s">
        <v>115</v>
      </c>
      <c r="B109" s="2">
        <v>2017</v>
      </c>
      <c r="C109" s="2">
        <v>161.98599239999999</v>
      </c>
      <c r="D109" s="2">
        <v>89.203002929999997</v>
      </c>
      <c r="E109" s="2">
        <v>99.49775185</v>
      </c>
      <c r="F109" s="2">
        <v>0</v>
      </c>
      <c r="G109" s="2">
        <v>0.50224815249999999</v>
      </c>
      <c r="H109" s="2">
        <v>0</v>
      </c>
      <c r="I109" s="2" t="s">
        <v>64</v>
      </c>
      <c r="J109" s="2" t="s">
        <v>64</v>
      </c>
      <c r="K109" s="2" t="s">
        <v>64</v>
      </c>
      <c r="L109" s="2" t="s">
        <v>64</v>
      </c>
      <c r="M109" s="2" t="s">
        <v>64</v>
      </c>
      <c r="N109" s="2" t="s">
        <v>64</v>
      </c>
      <c r="O109" s="2" t="s">
        <v>64</v>
      </c>
      <c r="P109" s="2" t="s">
        <v>64</v>
      </c>
      <c r="Q109" s="2" t="str">
        <f t="shared" si="0"/>
        <v>Curaçao|2017</v>
      </c>
      <c r="R109" s="2" t="str">
        <f t="shared" si="1"/>
        <v xml:space="preserve"> </v>
      </c>
      <c r="T109" s="2" t="b">
        <f t="shared" si="24"/>
        <v>0</v>
      </c>
      <c r="U109" s="2" t="b">
        <f t="shared" si="28"/>
        <v>0</v>
      </c>
      <c r="V109" s="2" t="b">
        <f t="shared" si="2"/>
        <v>0</v>
      </c>
      <c r="W109" s="2">
        <f t="shared" si="3"/>
        <v>99</v>
      </c>
      <c r="X109" s="2" t="b">
        <f t="shared" si="4"/>
        <v>0</v>
      </c>
      <c r="Y109" s="2" t="b">
        <f t="shared" si="5"/>
        <v>0</v>
      </c>
      <c r="Z109" s="2" t="str">
        <f t="shared" si="6"/>
        <v/>
      </c>
      <c r="AA109" s="2" t="str">
        <f t="shared" si="7"/>
        <v/>
      </c>
      <c r="AB109" s="2" t="str">
        <f t="shared" si="8"/>
        <v/>
      </c>
      <c r="AC109" s="2">
        <f t="shared" si="9"/>
        <v>0</v>
      </c>
      <c r="AE109" s="10" t="s">
        <v>169</v>
      </c>
      <c r="AF109" s="11" t="s">
        <v>53</v>
      </c>
      <c r="AH109" s="6" t="str">
        <f t="shared" si="10"/>
        <v>Europe &amp; Central Asia</v>
      </c>
      <c r="AI109" s="6"/>
      <c r="AJ109" s="6"/>
      <c r="AK109" s="10">
        <f t="shared" si="26"/>
        <v>8.1927182000001153E-2</v>
      </c>
      <c r="AL109" s="6"/>
      <c r="AM109" s="6"/>
      <c r="AN109" s="6"/>
      <c r="AO109" s="10">
        <f t="shared" si="12"/>
        <v>0.23835090000000037</v>
      </c>
      <c r="AP109" s="6"/>
      <c r="AQ109" s="6"/>
      <c r="AR109" s="6"/>
      <c r="AS109" s="10">
        <f t="shared" si="15"/>
        <v>-4.5335692000000448E-2</v>
      </c>
      <c r="AT109" s="6"/>
      <c r="AU109" s="6"/>
      <c r="AX109" s="2" t="str">
        <f t="shared" si="18"/>
        <v>null</v>
      </c>
      <c r="AY109" s="2" t="str">
        <f t="shared" si="19"/>
        <v>null</v>
      </c>
      <c r="AZ109" s="2" t="str">
        <f t="shared" si="20"/>
        <v>null</v>
      </c>
      <c r="BA109" s="16"/>
    </row>
    <row r="110" spans="1:53" x14ac:dyDescent="0.25">
      <c r="A110" s="2" t="s">
        <v>116</v>
      </c>
      <c r="B110" s="2">
        <v>2015</v>
      </c>
      <c r="C110" s="2">
        <v>1160.987061</v>
      </c>
      <c r="D110" s="2">
        <v>66.945999150000006</v>
      </c>
      <c r="E110" s="2">
        <v>99.788517569999996</v>
      </c>
      <c r="F110" s="2">
        <v>0</v>
      </c>
      <c r="G110" s="2">
        <v>0.21148243489999999</v>
      </c>
      <c r="H110" s="2">
        <v>0</v>
      </c>
      <c r="I110" s="2">
        <v>99.861185539999994</v>
      </c>
      <c r="J110" s="2">
        <v>0</v>
      </c>
      <c r="K110" s="2">
        <v>0.1388144553</v>
      </c>
      <c r="L110" s="2">
        <v>0</v>
      </c>
      <c r="M110" s="2">
        <v>99.752642309999999</v>
      </c>
      <c r="N110" s="2">
        <v>0</v>
      </c>
      <c r="O110" s="2">
        <v>0.24735769429999999</v>
      </c>
      <c r="P110" s="2">
        <v>0</v>
      </c>
      <c r="Q110" s="2" t="str">
        <f t="shared" si="0"/>
        <v>Cyprus|2015</v>
      </c>
      <c r="R110" s="2">
        <f t="shared" si="1"/>
        <v>5</v>
      </c>
      <c r="T110" s="2">
        <f t="shared" si="24"/>
        <v>-4.668877999998244E-3</v>
      </c>
      <c r="U110" s="2">
        <f t="shared" si="28"/>
        <v>-3.0847639999990405E-3</v>
      </c>
      <c r="V110" s="2">
        <f t="shared" si="2"/>
        <v>-5.4968379999991157E-3</v>
      </c>
      <c r="W110" s="2">
        <f t="shared" si="3"/>
        <v>100</v>
      </c>
      <c r="X110" s="2">
        <f t="shared" si="4"/>
        <v>100</v>
      </c>
      <c r="Y110" s="2">
        <f t="shared" si="5"/>
        <v>100</v>
      </c>
      <c r="Z110" s="2" t="str">
        <f t="shared" si="6"/>
        <v/>
      </c>
      <c r="AA110" s="2" t="str">
        <f t="shared" si="7"/>
        <v/>
      </c>
      <c r="AB110" s="2" t="str">
        <f t="shared" si="8"/>
        <v>Fully Accessible</v>
      </c>
      <c r="AC110" s="2">
        <f t="shared" si="9"/>
        <v>2.4120740000000752E-3</v>
      </c>
      <c r="AE110" s="10" t="s">
        <v>170</v>
      </c>
      <c r="AF110" s="11" t="s">
        <v>63</v>
      </c>
      <c r="AH110" s="6" t="str">
        <f t="shared" si="10"/>
        <v>Sub-Saharan Africa</v>
      </c>
      <c r="AI110" s="6"/>
      <c r="AJ110" s="6"/>
      <c r="AK110" s="10">
        <f t="shared" si="26"/>
        <v>0.6871927200000002</v>
      </c>
      <c r="AL110" s="6"/>
      <c r="AM110" s="6"/>
      <c r="AN110" s="6"/>
      <c r="AO110" s="10">
        <f t="shared" si="12"/>
        <v>0.7015634039999995</v>
      </c>
      <c r="AP110" s="6"/>
      <c r="AQ110" s="6"/>
      <c r="AR110" s="6"/>
      <c r="AS110" s="10">
        <f t="shared" si="15"/>
        <v>4.4167059999978163E-3</v>
      </c>
      <c r="AT110" s="6"/>
      <c r="AU110" s="6"/>
      <c r="AX110" s="2">
        <f t="shared" si="18"/>
        <v>2368.348023</v>
      </c>
      <c r="AY110" s="2">
        <f t="shared" si="19"/>
        <v>133.76699830000001</v>
      </c>
      <c r="AZ110" s="2">
        <f t="shared" si="20"/>
        <v>2234.5810246999999</v>
      </c>
      <c r="BA110" s="6"/>
    </row>
    <row r="111" spans="1:53" x14ac:dyDescent="0.25">
      <c r="A111" s="2" t="s">
        <v>116</v>
      </c>
      <c r="B111" s="2">
        <v>2020</v>
      </c>
      <c r="C111" s="2">
        <v>1207.360962</v>
      </c>
      <c r="D111" s="2">
        <v>66.820999150000006</v>
      </c>
      <c r="E111" s="2">
        <v>99.765173180000005</v>
      </c>
      <c r="F111" s="2">
        <v>0</v>
      </c>
      <c r="G111" s="2">
        <v>0.2348268167</v>
      </c>
      <c r="H111" s="2">
        <v>0</v>
      </c>
      <c r="I111" s="2">
        <v>99.845761719999999</v>
      </c>
      <c r="J111" s="2">
        <v>0</v>
      </c>
      <c r="K111" s="2">
        <v>0.1542382836</v>
      </c>
      <c r="L111" s="2">
        <v>0</v>
      </c>
      <c r="M111" s="2">
        <v>99.725158120000003</v>
      </c>
      <c r="N111" s="2">
        <v>0</v>
      </c>
      <c r="O111" s="2">
        <v>0.27484188250000002</v>
      </c>
      <c r="P111" s="2">
        <v>0</v>
      </c>
      <c r="Q111" s="2" t="str">
        <f t="shared" si="0"/>
        <v>Cyprus|2020</v>
      </c>
      <c r="R111" s="2" t="str">
        <f t="shared" si="1"/>
        <v xml:space="preserve"> </v>
      </c>
      <c r="T111" s="2" t="b">
        <f t="shared" si="24"/>
        <v>0</v>
      </c>
      <c r="U111" s="2" t="b">
        <f t="shared" si="28"/>
        <v>0</v>
      </c>
      <c r="V111" s="2" t="b">
        <f t="shared" si="2"/>
        <v>0</v>
      </c>
      <c r="W111" s="2">
        <f t="shared" si="3"/>
        <v>100</v>
      </c>
      <c r="X111" s="2">
        <f t="shared" si="4"/>
        <v>100</v>
      </c>
      <c r="Y111" s="2">
        <f t="shared" si="5"/>
        <v>100</v>
      </c>
      <c r="Z111" s="2" t="str">
        <f t="shared" si="6"/>
        <v/>
      </c>
      <c r="AA111" s="2" t="str">
        <f t="shared" si="7"/>
        <v/>
      </c>
      <c r="AB111" s="2" t="str">
        <f t="shared" si="8"/>
        <v/>
      </c>
      <c r="AC111" s="2">
        <f t="shared" si="9"/>
        <v>0</v>
      </c>
      <c r="AE111" s="10" t="s">
        <v>171</v>
      </c>
      <c r="AF111" s="11" t="s">
        <v>51</v>
      </c>
      <c r="AH111" s="6" t="str">
        <f t="shared" si="10"/>
        <v>East Asia &amp; Pacific</v>
      </c>
      <c r="AI111" s="6"/>
      <c r="AJ111" s="6"/>
      <c r="AK111" s="10">
        <f t="shared" si="26"/>
        <v>0.82456485200000029</v>
      </c>
      <c r="AL111" s="6"/>
      <c r="AM111" s="6"/>
      <c r="AN111" s="6"/>
      <c r="AO111" s="10">
        <f t="shared" si="12"/>
        <v>0.61438646000000008</v>
      </c>
      <c r="AP111" s="6"/>
      <c r="AQ111" s="6"/>
      <c r="AR111" s="6"/>
      <c r="AS111" s="10">
        <f t="shared" si="15"/>
        <v>0.55124856999999849</v>
      </c>
      <c r="AT111" s="6"/>
      <c r="AU111" s="6"/>
      <c r="AX111" s="2" t="str">
        <f t="shared" si="18"/>
        <v>null</v>
      </c>
      <c r="AY111" s="2" t="str">
        <f t="shared" si="19"/>
        <v>null</v>
      </c>
      <c r="AZ111" s="2" t="str">
        <f t="shared" si="20"/>
        <v>null</v>
      </c>
      <c r="BA111" s="6"/>
    </row>
    <row r="112" spans="1:53" x14ac:dyDescent="0.25">
      <c r="A112" s="2" t="s">
        <v>117</v>
      </c>
      <c r="B112" s="2">
        <v>2015</v>
      </c>
      <c r="C112" s="2">
        <v>10601.389649999999</v>
      </c>
      <c r="D112" s="2">
        <v>73.47699738</v>
      </c>
      <c r="E112" s="2">
        <v>99.880092689999998</v>
      </c>
      <c r="F112" s="2">
        <v>0</v>
      </c>
      <c r="G112" s="2">
        <v>0.11990731189999999</v>
      </c>
      <c r="H112" s="2">
        <v>0</v>
      </c>
      <c r="I112" s="2">
        <v>99.817599299999998</v>
      </c>
      <c r="J112" s="2">
        <v>0</v>
      </c>
      <c r="K112" s="2">
        <v>0.18240069649999999</v>
      </c>
      <c r="L112" s="2">
        <v>0</v>
      </c>
      <c r="M112" s="2">
        <v>99.902650929999993</v>
      </c>
      <c r="N112" s="2">
        <v>0</v>
      </c>
      <c r="O112" s="2">
        <v>9.7349067900000003E-2</v>
      </c>
      <c r="P112" s="2">
        <v>0</v>
      </c>
      <c r="Q112" s="2" t="str">
        <f t="shared" si="0"/>
        <v>Czech Republic|2015</v>
      </c>
      <c r="R112" s="2">
        <f t="shared" si="1"/>
        <v>5</v>
      </c>
      <c r="T112" s="2">
        <f t="shared" si="24"/>
        <v>9.9796000000651475E-5</v>
      </c>
      <c r="U112" s="2">
        <f t="shared" si="28"/>
        <v>0</v>
      </c>
      <c r="V112" s="2">
        <f t="shared" si="2"/>
        <v>0</v>
      </c>
      <c r="W112" s="2">
        <f t="shared" si="3"/>
        <v>100</v>
      </c>
      <c r="X112" s="2">
        <f t="shared" si="4"/>
        <v>100</v>
      </c>
      <c r="Y112" s="2">
        <f t="shared" si="5"/>
        <v>100</v>
      </c>
      <c r="Z112" s="2" t="str">
        <f t="shared" si="6"/>
        <v/>
      </c>
      <c r="AA112" s="2" t="str">
        <f t="shared" si="7"/>
        <v/>
      </c>
      <c r="AB112" s="2" t="str">
        <f t="shared" si="8"/>
        <v>Fully Accessible</v>
      </c>
      <c r="AC112" s="2">
        <f t="shared" si="9"/>
        <v>0</v>
      </c>
      <c r="AE112" s="10" t="s">
        <v>172</v>
      </c>
      <c r="AF112" s="11" t="s">
        <v>56</v>
      </c>
      <c r="AH112" s="6" t="str">
        <f t="shared" si="10"/>
        <v>Middle East &amp; North Africa</v>
      </c>
      <c r="AI112" s="6"/>
      <c r="AJ112" s="6"/>
      <c r="AK112" s="10">
        <f t="shared" si="26"/>
        <v>0</v>
      </c>
      <c r="AL112" s="6"/>
      <c r="AM112" s="6"/>
      <c r="AN112" s="6"/>
      <c r="AO112" s="10">
        <f t="shared" si="12"/>
        <v>0</v>
      </c>
      <c r="AP112" s="6"/>
      <c r="AQ112" s="6"/>
      <c r="AR112" s="6"/>
      <c r="AS112" s="10">
        <f t="shared" si="15"/>
        <v>0</v>
      </c>
      <c r="AT112" s="6"/>
      <c r="AU112" s="6"/>
      <c r="AX112" s="2">
        <f t="shared" si="18"/>
        <v>21310.372069999998</v>
      </c>
      <c r="AY112" s="2">
        <f t="shared" si="19"/>
        <v>147.53800201999999</v>
      </c>
      <c r="AZ112" s="2">
        <f t="shared" si="20"/>
        <v>21162.834067979999</v>
      </c>
      <c r="BA112" s="6"/>
    </row>
    <row r="113" spans="1:53" x14ac:dyDescent="0.25">
      <c r="A113" s="2" t="s">
        <v>117</v>
      </c>
      <c r="B113" s="2">
        <v>2020</v>
      </c>
      <c r="C113" s="2">
        <v>10708.98242</v>
      </c>
      <c r="D113" s="2">
        <v>74.061004639999993</v>
      </c>
      <c r="E113" s="2">
        <v>99.880591670000001</v>
      </c>
      <c r="F113" s="2">
        <v>0</v>
      </c>
      <c r="G113" s="2">
        <v>0.11940833250000001</v>
      </c>
      <c r="H113" s="2">
        <v>0</v>
      </c>
      <c r="I113" s="2">
        <v>99.817599299999998</v>
      </c>
      <c r="J113" s="2">
        <v>0</v>
      </c>
      <c r="K113" s="2">
        <v>0.18240069649999999</v>
      </c>
      <c r="L113" s="2">
        <v>0</v>
      </c>
      <c r="M113" s="2">
        <v>99.902650929999993</v>
      </c>
      <c r="N113" s="2">
        <v>0</v>
      </c>
      <c r="O113" s="2">
        <v>9.7349067900000003E-2</v>
      </c>
      <c r="P113" s="2">
        <v>0</v>
      </c>
      <c r="Q113" s="2" t="str">
        <f t="shared" si="0"/>
        <v>Czech Republic|2020</v>
      </c>
      <c r="R113" s="2" t="str">
        <f t="shared" si="1"/>
        <v xml:space="preserve"> </v>
      </c>
      <c r="T113" s="2" t="b">
        <f t="shared" si="24"/>
        <v>0</v>
      </c>
      <c r="U113" s="2" t="b">
        <f t="shared" si="28"/>
        <v>0</v>
      </c>
      <c r="V113" s="2" t="b">
        <f t="shared" si="2"/>
        <v>0</v>
      </c>
      <c r="W113" s="2">
        <f t="shared" si="3"/>
        <v>100</v>
      </c>
      <c r="X113" s="2">
        <f t="shared" si="4"/>
        <v>100</v>
      </c>
      <c r="Y113" s="2">
        <f t="shared" si="5"/>
        <v>100</v>
      </c>
      <c r="Z113" s="2" t="str">
        <f t="shared" si="6"/>
        <v/>
      </c>
      <c r="AA113" s="2" t="str">
        <f t="shared" si="7"/>
        <v/>
      </c>
      <c r="AB113" s="2" t="str">
        <f t="shared" si="8"/>
        <v/>
      </c>
      <c r="AC113" s="2">
        <f t="shared" si="9"/>
        <v>0</v>
      </c>
      <c r="AE113" s="10" t="s">
        <v>173</v>
      </c>
      <c r="AF113" s="11" t="s">
        <v>53</v>
      </c>
      <c r="AH113" s="6" t="str">
        <f t="shared" si="10"/>
        <v>Europe &amp; Central Asia</v>
      </c>
      <c r="AI113" s="6"/>
      <c r="AJ113" s="6"/>
      <c r="AK113" s="10">
        <f t="shared" si="26"/>
        <v>0.65150879400000006</v>
      </c>
      <c r="AL113" s="6"/>
      <c r="AM113" s="6"/>
      <c r="AN113" s="6"/>
      <c r="AO113" s="10">
        <f t="shared" si="12"/>
        <v>0.83064227200000007</v>
      </c>
      <c r="AP113" s="6"/>
      <c r="AQ113" s="6"/>
      <c r="AR113" s="6"/>
      <c r="AS113" s="10">
        <f t="shared" si="15"/>
        <v>0.25726917199999944</v>
      </c>
      <c r="AT113" s="6"/>
      <c r="AU113" s="6"/>
      <c r="AX113" s="2" t="str">
        <f t="shared" si="18"/>
        <v>null</v>
      </c>
      <c r="AY113" s="2" t="str">
        <f t="shared" si="19"/>
        <v>null</v>
      </c>
      <c r="AZ113" s="2" t="str">
        <f t="shared" si="20"/>
        <v>null</v>
      </c>
      <c r="BA113" s="6"/>
    </row>
    <row r="114" spans="1:53" x14ac:dyDescent="0.25">
      <c r="A114" s="2" t="s">
        <v>118</v>
      </c>
      <c r="B114" s="2">
        <v>2015</v>
      </c>
      <c r="C114" s="2">
        <v>25183.832030000001</v>
      </c>
      <c r="D114" s="2">
        <v>61.277004239999997</v>
      </c>
      <c r="E114" s="2">
        <v>95.21488171</v>
      </c>
      <c r="F114" s="2">
        <v>0.68500239009999997</v>
      </c>
      <c r="G114" s="2">
        <v>3.8290549180000002</v>
      </c>
      <c r="H114" s="2">
        <v>0.27106098029999998</v>
      </c>
      <c r="I114" s="2">
        <v>91.616968420000006</v>
      </c>
      <c r="J114" s="2">
        <v>0.36793963219999998</v>
      </c>
      <c r="K114" s="2">
        <v>7.3150919439999997</v>
      </c>
      <c r="L114" s="2">
        <v>0.7</v>
      </c>
      <c r="M114" s="2">
        <v>97.48852402</v>
      </c>
      <c r="N114" s="2">
        <v>0.88536500119999995</v>
      </c>
      <c r="O114" s="2">
        <v>1.626110978</v>
      </c>
      <c r="P114" s="2">
        <v>0</v>
      </c>
      <c r="Q114" s="2" t="str">
        <f t="shared" si="0"/>
        <v>Democratic People's Republic of Korea|2015</v>
      </c>
      <c r="R114" s="2">
        <f t="shared" si="1"/>
        <v>5</v>
      </c>
      <c r="T114" s="2">
        <f t="shared" si="24"/>
        <v>-0.27420773599999959</v>
      </c>
      <c r="U114" s="2">
        <f t="shared" si="28"/>
        <v>-0.57266870800000047</v>
      </c>
      <c r="V114" s="2">
        <f t="shared" si="2"/>
        <v>-0.11500271600000075</v>
      </c>
      <c r="W114" s="2">
        <f t="shared" si="3"/>
        <v>95</v>
      </c>
      <c r="X114" s="2">
        <f t="shared" si="4"/>
        <v>92</v>
      </c>
      <c r="Y114" s="2">
        <f t="shared" si="5"/>
        <v>97</v>
      </c>
      <c r="Z114" s="2" t="str">
        <f t="shared" si="6"/>
        <v/>
      </c>
      <c r="AA114" s="2" t="str">
        <f t="shared" si="7"/>
        <v/>
      </c>
      <c r="AB114" s="2" t="str">
        <f t="shared" si="8"/>
        <v>Fully Accessible</v>
      </c>
      <c r="AC114" s="2">
        <f t="shared" si="9"/>
        <v>-0.45766599199999969</v>
      </c>
      <c r="AE114" s="10" t="s">
        <v>174</v>
      </c>
      <c r="AF114" s="11" t="s">
        <v>51</v>
      </c>
      <c r="AH114" s="6" t="str">
        <f t="shared" si="10"/>
        <v>East Asia &amp; Pacific</v>
      </c>
      <c r="AI114" s="6"/>
      <c r="AJ114" s="6"/>
      <c r="AK114" s="10">
        <f t="shared" si="26"/>
        <v>1.551834194</v>
      </c>
      <c r="AL114" s="6"/>
      <c r="AM114" s="6"/>
      <c r="AN114" s="6"/>
      <c r="AO114" s="10">
        <f t="shared" si="12"/>
        <v>1.6466545739999987</v>
      </c>
      <c r="AP114" s="6"/>
      <c r="AQ114" s="6"/>
      <c r="AR114" s="6"/>
      <c r="AS114" s="10">
        <f t="shared" si="15"/>
        <v>1.0028964480000013</v>
      </c>
      <c r="AT114" s="6"/>
      <c r="AU114" s="6"/>
      <c r="AX114" s="2">
        <f t="shared" si="18"/>
        <v>50962.646480000003</v>
      </c>
      <c r="AY114" s="2">
        <f t="shared" si="19"/>
        <v>123.65800476</v>
      </c>
      <c r="AZ114" s="2">
        <f t="shared" si="20"/>
        <v>50838.988475240003</v>
      </c>
      <c r="BA114" s="16"/>
    </row>
    <row r="115" spans="1:53" x14ac:dyDescent="0.25">
      <c r="A115" s="2" t="s">
        <v>118</v>
      </c>
      <c r="B115" s="2">
        <v>2020</v>
      </c>
      <c r="C115" s="2">
        <v>25778.814450000002</v>
      </c>
      <c r="D115" s="2">
        <v>62.381000520000001</v>
      </c>
      <c r="E115" s="2">
        <v>93.843843030000002</v>
      </c>
      <c r="F115" s="2">
        <v>0.68313118719999999</v>
      </c>
      <c r="G115" s="2">
        <v>5.2096927800000001</v>
      </c>
      <c r="H115" s="2">
        <v>0.26333300580000002</v>
      </c>
      <c r="I115" s="2">
        <v>88.753624880000004</v>
      </c>
      <c r="J115" s="2">
        <v>0.3564402606</v>
      </c>
      <c r="K115" s="2">
        <v>10.189934859999999</v>
      </c>
      <c r="L115" s="2">
        <v>0.7</v>
      </c>
      <c r="M115" s="2">
        <v>96.913510439999996</v>
      </c>
      <c r="N115" s="2">
        <v>0.88014287989999995</v>
      </c>
      <c r="O115" s="2">
        <v>2.206346677</v>
      </c>
      <c r="P115" s="2">
        <v>0</v>
      </c>
      <c r="Q115" s="2" t="str">
        <f t="shared" si="0"/>
        <v>Democratic People's Republic of Korea|2020</v>
      </c>
      <c r="R115" s="2" t="str">
        <f t="shared" si="1"/>
        <v xml:space="preserve"> </v>
      </c>
      <c r="T115" s="2" t="b">
        <f t="shared" si="24"/>
        <v>0</v>
      </c>
      <c r="U115" s="2" t="b">
        <f t="shared" si="28"/>
        <v>0</v>
      </c>
      <c r="V115" s="2" t="b">
        <f t="shared" si="2"/>
        <v>0</v>
      </c>
      <c r="W115" s="2">
        <f t="shared" si="3"/>
        <v>94</v>
      </c>
      <c r="X115" s="2">
        <f t="shared" si="4"/>
        <v>89</v>
      </c>
      <c r="Y115" s="2">
        <f t="shared" si="5"/>
        <v>97</v>
      </c>
      <c r="Z115" s="2" t="str">
        <f t="shared" si="6"/>
        <v/>
      </c>
      <c r="AA115" s="2" t="str">
        <f t="shared" si="7"/>
        <v/>
      </c>
      <c r="AB115" s="2" t="str">
        <f t="shared" si="8"/>
        <v/>
      </c>
      <c r="AC115" s="2">
        <f t="shared" si="9"/>
        <v>0</v>
      </c>
      <c r="AE115" s="10" t="s">
        <v>175</v>
      </c>
      <c r="AF115" s="11" t="s">
        <v>53</v>
      </c>
      <c r="AH115" s="6" t="str">
        <f t="shared" si="10"/>
        <v>Europe &amp; Central Asia</v>
      </c>
      <c r="AI115" s="6"/>
      <c r="AJ115" s="6"/>
      <c r="AK115" s="10">
        <f t="shared" si="26"/>
        <v>5.14967740000003E-2</v>
      </c>
      <c r="AL115" s="6"/>
      <c r="AM115" s="6"/>
      <c r="AN115" s="6"/>
      <c r="AO115" s="10">
        <f t="shared" si="12"/>
        <v>0.14490082599999993</v>
      </c>
      <c r="AP115" s="6"/>
      <c r="AQ115" s="6"/>
      <c r="AR115" s="6"/>
      <c r="AS115" s="10">
        <f t="shared" si="15"/>
        <v>7.206270000000359E-3</v>
      </c>
      <c r="AT115" s="6"/>
      <c r="AU115" s="6"/>
      <c r="AX115" s="2" t="str">
        <f t="shared" si="18"/>
        <v>null</v>
      </c>
      <c r="AY115" s="2" t="str">
        <f t="shared" si="19"/>
        <v>null</v>
      </c>
      <c r="AZ115" s="2" t="str">
        <f t="shared" si="20"/>
        <v>null</v>
      </c>
      <c r="BA115" s="6"/>
    </row>
    <row r="116" spans="1:53" x14ac:dyDescent="0.25">
      <c r="A116" s="2" t="s">
        <v>119</v>
      </c>
      <c r="B116" s="2">
        <v>2015</v>
      </c>
      <c r="C116" s="2">
        <v>76244.53125</v>
      </c>
      <c r="D116" s="2">
        <v>42.739997860000003</v>
      </c>
      <c r="E116" s="2">
        <v>42.718179970000001</v>
      </c>
      <c r="F116" s="2">
        <v>12.68729907</v>
      </c>
      <c r="G116" s="2">
        <v>34.284024770000002</v>
      </c>
      <c r="H116" s="2">
        <v>10.31049619</v>
      </c>
      <c r="I116" s="2">
        <v>20.6225138</v>
      </c>
      <c r="J116" s="2">
        <v>11.51689397</v>
      </c>
      <c r="K116" s="2">
        <v>51.009840029999999</v>
      </c>
      <c r="L116" s="2">
        <v>16.850752199999999</v>
      </c>
      <c r="M116" s="2">
        <v>72.320377789999995</v>
      </c>
      <c r="N116" s="2">
        <v>14.255324979999999</v>
      </c>
      <c r="O116" s="2">
        <v>11.87596826</v>
      </c>
      <c r="P116" s="2">
        <v>1.548328967</v>
      </c>
      <c r="Q116" s="2" t="str">
        <f t="shared" si="0"/>
        <v>Democratic Republic of the Congo|2015</v>
      </c>
      <c r="R116" s="2">
        <f t="shared" si="1"/>
        <v>5</v>
      </c>
      <c r="T116" s="2">
        <f t="shared" si="24"/>
        <v>0.6467893979999999</v>
      </c>
      <c r="U116" s="2">
        <f t="shared" si="28"/>
        <v>0.2720557079999999</v>
      </c>
      <c r="V116" s="2">
        <f t="shared" si="2"/>
        <v>0.43659539800000002</v>
      </c>
      <c r="W116" s="2">
        <f t="shared" si="3"/>
        <v>43</v>
      </c>
      <c r="X116" s="2">
        <f t="shared" si="4"/>
        <v>21</v>
      </c>
      <c r="Y116" s="2">
        <f t="shared" si="5"/>
        <v>72</v>
      </c>
      <c r="Z116" s="2" t="str">
        <f t="shared" si="6"/>
        <v/>
      </c>
      <c r="AA116" s="2" t="str">
        <f t="shared" si="7"/>
        <v/>
      </c>
      <c r="AB116" s="2" t="str">
        <f t="shared" si="8"/>
        <v>Fully Accessible</v>
      </c>
      <c r="AC116" s="2">
        <f t="shared" si="9"/>
        <v>-0.16453969000000013</v>
      </c>
      <c r="AE116" s="10" t="s">
        <v>176</v>
      </c>
      <c r="AF116" s="11" t="s">
        <v>56</v>
      </c>
      <c r="AH116" s="6" t="str">
        <f t="shared" si="10"/>
        <v>Middle East &amp; North Africa</v>
      </c>
      <c r="AI116" s="6"/>
      <c r="AJ116" s="6"/>
      <c r="AK116" s="10">
        <f t="shared" si="26"/>
        <v>0.2751354980000002</v>
      </c>
      <c r="AL116" s="6"/>
      <c r="AM116" s="6"/>
      <c r="AN116" s="6"/>
      <c r="AO116" s="10">
        <f t="shared" si="12"/>
        <v>0</v>
      </c>
      <c r="AP116" s="6"/>
      <c r="AQ116" s="6"/>
      <c r="AR116" s="6"/>
      <c r="AS116" s="10">
        <f t="shared" si="15"/>
        <v>0</v>
      </c>
      <c r="AT116" s="6"/>
      <c r="AU116" s="6"/>
      <c r="AX116" s="2">
        <f t="shared" si="18"/>
        <v>165805.9375</v>
      </c>
      <c r="AY116" s="2">
        <f t="shared" si="19"/>
        <v>88.377998350000013</v>
      </c>
      <c r="AZ116" s="2">
        <f t="shared" si="20"/>
        <v>165717.55950164999</v>
      </c>
      <c r="BA116" s="16"/>
    </row>
    <row r="117" spans="1:53" x14ac:dyDescent="0.25">
      <c r="A117" s="2" t="s">
        <v>119</v>
      </c>
      <c r="B117" s="2">
        <v>2020</v>
      </c>
      <c r="C117" s="2">
        <v>89561.40625</v>
      </c>
      <c r="D117" s="2">
        <v>45.638000490000003</v>
      </c>
      <c r="E117" s="2">
        <v>45.952126960000001</v>
      </c>
      <c r="F117" s="2">
        <v>13.44122447</v>
      </c>
      <c r="G117" s="2">
        <v>32.542316069999998</v>
      </c>
      <c r="H117" s="2">
        <v>8.0643324950000004</v>
      </c>
      <c r="I117" s="2">
        <v>21.98279234</v>
      </c>
      <c r="J117" s="2">
        <v>12.68294146</v>
      </c>
      <c r="K117" s="2">
        <v>51.215981669999998</v>
      </c>
      <c r="L117" s="2">
        <v>14.11828453</v>
      </c>
      <c r="M117" s="2">
        <v>74.503354779999995</v>
      </c>
      <c r="N117" s="2">
        <v>14.34445818</v>
      </c>
      <c r="O117" s="2">
        <v>10.29905862</v>
      </c>
      <c r="P117" s="2">
        <v>0.85312841309999998</v>
      </c>
      <c r="Q117" s="2" t="str">
        <f t="shared" si="0"/>
        <v>Democratic Republic of the Congo|2020</v>
      </c>
      <c r="R117" s="2" t="str">
        <f t="shared" si="1"/>
        <v xml:space="preserve"> </v>
      </c>
      <c r="T117" s="2" t="b">
        <f t="shared" si="24"/>
        <v>0</v>
      </c>
      <c r="U117" s="2" t="b">
        <f t="shared" si="28"/>
        <v>0</v>
      </c>
      <c r="V117" s="2" t="b">
        <f t="shared" si="2"/>
        <v>0</v>
      </c>
      <c r="W117" s="2">
        <f t="shared" si="3"/>
        <v>46</v>
      </c>
      <c r="X117" s="2">
        <f t="shared" si="4"/>
        <v>22</v>
      </c>
      <c r="Y117" s="2">
        <f t="shared" si="5"/>
        <v>75</v>
      </c>
      <c r="Z117" s="2" t="str">
        <f t="shared" si="6"/>
        <v/>
      </c>
      <c r="AA117" s="2" t="str">
        <f t="shared" si="7"/>
        <v/>
      </c>
      <c r="AB117" s="2" t="str">
        <f t="shared" si="8"/>
        <v/>
      </c>
      <c r="AC117" s="2">
        <f t="shared" si="9"/>
        <v>0</v>
      </c>
      <c r="AE117" s="10" t="s">
        <v>177</v>
      </c>
      <c r="AF117" s="11" t="s">
        <v>63</v>
      </c>
      <c r="AH117" s="6" t="str">
        <f t="shared" si="10"/>
        <v>Sub-Saharan Africa</v>
      </c>
      <c r="AI117" s="6"/>
      <c r="AJ117" s="6"/>
      <c r="AK117" s="10">
        <f t="shared" si="26"/>
        <v>0.32606997400000071</v>
      </c>
      <c r="AL117" s="6"/>
      <c r="AM117" s="6"/>
      <c r="AN117" s="6"/>
      <c r="AO117" s="10">
        <f t="shared" si="12"/>
        <v>4.5894333999999051E-2</v>
      </c>
      <c r="AP117" s="6"/>
      <c r="AQ117" s="6"/>
      <c r="AR117" s="6"/>
      <c r="AS117" s="10">
        <f t="shared" si="15"/>
        <v>0.62432648200000074</v>
      </c>
      <c r="AT117" s="6"/>
      <c r="AU117" s="6"/>
      <c r="AX117" s="2" t="str">
        <f t="shared" si="18"/>
        <v>null</v>
      </c>
      <c r="AY117" s="2" t="str">
        <f t="shared" si="19"/>
        <v>null</v>
      </c>
      <c r="AZ117" s="2" t="str">
        <f t="shared" si="20"/>
        <v>null</v>
      </c>
      <c r="BA117" s="16"/>
    </row>
    <row r="118" spans="1:53" x14ac:dyDescent="0.25">
      <c r="A118" s="2" t="s">
        <v>120</v>
      </c>
      <c r="B118" s="2">
        <v>2015</v>
      </c>
      <c r="C118" s="2">
        <v>5688.6948240000002</v>
      </c>
      <c r="D118" s="2">
        <v>87.526000980000006</v>
      </c>
      <c r="E118" s="2">
        <v>99.99999785</v>
      </c>
      <c r="F118" s="2">
        <v>0</v>
      </c>
      <c r="G118" s="2">
        <v>2.1458404119999999E-6</v>
      </c>
      <c r="H118" s="2">
        <v>0</v>
      </c>
      <c r="I118" s="2">
        <v>100</v>
      </c>
      <c r="J118" s="2">
        <v>0</v>
      </c>
      <c r="K118" s="2">
        <v>0</v>
      </c>
      <c r="L118" s="2">
        <v>0</v>
      </c>
      <c r="M118" s="2">
        <v>100</v>
      </c>
      <c r="N118" s="2">
        <v>0</v>
      </c>
      <c r="O118" s="2">
        <v>0</v>
      </c>
      <c r="P118" s="2">
        <v>0</v>
      </c>
      <c r="Q118" s="2" t="str">
        <f t="shared" si="0"/>
        <v>Denmark|2015</v>
      </c>
      <c r="R118" s="2">
        <f t="shared" si="1"/>
        <v>5</v>
      </c>
      <c r="T118" s="2">
        <f t="shared" si="24"/>
        <v>6.5000000120107866E-7</v>
      </c>
      <c r="U118" s="2">
        <f t="shared" si="28"/>
        <v>0</v>
      </c>
      <c r="V118" s="2">
        <f t="shared" si="2"/>
        <v>0</v>
      </c>
      <c r="W118" s="2">
        <f t="shared" si="3"/>
        <v>100</v>
      </c>
      <c r="X118" s="2">
        <f t="shared" si="4"/>
        <v>100</v>
      </c>
      <c r="Y118" s="2">
        <f t="shared" si="5"/>
        <v>100</v>
      </c>
      <c r="Z118" s="2" t="str">
        <f t="shared" si="6"/>
        <v/>
      </c>
      <c r="AA118" s="2" t="str">
        <f t="shared" si="7"/>
        <v/>
      </c>
      <c r="AB118" s="2" t="str">
        <f t="shared" si="8"/>
        <v>Fully Accessible</v>
      </c>
      <c r="AC118" s="2">
        <f t="shared" si="9"/>
        <v>0</v>
      </c>
      <c r="AE118" s="10" t="s">
        <v>178</v>
      </c>
      <c r="AF118" s="11" t="s">
        <v>63</v>
      </c>
      <c r="AH118" s="6" t="str">
        <f t="shared" si="10"/>
        <v>Sub-Saharan Africa</v>
      </c>
      <c r="AI118" s="6"/>
      <c r="AJ118" s="6"/>
      <c r="AK118" s="10">
        <f t="shared" si="26"/>
        <v>0.53839992999999997</v>
      </c>
      <c r="AL118" s="6"/>
      <c r="AM118" s="6"/>
      <c r="AN118" s="6"/>
      <c r="AO118" s="10">
        <f t="shared" si="12"/>
        <v>0.56740698600000028</v>
      </c>
      <c r="AP118" s="6"/>
      <c r="AQ118" s="6"/>
      <c r="AR118" s="6"/>
      <c r="AS118" s="10">
        <f t="shared" si="15"/>
        <v>0.31400112400000069</v>
      </c>
      <c r="AT118" s="6"/>
      <c r="AU118" s="6"/>
      <c r="AX118" s="2">
        <f t="shared" si="18"/>
        <v>11480.897949</v>
      </c>
      <c r="AY118" s="2">
        <f t="shared" si="19"/>
        <v>175.64200592</v>
      </c>
      <c r="AZ118" s="2">
        <f t="shared" si="20"/>
        <v>11305.255943079999</v>
      </c>
      <c r="BA118" s="6"/>
    </row>
    <row r="119" spans="1:53" x14ac:dyDescent="0.25">
      <c r="A119" s="2" t="s">
        <v>120</v>
      </c>
      <c r="B119" s="2">
        <v>2020</v>
      </c>
      <c r="C119" s="2">
        <v>5792.203125</v>
      </c>
      <c r="D119" s="2">
        <v>88.116004939999996</v>
      </c>
      <c r="E119" s="2">
        <v>100.00000110000001</v>
      </c>
      <c r="F119" s="2">
        <v>0</v>
      </c>
      <c r="G119" s="2">
        <v>0</v>
      </c>
      <c r="H119" s="2">
        <v>0</v>
      </c>
      <c r="I119" s="2">
        <v>100</v>
      </c>
      <c r="J119" s="2">
        <v>0</v>
      </c>
      <c r="K119" s="2">
        <v>0</v>
      </c>
      <c r="L119" s="2">
        <v>0</v>
      </c>
      <c r="M119" s="2">
        <v>100</v>
      </c>
      <c r="N119" s="2">
        <v>0</v>
      </c>
      <c r="O119" s="2">
        <v>0</v>
      </c>
      <c r="P119" s="2">
        <v>0</v>
      </c>
      <c r="Q119" s="2" t="str">
        <f t="shared" si="0"/>
        <v>Denmark|2020</v>
      </c>
      <c r="R119" s="2" t="str">
        <f t="shared" si="1"/>
        <v xml:space="preserve"> </v>
      </c>
      <c r="T119" s="2" t="b">
        <f t="shared" si="24"/>
        <v>0</v>
      </c>
      <c r="U119" s="2" t="b">
        <f t="shared" si="28"/>
        <v>0</v>
      </c>
      <c r="V119" s="2" t="b">
        <f t="shared" si="2"/>
        <v>0</v>
      </c>
      <c r="W119" s="2">
        <f t="shared" si="3"/>
        <v>100</v>
      </c>
      <c r="X119" s="2">
        <f t="shared" si="4"/>
        <v>100</v>
      </c>
      <c r="Y119" s="2">
        <f t="shared" si="5"/>
        <v>100</v>
      </c>
      <c r="Z119" s="2" t="str">
        <f t="shared" si="6"/>
        <v/>
      </c>
      <c r="AA119" s="2" t="str">
        <f t="shared" si="7"/>
        <v/>
      </c>
      <c r="AB119" s="2" t="str">
        <f t="shared" si="8"/>
        <v/>
      </c>
      <c r="AC119" s="2">
        <f t="shared" si="9"/>
        <v>0</v>
      </c>
      <c r="AE119" s="10" t="s">
        <v>179</v>
      </c>
      <c r="AF119" s="11" t="s">
        <v>63</v>
      </c>
      <c r="AH119" s="6" t="str">
        <f t="shared" si="10"/>
        <v>Sub-Saharan Africa</v>
      </c>
      <c r="AI119" s="6"/>
      <c r="AJ119" s="6"/>
      <c r="AK119" s="10">
        <f t="shared" si="26"/>
        <v>0.52198172800000009</v>
      </c>
      <c r="AL119" s="6"/>
      <c r="AM119" s="6"/>
      <c r="AN119" s="6"/>
      <c r="AO119" s="10">
        <f t="shared" si="12"/>
        <v>0</v>
      </c>
      <c r="AP119" s="6"/>
      <c r="AQ119" s="6"/>
      <c r="AR119" s="6"/>
      <c r="AS119" s="10">
        <f t="shared" si="15"/>
        <v>0</v>
      </c>
      <c r="AT119" s="6"/>
      <c r="AU119" s="6"/>
      <c r="AX119" s="2" t="str">
        <f t="shared" si="18"/>
        <v>null</v>
      </c>
      <c r="AY119" s="2" t="str">
        <f t="shared" si="19"/>
        <v>null</v>
      </c>
      <c r="AZ119" s="2" t="str">
        <f t="shared" si="20"/>
        <v>null</v>
      </c>
      <c r="BA119" s="6"/>
    </row>
    <row r="120" spans="1:53" x14ac:dyDescent="0.25">
      <c r="A120" s="2" t="s">
        <v>121</v>
      </c>
      <c r="B120" s="2">
        <v>2015</v>
      </c>
      <c r="C120" s="2">
        <v>913.99798580000004</v>
      </c>
      <c r="D120" s="2">
        <v>77.416992190000002</v>
      </c>
      <c r="E120" s="2">
        <v>75.787045030000002</v>
      </c>
      <c r="F120" s="2">
        <v>14.754171189999999</v>
      </c>
      <c r="G120" s="2">
        <v>7.3949239499999999</v>
      </c>
      <c r="H120" s="2">
        <v>2.0638598250000002</v>
      </c>
      <c r="I120" s="2">
        <v>48.759205090000002</v>
      </c>
      <c r="J120" s="2">
        <v>12.43877762</v>
      </c>
      <c r="K120" s="2">
        <v>30.377002539999999</v>
      </c>
      <c r="L120" s="2">
        <v>8.4250147539999993</v>
      </c>
      <c r="M120" s="2">
        <v>83.671229850000003</v>
      </c>
      <c r="N120" s="2">
        <v>15.42958572</v>
      </c>
      <c r="O120" s="2">
        <v>0.69091164790000004</v>
      </c>
      <c r="P120" s="2">
        <v>0.20827278539999999</v>
      </c>
      <c r="Q120" s="2" t="str">
        <f t="shared" si="0"/>
        <v>Djibouti|2015</v>
      </c>
      <c r="R120" s="2">
        <f t="shared" si="1"/>
        <v>5</v>
      </c>
      <c r="T120" s="2">
        <f t="shared" si="24"/>
        <v>5.257503599999893E-2</v>
      </c>
      <c r="U120" s="2">
        <f t="shared" si="28"/>
        <v>-0.29569443200000051</v>
      </c>
      <c r="V120" s="2">
        <f t="shared" si="2"/>
        <v>9.2757015999998776E-2</v>
      </c>
      <c r="W120" s="2">
        <f t="shared" si="3"/>
        <v>76</v>
      </c>
      <c r="X120" s="2">
        <f t="shared" si="4"/>
        <v>49</v>
      </c>
      <c r="Y120" s="2">
        <f t="shared" si="5"/>
        <v>84</v>
      </c>
      <c r="Z120" s="2" t="str">
        <f t="shared" si="6"/>
        <v/>
      </c>
      <c r="AA120" s="2" t="str">
        <f t="shared" si="7"/>
        <v/>
      </c>
      <c r="AB120" s="2" t="str">
        <f t="shared" si="8"/>
        <v>Fully Accessible</v>
      </c>
      <c r="AC120" s="2">
        <f t="shared" si="9"/>
        <v>-0.38845144799999931</v>
      </c>
      <c r="AE120" s="10" t="s">
        <v>180</v>
      </c>
      <c r="AF120" s="11" t="s">
        <v>53</v>
      </c>
      <c r="AH120" s="6" t="str">
        <f t="shared" si="10"/>
        <v>Europe &amp; Central Asia</v>
      </c>
      <c r="AI120" s="6"/>
      <c r="AJ120" s="6"/>
      <c r="AK120" s="10">
        <f t="shared" si="26"/>
        <v>0</v>
      </c>
      <c r="AL120" s="6"/>
      <c r="AM120" s="6"/>
      <c r="AN120" s="6"/>
      <c r="AO120" s="10">
        <f t="shared" si="12"/>
        <v>0</v>
      </c>
      <c r="AP120" s="6"/>
      <c r="AQ120" s="6"/>
      <c r="AR120" s="6"/>
      <c r="AS120" s="10">
        <f t="shared" si="15"/>
        <v>0</v>
      </c>
      <c r="AT120" s="6"/>
      <c r="AU120" s="6"/>
      <c r="AX120" s="2">
        <f t="shared" si="18"/>
        <v>1902</v>
      </c>
      <c r="AY120" s="2">
        <f t="shared" si="19"/>
        <v>155.47898865000002</v>
      </c>
      <c r="AZ120" s="2">
        <f t="shared" si="20"/>
        <v>1746.52101135</v>
      </c>
      <c r="BA120" s="6"/>
    </row>
    <row r="121" spans="1:53" x14ac:dyDescent="0.25">
      <c r="A121" s="2" t="s">
        <v>121</v>
      </c>
      <c r="B121" s="2">
        <v>2020</v>
      </c>
      <c r="C121" s="2">
        <v>988.00201419999996</v>
      </c>
      <c r="D121" s="2">
        <v>78.061996460000003</v>
      </c>
      <c r="E121" s="2">
        <v>76.049920209999996</v>
      </c>
      <c r="F121" s="2">
        <v>14.7574817</v>
      </c>
      <c r="G121" s="2">
        <v>7.0158760510000002</v>
      </c>
      <c r="H121" s="2">
        <v>2.1767220379999999</v>
      </c>
      <c r="I121" s="2">
        <v>47.280732929999999</v>
      </c>
      <c r="J121" s="2">
        <v>12.061610140000001</v>
      </c>
      <c r="K121" s="2">
        <v>30.735504679999998</v>
      </c>
      <c r="L121" s="2">
        <v>9.9221522489999998</v>
      </c>
      <c r="M121" s="2">
        <v>84.135014929999997</v>
      </c>
      <c r="N121" s="2">
        <v>15.51511107</v>
      </c>
      <c r="O121" s="2">
        <v>0.34987400289999998</v>
      </c>
      <c r="P121" s="2">
        <v>0</v>
      </c>
      <c r="Q121" s="2" t="str">
        <f t="shared" si="0"/>
        <v>Djibouti|2020</v>
      </c>
      <c r="R121" s="2" t="str">
        <f t="shared" si="1"/>
        <v xml:space="preserve"> </v>
      </c>
      <c r="T121" s="2" t="b">
        <f t="shared" si="24"/>
        <v>0</v>
      </c>
      <c r="U121" s="2" t="b">
        <f t="shared" si="28"/>
        <v>0</v>
      </c>
      <c r="V121" s="2" t="b">
        <f t="shared" si="2"/>
        <v>0</v>
      </c>
      <c r="W121" s="2">
        <f t="shared" si="3"/>
        <v>76</v>
      </c>
      <c r="X121" s="2">
        <f t="shared" si="4"/>
        <v>47</v>
      </c>
      <c r="Y121" s="2">
        <f t="shared" si="5"/>
        <v>84</v>
      </c>
      <c r="Z121" s="2" t="str">
        <f t="shared" si="6"/>
        <v/>
      </c>
      <c r="AA121" s="2" t="str">
        <f t="shared" si="7"/>
        <v/>
      </c>
      <c r="AB121" s="2" t="str">
        <f t="shared" si="8"/>
        <v/>
      </c>
      <c r="AC121" s="2">
        <f t="shared" si="9"/>
        <v>0</v>
      </c>
      <c r="AE121" s="10" t="s">
        <v>181</v>
      </c>
      <c r="AF121" s="11" t="s">
        <v>53</v>
      </c>
      <c r="AH121" s="6" t="str">
        <f t="shared" si="10"/>
        <v>Europe &amp; Central Asia</v>
      </c>
      <c r="AI121" s="6"/>
      <c r="AJ121" s="6"/>
      <c r="AK121" s="10">
        <f t="shared" si="26"/>
        <v>0.2818417320000009</v>
      </c>
      <c r="AL121" s="6"/>
      <c r="AM121" s="6"/>
      <c r="AN121" s="6"/>
      <c r="AO121" s="10">
        <f t="shared" si="12"/>
        <v>0.61285916399999962</v>
      </c>
      <c r="AP121" s="6"/>
      <c r="AQ121" s="6"/>
      <c r="AR121" s="6"/>
      <c r="AS121" s="10">
        <f t="shared" si="15"/>
        <v>0.10540192999999931</v>
      </c>
      <c r="AT121" s="6"/>
      <c r="AU121" s="6"/>
      <c r="AX121" s="2" t="str">
        <f t="shared" si="18"/>
        <v>null</v>
      </c>
      <c r="AY121" s="2" t="str">
        <f t="shared" si="19"/>
        <v>null</v>
      </c>
      <c r="AZ121" s="2" t="str">
        <f t="shared" si="20"/>
        <v>null</v>
      </c>
      <c r="BA121" s="6"/>
    </row>
    <row r="122" spans="1:53" x14ac:dyDescent="0.25">
      <c r="A122" s="2" t="s">
        <v>122</v>
      </c>
      <c r="B122" s="2">
        <v>2015</v>
      </c>
      <c r="C122" s="2">
        <v>71.175003050000001</v>
      </c>
      <c r="D122" s="2">
        <v>69.578994750000007</v>
      </c>
      <c r="E122" s="2">
        <v>95.420656059999999</v>
      </c>
      <c r="F122" s="2">
        <v>0</v>
      </c>
      <c r="G122" s="2">
        <v>4.579343937</v>
      </c>
      <c r="H122" s="2">
        <v>0</v>
      </c>
      <c r="I122" s="2" t="s">
        <v>64</v>
      </c>
      <c r="J122" s="2" t="s">
        <v>64</v>
      </c>
      <c r="K122" s="2" t="s">
        <v>64</v>
      </c>
      <c r="L122" s="2" t="s">
        <v>64</v>
      </c>
      <c r="M122" s="2" t="s">
        <v>64</v>
      </c>
      <c r="N122" s="2" t="s">
        <v>64</v>
      </c>
      <c r="O122" s="2" t="s">
        <v>64</v>
      </c>
      <c r="P122" s="2" t="s">
        <v>64</v>
      </c>
      <c r="Q122" s="2" t="str">
        <f t="shared" si="0"/>
        <v>Dominica|2015</v>
      </c>
      <c r="R122" s="2">
        <f t="shared" si="1"/>
        <v>2</v>
      </c>
      <c r="T122" s="2">
        <f t="shared" si="24"/>
        <v>0</v>
      </c>
      <c r="U122" s="2" t="str">
        <f t="shared" si="28"/>
        <v>null</v>
      </c>
      <c r="V122" s="2" t="str">
        <f t="shared" si="2"/>
        <v>null</v>
      </c>
      <c r="W122" s="2">
        <f t="shared" si="3"/>
        <v>95</v>
      </c>
      <c r="X122" s="2" t="b">
        <f t="shared" si="4"/>
        <v>0</v>
      </c>
      <c r="Y122" s="2" t="b">
        <f t="shared" si="5"/>
        <v>0</v>
      </c>
      <c r="Z122" s="2" t="str">
        <f t="shared" si="6"/>
        <v/>
      </c>
      <c r="AA122" s="2" t="str">
        <f t="shared" si="7"/>
        <v>Fully Accessible</v>
      </c>
      <c r="AB122" s="2" t="str">
        <f t="shared" si="8"/>
        <v>Fully Accessible</v>
      </c>
      <c r="AC122" s="2" t="b">
        <f t="shared" si="9"/>
        <v>0</v>
      </c>
      <c r="AE122" s="10" t="s">
        <v>182</v>
      </c>
      <c r="AF122" s="11" t="s">
        <v>53</v>
      </c>
      <c r="AH122" s="6" t="str">
        <f t="shared" si="10"/>
        <v>Europe &amp; Central Asia</v>
      </c>
      <c r="AI122" s="6"/>
      <c r="AJ122" s="6"/>
      <c r="AK122" s="10">
        <f t="shared" si="26"/>
        <v>-9.0476240000015203E-3</v>
      </c>
      <c r="AL122" s="6"/>
      <c r="AM122" s="6"/>
      <c r="AN122" s="6"/>
      <c r="AO122" s="10">
        <f t="shared" si="12"/>
        <v>-0.12857142800000076</v>
      </c>
      <c r="AP122" s="6"/>
      <c r="AQ122" s="6"/>
      <c r="AR122" s="6"/>
      <c r="AS122" s="10">
        <f t="shared" si="15"/>
        <v>0</v>
      </c>
      <c r="AT122" s="6"/>
      <c r="AU122" s="6"/>
      <c r="AX122" s="2">
        <f t="shared" si="18"/>
        <v>142.63500213</v>
      </c>
      <c r="AY122" s="2">
        <f t="shared" si="19"/>
        <v>139.75999451000001</v>
      </c>
      <c r="AZ122" s="2">
        <f t="shared" si="20"/>
        <v>2.875007619999991</v>
      </c>
      <c r="BA122" s="16"/>
    </row>
    <row r="123" spans="1:53" x14ac:dyDescent="0.25">
      <c r="A123" s="2" t="s">
        <v>122</v>
      </c>
      <c r="B123" s="2">
        <v>2017</v>
      </c>
      <c r="C123" s="2">
        <v>71.459999080000003</v>
      </c>
      <c r="D123" s="2">
        <v>70.180999760000006</v>
      </c>
      <c r="E123" s="2">
        <v>95.420656059999999</v>
      </c>
      <c r="F123" s="2">
        <v>0</v>
      </c>
      <c r="G123" s="2">
        <v>4.579343937</v>
      </c>
      <c r="H123" s="2">
        <v>0</v>
      </c>
      <c r="I123" s="2" t="s">
        <v>64</v>
      </c>
      <c r="J123" s="2" t="s">
        <v>64</v>
      </c>
      <c r="K123" s="2" t="s">
        <v>64</v>
      </c>
      <c r="L123" s="2" t="s">
        <v>64</v>
      </c>
      <c r="M123" s="2" t="s">
        <v>64</v>
      </c>
      <c r="N123" s="2" t="s">
        <v>64</v>
      </c>
      <c r="O123" s="2" t="s">
        <v>64</v>
      </c>
      <c r="P123" s="2" t="s">
        <v>64</v>
      </c>
      <c r="Q123" s="2" t="str">
        <f t="shared" si="0"/>
        <v>Dominica|2017</v>
      </c>
      <c r="R123" s="2" t="str">
        <f t="shared" si="1"/>
        <v xml:space="preserve"> </v>
      </c>
      <c r="T123" s="2" t="b">
        <f t="shared" si="24"/>
        <v>0</v>
      </c>
      <c r="U123" s="2" t="b">
        <f t="shared" si="28"/>
        <v>0</v>
      </c>
      <c r="V123" s="2" t="b">
        <f t="shared" si="2"/>
        <v>0</v>
      </c>
      <c r="W123" s="2">
        <f t="shared" si="3"/>
        <v>95</v>
      </c>
      <c r="X123" s="2" t="b">
        <f t="shared" si="4"/>
        <v>0</v>
      </c>
      <c r="Y123" s="2" t="b">
        <f t="shared" si="5"/>
        <v>0</v>
      </c>
      <c r="Z123" s="2" t="str">
        <f t="shared" si="6"/>
        <v/>
      </c>
      <c r="AA123" s="2" t="str">
        <f t="shared" si="7"/>
        <v/>
      </c>
      <c r="AB123" s="2" t="str">
        <f t="shared" si="8"/>
        <v/>
      </c>
      <c r="AC123" s="2">
        <f t="shared" si="9"/>
        <v>0</v>
      </c>
      <c r="AE123" s="10" t="s">
        <v>183</v>
      </c>
      <c r="AF123" s="11" t="s">
        <v>63</v>
      </c>
      <c r="AH123" s="6" t="str">
        <f t="shared" si="10"/>
        <v>Sub-Saharan Africa</v>
      </c>
      <c r="AI123" s="6"/>
      <c r="AJ123" s="6"/>
      <c r="AK123" s="10">
        <f t="shared" si="26"/>
        <v>0.89882227399999981</v>
      </c>
      <c r="AL123" s="6"/>
      <c r="AM123" s="6"/>
      <c r="AN123" s="6"/>
      <c r="AO123" s="10">
        <f t="shared" si="12"/>
        <v>0.6523685099999994</v>
      </c>
      <c r="AP123" s="6"/>
      <c r="AQ123" s="6"/>
      <c r="AR123" s="6"/>
      <c r="AS123" s="10">
        <f t="shared" si="15"/>
        <v>0.51603524399999967</v>
      </c>
      <c r="AT123" s="6"/>
      <c r="AU123" s="6"/>
      <c r="AX123" s="2" t="str">
        <f t="shared" si="18"/>
        <v>null</v>
      </c>
      <c r="AY123" s="2" t="str">
        <f t="shared" si="19"/>
        <v>null</v>
      </c>
      <c r="AZ123" s="2" t="str">
        <f t="shared" si="20"/>
        <v>null</v>
      </c>
      <c r="BA123" s="6"/>
    </row>
    <row r="124" spans="1:53" x14ac:dyDescent="0.25">
      <c r="A124" s="2" t="s">
        <v>123</v>
      </c>
      <c r="B124" s="2">
        <v>2015</v>
      </c>
      <c r="C124" s="2">
        <v>10281.674800000001</v>
      </c>
      <c r="D124" s="2">
        <v>78.566001889999995</v>
      </c>
      <c r="E124" s="2">
        <v>96.099338500000002</v>
      </c>
      <c r="F124" s="2">
        <v>0.69521221550000001</v>
      </c>
      <c r="G124" s="2">
        <v>1.5505944979999999</v>
      </c>
      <c r="H124" s="2">
        <v>1.654854791</v>
      </c>
      <c r="I124" s="2">
        <v>89.211043779999997</v>
      </c>
      <c r="J124" s="2">
        <v>1.8228771610000001</v>
      </c>
      <c r="K124" s="2">
        <v>2.4418886230000001</v>
      </c>
      <c r="L124" s="2">
        <v>6.5241904399999999</v>
      </c>
      <c r="M124" s="2">
        <v>97.978569809999996</v>
      </c>
      <c r="N124" s="2">
        <v>0.3875681084</v>
      </c>
      <c r="O124" s="2">
        <v>1.3074359369999999</v>
      </c>
      <c r="P124" s="2">
        <v>0.32642614349999999</v>
      </c>
      <c r="Q124" s="2" t="str">
        <f t="shared" si="0"/>
        <v>Dominican Republic|2015</v>
      </c>
      <c r="R124" s="2">
        <f t="shared" si="1"/>
        <v>5</v>
      </c>
      <c r="T124" s="2">
        <f t="shared" si="24"/>
        <v>0.11749468399999899</v>
      </c>
      <c r="U124" s="2">
        <f t="shared" si="28"/>
        <v>0.21868411800000159</v>
      </c>
      <c r="V124" s="2">
        <f t="shared" si="2"/>
        <v>1.1664354000001254E-2</v>
      </c>
      <c r="W124" s="2">
        <f t="shared" si="3"/>
        <v>96</v>
      </c>
      <c r="X124" s="2">
        <f t="shared" si="4"/>
        <v>89</v>
      </c>
      <c r="Y124" s="2">
        <f t="shared" si="5"/>
        <v>98</v>
      </c>
      <c r="Z124" s="2" t="str">
        <f t="shared" si="6"/>
        <v/>
      </c>
      <c r="AA124" s="2" t="str">
        <f t="shared" si="7"/>
        <v/>
      </c>
      <c r="AB124" s="2" t="str">
        <f t="shared" si="8"/>
        <v>Fully Accessible</v>
      </c>
      <c r="AC124" s="2">
        <f t="shared" si="9"/>
        <v>0.20701976400000033</v>
      </c>
      <c r="AE124" s="10" t="s">
        <v>184</v>
      </c>
      <c r="AF124" s="11" t="s">
        <v>63</v>
      </c>
      <c r="AH124" s="6" t="str">
        <f t="shared" si="10"/>
        <v>Sub-Saharan Africa</v>
      </c>
      <c r="AI124" s="6"/>
      <c r="AJ124" s="6"/>
      <c r="AK124" s="10">
        <f t="shared" si="26"/>
        <v>0.77855387399999931</v>
      </c>
      <c r="AL124" s="6"/>
      <c r="AM124" s="6"/>
      <c r="AN124" s="6"/>
      <c r="AO124" s="10">
        <f t="shared" si="12"/>
        <v>0.8688870240000014</v>
      </c>
      <c r="AP124" s="6"/>
      <c r="AQ124" s="6"/>
      <c r="AR124" s="6"/>
      <c r="AS124" s="10">
        <f t="shared" si="15"/>
        <v>4.3763672000000045E-2</v>
      </c>
      <c r="AT124" s="6"/>
      <c r="AU124" s="6"/>
      <c r="AX124" s="2">
        <f t="shared" si="18"/>
        <v>21129.579100000003</v>
      </c>
      <c r="AY124" s="2">
        <f t="shared" si="19"/>
        <v>161.10600281000001</v>
      </c>
      <c r="AZ124" s="2">
        <f t="shared" si="20"/>
        <v>20968.473097190003</v>
      </c>
      <c r="BA124" s="16"/>
    </row>
    <row r="125" spans="1:53" x14ac:dyDescent="0.25">
      <c r="A125" s="2" t="s">
        <v>123</v>
      </c>
      <c r="B125" s="2">
        <v>2020</v>
      </c>
      <c r="C125" s="2">
        <v>10847.9043</v>
      </c>
      <c r="D125" s="2">
        <v>82.540000919999997</v>
      </c>
      <c r="E125" s="2">
        <v>96.686811919999997</v>
      </c>
      <c r="F125" s="2">
        <v>0.46703865039999998</v>
      </c>
      <c r="G125" s="2">
        <v>1.2694287829999999</v>
      </c>
      <c r="H125" s="2">
        <v>1.5767206439999999</v>
      </c>
      <c r="I125" s="2">
        <v>90.304464370000005</v>
      </c>
      <c r="J125" s="2">
        <v>1.3853155079999999</v>
      </c>
      <c r="K125" s="2">
        <v>1.1151181269999999</v>
      </c>
      <c r="L125" s="2">
        <v>7.1951019909999996</v>
      </c>
      <c r="M125" s="2">
        <v>98.036891580000002</v>
      </c>
      <c r="N125" s="2">
        <v>0.27279203590000001</v>
      </c>
      <c r="O125" s="2">
        <v>1.3020733959999999</v>
      </c>
      <c r="P125" s="2">
        <v>0.38824299220000003</v>
      </c>
      <c r="Q125" s="2" t="str">
        <f t="shared" si="0"/>
        <v>Dominican Republic|2020</v>
      </c>
      <c r="R125" s="2" t="str">
        <f t="shared" si="1"/>
        <v xml:space="preserve"> </v>
      </c>
      <c r="T125" s="2" t="b">
        <f t="shared" si="24"/>
        <v>0</v>
      </c>
      <c r="U125" s="2" t="b">
        <f t="shared" si="28"/>
        <v>0</v>
      </c>
      <c r="V125" s="2" t="b">
        <f t="shared" si="2"/>
        <v>0</v>
      </c>
      <c r="W125" s="2">
        <f t="shared" si="3"/>
        <v>97</v>
      </c>
      <c r="X125" s="2">
        <f t="shared" si="4"/>
        <v>90</v>
      </c>
      <c r="Y125" s="2">
        <f t="shared" si="5"/>
        <v>98</v>
      </c>
      <c r="Z125" s="2" t="str">
        <f t="shared" si="6"/>
        <v/>
      </c>
      <c r="AA125" s="2" t="str">
        <f t="shared" si="7"/>
        <v/>
      </c>
      <c r="AB125" s="2" t="str">
        <f t="shared" si="8"/>
        <v/>
      </c>
      <c r="AC125" s="2">
        <f t="shared" si="9"/>
        <v>0</v>
      </c>
      <c r="AE125" s="10" t="s">
        <v>185</v>
      </c>
      <c r="AF125" s="11" t="s">
        <v>50</v>
      </c>
      <c r="AH125" s="6" t="str">
        <f t="shared" si="10"/>
        <v>South Asia</v>
      </c>
      <c r="AI125" s="6"/>
      <c r="AJ125" s="6"/>
      <c r="AK125" s="10">
        <f t="shared" si="26"/>
        <v>9.5409020000005278E-3</v>
      </c>
      <c r="AL125" s="6"/>
      <c r="AM125" s="6"/>
      <c r="AN125" s="6"/>
      <c r="AO125" s="10">
        <f t="shared" si="12"/>
        <v>-0.14417221999999869</v>
      </c>
      <c r="AP125" s="6"/>
      <c r="AQ125" s="6"/>
      <c r="AR125" s="6"/>
      <c r="AS125" s="10">
        <f t="shared" si="15"/>
        <v>-8.0940279999992988E-3</v>
      </c>
      <c r="AT125" s="6"/>
      <c r="AU125" s="6"/>
      <c r="AX125" s="2" t="str">
        <f t="shared" si="18"/>
        <v>null</v>
      </c>
      <c r="AY125" s="2" t="str">
        <f t="shared" si="19"/>
        <v>null</v>
      </c>
      <c r="AZ125" s="2" t="str">
        <f t="shared" si="20"/>
        <v>null</v>
      </c>
      <c r="BA125" s="16"/>
    </row>
    <row r="126" spans="1:53" x14ac:dyDescent="0.25">
      <c r="A126" s="2" t="s">
        <v>124</v>
      </c>
      <c r="B126" s="2">
        <v>2015</v>
      </c>
      <c r="C126" s="2">
        <v>16212.02246</v>
      </c>
      <c r="D126" s="2">
        <v>63.397998809999997</v>
      </c>
      <c r="E126" s="2">
        <v>93.063779499999995</v>
      </c>
      <c r="F126" s="2">
        <v>0.19976017630000001</v>
      </c>
      <c r="G126" s="2">
        <v>3.1195651139999998</v>
      </c>
      <c r="H126" s="2">
        <v>3.6168952120000002</v>
      </c>
      <c r="I126" s="2">
        <v>82.552481950000001</v>
      </c>
      <c r="J126" s="2">
        <v>0.445629255</v>
      </c>
      <c r="K126" s="2">
        <v>7.379055031</v>
      </c>
      <c r="L126" s="2">
        <v>9.6228337600000007</v>
      </c>
      <c r="M126" s="2">
        <v>99.132339200000004</v>
      </c>
      <c r="N126" s="2">
        <v>5.7810890199999999E-2</v>
      </c>
      <c r="O126" s="2">
        <v>0.66040450689999997</v>
      </c>
      <c r="P126" s="2">
        <v>0.14944540680000001</v>
      </c>
      <c r="Q126" s="2" t="str">
        <f t="shared" si="0"/>
        <v>Ecuador|2015</v>
      </c>
      <c r="R126" s="2">
        <f t="shared" si="1"/>
        <v>5</v>
      </c>
      <c r="T126" s="2">
        <f t="shared" si="24"/>
        <v>0.45919681200000184</v>
      </c>
      <c r="U126" s="2">
        <f t="shared" si="28"/>
        <v>0.89965259999999891</v>
      </c>
      <c r="V126" s="2">
        <f t="shared" si="2"/>
        <v>0.17353215999999919</v>
      </c>
      <c r="W126" s="2">
        <f t="shared" si="3"/>
        <v>93</v>
      </c>
      <c r="X126" s="2">
        <f t="shared" si="4"/>
        <v>83</v>
      </c>
      <c r="Y126" s="2">
        <f t="shared" si="5"/>
        <v>99</v>
      </c>
      <c r="Z126" s="2" t="str">
        <f t="shared" si="6"/>
        <v/>
      </c>
      <c r="AA126" s="2" t="str">
        <f t="shared" si="7"/>
        <v/>
      </c>
      <c r="AB126" s="2" t="str">
        <f t="shared" si="8"/>
        <v>Fully Accessible</v>
      </c>
      <c r="AC126" s="2">
        <f t="shared" si="9"/>
        <v>0.72612043999999976</v>
      </c>
      <c r="AE126" s="10" t="s">
        <v>186</v>
      </c>
      <c r="AF126" s="11" t="s">
        <v>50</v>
      </c>
      <c r="AH126" s="6" t="str">
        <f t="shared" si="10"/>
        <v>South Asia</v>
      </c>
      <c r="AI126" s="6"/>
      <c r="AJ126" s="6"/>
      <c r="AK126" s="10">
        <f t="shared" si="26"/>
        <v>0.14603886200000032</v>
      </c>
      <c r="AL126" s="6"/>
      <c r="AM126" s="6"/>
      <c r="AN126" s="6"/>
      <c r="AO126" s="10">
        <f t="shared" si="12"/>
        <v>0.2078626459999981</v>
      </c>
      <c r="AP126" s="6"/>
      <c r="AQ126" s="6"/>
      <c r="AR126" s="6"/>
      <c r="AS126" s="10">
        <f t="shared" si="15"/>
        <v>5.7636648000001858E-2</v>
      </c>
      <c r="AT126" s="6"/>
      <c r="AU126" s="6"/>
      <c r="AX126" s="2">
        <f t="shared" si="18"/>
        <v>33855.083010000002</v>
      </c>
      <c r="AY126" s="2">
        <f t="shared" si="19"/>
        <v>127.56399918</v>
      </c>
      <c r="AZ126" s="2">
        <f t="shared" si="20"/>
        <v>33727.519010820004</v>
      </c>
      <c r="BA126" s="6"/>
    </row>
    <row r="127" spans="1:53" x14ac:dyDescent="0.25">
      <c r="A127" s="2" t="s">
        <v>124</v>
      </c>
      <c r="B127" s="2">
        <v>2020</v>
      </c>
      <c r="C127" s="2">
        <v>17643.060549999998</v>
      </c>
      <c r="D127" s="2">
        <v>64.166000370000006</v>
      </c>
      <c r="E127" s="2">
        <v>95.359763560000005</v>
      </c>
      <c r="F127" s="2">
        <v>3.451463449E-3</v>
      </c>
      <c r="G127" s="2">
        <v>2.6044853890000002</v>
      </c>
      <c r="H127" s="2">
        <v>2.032299589</v>
      </c>
      <c r="I127" s="2">
        <v>87.050744949999995</v>
      </c>
      <c r="J127" s="2">
        <v>9.6318110219999996E-3</v>
      </c>
      <c r="K127" s="2">
        <v>7.2681954900000001</v>
      </c>
      <c r="L127" s="2">
        <v>5.6714277470000001</v>
      </c>
      <c r="M127" s="2">
        <v>100</v>
      </c>
      <c r="N127" s="2">
        <v>0</v>
      </c>
      <c r="O127" s="2">
        <v>0</v>
      </c>
      <c r="P127" s="2">
        <v>0</v>
      </c>
      <c r="Q127" s="2" t="str">
        <f t="shared" si="0"/>
        <v>Ecuador|2020</v>
      </c>
      <c r="R127" s="2" t="str">
        <f t="shared" si="1"/>
        <v xml:space="preserve"> </v>
      </c>
      <c r="T127" s="2" t="b">
        <f t="shared" si="24"/>
        <v>0</v>
      </c>
      <c r="U127" s="2" t="b">
        <f t="shared" si="28"/>
        <v>0</v>
      </c>
      <c r="V127" s="2" t="b">
        <f t="shared" si="2"/>
        <v>0</v>
      </c>
      <c r="W127" s="2">
        <f t="shared" si="3"/>
        <v>95</v>
      </c>
      <c r="X127" s="2">
        <f t="shared" si="4"/>
        <v>87</v>
      </c>
      <c r="Y127" s="2">
        <f t="shared" si="5"/>
        <v>100</v>
      </c>
      <c r="Z127" s="2" t="str">
        <f t="shared" si="6"/>
        <v/>
      </c>
      <c r="AA127" s="2" t="str">
        <f t="shared" si="7"/>
        <v/>
      </c>
      <c r="AB127" s="2" t="str">
        <f t="shared" si="8"/>
        <v/>
      </c>
      <c r="AC127" s="2">
        <f t="shared" si="9"/>
        <v>0</v>
      </c>
      <c r="AE127" s="10" t="s">
        <v>187</v>
      </c>
      <c r="AF127" s="11" t="s">
        <v>63</v>
      </c>
      <c r="AH127" s="6" t="str">
        <f t="shared" si="10"/>
        <v>Sub-Saharan Africa</v>
      </c>
      <c r="AI127" s="6"/>
      <c r="AJ127" s="6"/>
      <c r="AK127" s="10">
        <f t="shared" si="26"/>
        <v>1.6295557619999983</v>
      </c>
      <c r="AL127" s="6"/>
      <c r="AM127" s="6"/>
      <c r="AN127" s="6"/>
      <c r="AO127" s="10">
        <f t="shared" si="12"/>
        <v>1.7370362359999987</v>
      </c>
      <c r="AP127" s="6"/>
      <c r="AQ127" s="6"/>
      <c r="AR127" s="6"/>
      <c r="AS127" s="10">
        <f t="shared" si="15"/>
        <v>1.0012098440000017</v>
      </c>
      <c r="AT127" s="6"/>
      <c r="AU127" s="6"/>
      <c r="AX127" s="2" t="str">
        <f t="shared" si="18"/>
        <v>null</v>
      </c>
      <c r="AY127" s="2" t="str">
        <f t="shared" si="19"/>
        <v>null</v>
      </c>
      <c r="AZ127" s="2" t="str">
        <f t="shared" si="20"/>
        <v>null</v>
      </c>
      <c r="BA127" s="6"/>
    </row>
    <row r="128" spans="1:53" x14ac:dyDescent="0.25">
      <c r="A128" s="2" t="s">
        <v>125</v>
      </c>
      <c r="B128" s="2">
        <v>2015</v>
      </c>
      <c r="C128" s="2">
        <v>92442.546879999994</v>
      </c>
      <c r="D128" s="2">
        <v>42.784999849999998</v>
      </c>
      <c r="E128" s="2">
        <v>99.106717540000005</v>
      </c>
      <c r="F128" s="2">
        <v>0.28637254010000002</v>
      </c>
      <c r="G128" s="2">
        <v>0.59343982930000005</v>
      </c>
      <c r="H128" s="2">
        <v>1.347009398E-2</v>
      </c>
      <c r="I128" s="2">
        <v>98.801877919999995</v>
      </c>
      <c r="J128" s="2">
        <v>0.41034629639999998</v>
      </c>
      <c r="K128" s="2">
        <v>0.76423283809999998</v>
      </c>
      <c r="L128" s="2">
        <v>2.3542941179999999E-2</v>
      </c>
      <c r="M128" s="2">
        <v>99.514369729999999</v>
      </c>
      <c r="N128" s="2">
        <v>0.12058643080000001</v>
      </c>
      <c r="O128" s="2">
        <v>0.36504384220000002</v>
      </c>
      <c r="P128" s="2">
        <v>0</v>
      </c>
      <c r="Q128" s="2" t="str">
        <f t="shared" si="0"/>
        <v>Egypt|2015</v>
      </c>
      <c r="R128" s="2">
        <f t="shared" si="1"/>
        <v>5</v>
      </c>
      <c r="T128" s="2">
        <f t="shared" si="24"/>
        <v>6.669168399999989E-2</v>
      </c>
      <c r="U128" s="2">
        <f t="shared" si="28"/>
        <v>0.1061914459999997</v>
      </c>
      <c r="V128" s="2">
        <f t="shared" si="2"/>
        <v>1.3872273999999152E-2</v>
      </c>
      <c r="W128" s="2">
        <f t="shared" si="3"/>
        <v>99</v>
      </c>
      <c r="X128" s="2">
        <f t="shared" si="4"/>
        <v>99</v>
      </c>
      <c r="Y128" s="2">
        <f t="shared" si="5"/>
        <v>100</v>
      </c>
      <c r="Z128" s="2" t="str">
        <f t="shared" si="6"/>
        <v/>
      </c>
      <c r="AA128" s="2" t="str">
        <f t="shared" si="7"/>
        <v/>
      </c>
      <c r="AB128" s="2" t="str">
        <f t="shared" si="8"/>
        <v>Fully Accessible</v>
      </c>
      <c r="AC128" s="2">
        <f t="shared" si="9"/>
        <v>9.2319172000000546E-2</v>
      </c>
      <c r="AE128" s="10" t="s">
        <v>188</v>
      </c>
      <c r="AF128" s="11" t="s">
        <v>53</v>
      </c>
      <c r="AH128" s="6" t="str">
        <f t="shared" si="10"/>
        <v>Europe &amp; Central Asia</v>
      </c>
      <c r="AI128" s="6"/>
      <c r="AJ128" s="6"/>
      <c r="AK128" s="10">
        <f t="shared" si="26"/>
        <v>8.0000000934887789E-8</v>
      </c>
      <c r="AL128" s="6"/>
      <c r="AM128" s="6"/>
      <c r="AN128" s="6"/>
      <c r="AO128" s="10">
        <f t="shared" si="12"/>
        <v>0</v>
      </c>
      <c r="AP128" s="6"/>
      <c r="AQ128" s="6"/>
      <c r="AR128" s="6"/>
      <c r="AS128" s="10">
        <f t="shared" si="15"/>
        <v>0</v>
      </c>
      <c r="AT128" s="6"/>
      <c r="AU128" s="6"/>
      <c r="AX128" s="2">
        <f t="shared" si="18"/>
        <v>194776.95318000001</v>
      </c>
      <c r="AY128" s="2">
        <f t="shared" si="19"/>
        <v>85.568000799999993</v>
      </c>
      <c r="AZ128" s="2">
        <f t="shared" si="20"/>
        <v>194691.38517920001</v>
      </c>
      <c r="BA128" s="6"/>
    </row>
    <row r="129" spans="1:53" x14ac:dyDescent="0.25">
      <c r="A129" s="2" t="s">
        <v>125</v>
      </c>
      <c r="B129" s="2">
        <v>2020</v>
      </c>
      <c r="C129" s="2">
        <v>102334.4063</v>
      </c>
      <c r="D129" s="2">
        <v>42.783000950000002</v>
      </c>
      <c r="E129" s="2">
        <v>99.440175960000005</v>
      </c>
      <c r="F129" s="2">
        <v>0.23760910860000001</v>
      </c>
      <c r="G129" s="2">
        <v>0.3222149265</v>
      </c>
      <c r="H129" s="2">
        <v>0</v>
      </c>
      <c r="I129" s="2">
        <v>99.332835149999994</v>
      </c>
      <c r="J129" s="2">
        <v>0.33594182239999998</v>
      </c>
      <c r="K129" s="2">
        <v>0.33122303190000002</v>
      </c>
      <c r="L129" s="2">
        <v>0</v>
      </c>
      <c r="M129" s="2">
        <v>99.583731099999994</v>
      </c>
      <c r="N129" s="2">
        <v>0.10610120670000001</v>
      </c>
      <c r="O129" s="2">
        <v>0.31016769430000002</v>
      </c>
      <c r="P129" s="2">
        <v>0</v>
      </c>
      <c r="Q129" s="2" t="str">
        <f t="shared" si="0"/>
        <v>Egypt|2020</v>
      </c>
      <c r="R129" s="2" t="str">
        <f t="shared" si="1"/>
        <v xml:space="preserve"> </v>
      </c>
      <c r="T129" s="2" t="b">
        <f t="shared" si="24"/>
        <v>0</v>
      </c>
      <c r="U129" s="2" t="b">
        <f t="shared" si="28"/>
        <v>0</v>
      </c>
      <c r="V129" s="2" t="b">
        <f t="shared" si="2"/>
        <v>0</v>
      </c>
      <c r="W129" s="2">
        <f t="shared" si="3"/>
        <v>99</v>
      </c>
      <c r="X129" s="2">
        <f t="shared" si="4"/>
        <v>99</v>
      </c>
      <c r="Y129" s="2">
        <f t="shared" si="5"/>
        <v>100</v>
      </c>
      <c r="Z129" s="2" t="str">
        <f t="shared" si="6"/>
        <v/>
      </c>
      <c r="AA129" s="2" t="str">
        <f t="shared" si="7"/>
        <v/>
      </c>
      <c r="AB129" s="2" t="str">
        <f t="shared" si="8"/>
        <v/>
      </c>
      <c r="AC129" s="2">
        <f t="shared" si="9"/>
        <v>0</v>
      </c>
      <c r="AE129" s="10" t="s">
        <v>189</v>
      </c>
      <c r="AF129" s="11" t="s">
        <v>51</v>
      </c>
      <c r="AH129" s="6" t="str">
        <f t="shared" si="10"/>
        <v>East Asia &amp; Pacific</v>
      </c>
      <c r="AI129" s="6"/>
      <c r="AJ129" s="6"/>
      <c r="AK129" s="10">
        <f t="shared" si="26"/>
        <v>4.5904672000000347E-2</v>
      </c>
      <c r="AL129" s="6"/>
      <c r="AM129" s="6"/>
      <c r="AN129" s="6"/>
      <c r="AO129" s="10">
        <f t="shared" si="12"/>
        <v>3.0271999999999365E-2</v>
      </c>
      <c r="AP129" s="6"/>
      <c r="AQ129" s="6"/>
      <c r="AR129" s="6"/>
      <c r="AS129" s="10">
        <f t="shared" si="15"/>
        <v>9.0284526000002072E-2</v>
      </c>
      <c r="AT129" s="6"/>
      <c r="AU129" s="6"/>
      <c r="AX129" s="2" t="str">
        <f t="shared" si="18"/>
        <v>null</v>
      </c>
      <c r="AY129" s="2" t="str">
        <f t="shared" si="19"/>
        <v>null</v>
      </c>
      <c r="AZ129" s="2" t="str">
        <f t="shared" si="20"/>
        <v>null</v>
      </c>
      <c r="BA129" s="6"/>
    </row>
    <row r="130" spans="1:53" x14ac:dyDescent="0.25">
      <c r="A130" s="2" t="s">
        <v>126</v>
      </c>
      <c r="B130" s="2">
        <v>2015</v>
      </c>
      <c r="C130" s="2">
        <v>6325.1210940000001</v>
      </c>
      <c r="D130" s="2">
        <v>69.699996949999999</v>
      </c>
      <c r="E130" s="2">
        <v>95.562137739999997</v>
      </c>
      <c r="F130" s="2">
        <v>0.58047977699999997</v>
      </c>
      <c r="G130" s="2">
        <v>1.1619505450000001</v>
      </c>
      <c r="H130" s="2">
        <v>2.6954319419999999</v>
      </c>
      <c r="I130" s="2">
        <v>87.961214319999996</v>
      </c>
      <c r="J130" s="2">
        <v>1.734743718</v>
      </c>
      <c r="K130" s="2">
        <v>2.4810339560000001</v>
      </c>
      <c r="L130" s="2">
        <v>7.8230080050000002</v>
      </c>
      <c r="M130" s="2">
        <v>98.866417850000005</v>
      </c>
      <c r="N130" s="2">
        <v>7.8697977569999994E-2</v>
      </c>
      <c r="O130" s="2">
        <v>0.58851288960000003</v>
      </c>
      <c r="P130" s="2">
        <v>0.4663712861</v>
      </c>
      <c r="Q130" s="2" t="str">
        <f t="shared" si="0"/>
        <v>El Salvador|2015</v>
      </c>
      <c r="R130" s="2">
        <f t="shared" si="1"/>
        <v>5</v>
      </c>
      <c r="T130" s="2">
        <f t="shared" si="24"/>
        <v>0.47688753399999939</v>
      </c>
      <c r="U130" s="2">
        <f t="shared" si="28"/>
        <v>1.0986361520000003</v>
      </c>
      <c r="V130" s="2">
        <f t="shared" si="2"/>
        <v>0.14089043199999765</v>
      </c>
      <c r="W130" s="2">
        <f t="shared" si="3"/>
        <v>96</v>
      </c>
      <c r="X130" s="2">
        <f t="shared" si="4"/>
        <v>88</v>
      </c>
      <c r="Y130" s="2">
        <f t="shared" si="5"/>
        <v>99</v>
      </c>
      <c r="Z130" s="2" t="str">
        <f t="shared" si="6"/>
        <v/>
      </c>
      <c r="AA130" s="2" t="str">
        <f t="shared" si="7"/>
        <v/>
      </c>
      <c r="AB130" s="2" t="str">
        <f t="shared" si="8"/>
        <v>Fully Accessible</v>
      </c>
      <c r="AC130" s="2">
        <f t="shared" si="9"/>
        <v>0.95774572000000269</v>
      </c>
      <c r="AE130" s="10" t="s">
        <v>190</v>
      </c>
      <c r="AF130" s="11" t="s">
        <v>57</v>
      </c>
      <c r="AH130" s="6" t="str">
        <f t="shared" si="10"/>
        <v>Latin America &amp; Caribbean</v>
      </c>
      <c r="AI130" s="6"/>
      <c r="AJ130" s="6"/>
      <c r="AK130" s="10">
        <f t="shared" si="26"/>
        <v>9.1881559999990262E-3</v>
      </c>
      <c r="AL130" s="6"/>
      <c r="AM130" s="6"/>
      <c r="AN130" s="6"/>
      <c r="AO130" s="10">
        <f t="shared" si="12"/>
        <v>0</v>
      </c>
      <c r="AP130" s="6"/>
      <c r="AQ130" s="6"/>
      <c r="AR130" s="6"/>
      <c r="AS130" s="10">
        <f t="shared" si="15"/>
        <v>0</v>
      </c>
      <c r="AT130" s="6"/>
      <c r="AU130" s="6"/>
      <c r="AX130" s="2">
        <f t="shared" si="18"/>
        <v>12811.322265999999</v>
      </c>
      <c r="AY130" s="2">
        <f t="shared" si="19"/>
        <v>143.14399718999999</v>
      </c>
      <c r="AZ130" s="2">
        <f t="shared" si="20"/>
        <v>12668.178268809999</v>
      </c>
      <c r="BA130" s="16"/>
    </row>
    <row r="131" spans="1:53" x14ac:dyDescent="0.25">
      <c r="A131" s="2" t="s">
        <v>126</v>
      </c>
      <c r="B131" s="2">
        <v>2020</v>
      </c>
      <c r="C131" s="2">
        <v>6486.201172</v>
      </c>
      <c r="D131" s="2">
        <v>73.444000239999994</v>
      </c>
      <c r="E131" s="2">
        <v>97.946575409999994</v>
      </c>
      <c r="F131" s="2">
        <v>0.20726323190000001</v>
      </c>
      <c r="G131" s="2">
        <v>0.31517399689999998</v>
      </c>
      <c r="H131" s="2">
        <v>1.530987366</v>
      </c>
      <c r="I131" s="2">
        <v>93.454395079999998</v>
      </c>
      <c r="J131" s="2">
        <v>0.78047620490000003</v>
      </c>
      <c r="K131" s="2">
        <v>0</v>
      </c>
      <c r="L131" s="2">
        <v>5.7651287120000001</v>
      </c>
      <c r="M131" s="2">
        <v>99.570870009999993</v>
      </c>
      <c r="N131" s="2">
        <v>0</v>
      </c>
      <c r="O131" s="2">
        <v>0.42912999439999999</v>
      </c>
      <c r="P131" s="2">
        <v>0</v>
      </c>
      <c r="Q131" s="2" t="str">
        <f t="shared" si="0"/>
        <v>El Salvador|2020</v>
      </c>
      <c r="R131" s="2" t="str">
        <f t="shared" si="1"/>
        <v xml:space="preserve"> </v>
      </c>
      <c r="T131" s="2" t="b">
        <f t="shared" si="24"/>
        <v>0</v>
      </c>
      <c r="U131" s="2" t="b">
        <f t="shared" si="28"/>
        <v>0</v>
      </c>
      <c r="V131" s="2" t="b">
        <f t="shared" si="2"/>
        <v>0</v>
      </c>
      <c r="W131" s="2">
        <f t="shared" si="3"/>
        <v>98</v>
      </c>
      <c r="X131" s="2">
        <f t="shared" si="4"/>
        <v>93</v>
      </c>
      <c r="Y131" s="2">
        <f t="shared" si="5"/>
        <v>100</v>
      </c>
      <c r="Z131" s="2" t="str">
        <f t="shared" si="6"/>
        <v/>
      </c>
      <c r="AA131" s="2" t="str">
        <f t="shared" si="7"/>
        <v/>
      </c>
      <c r="AB131" s="2" t="str">
        <f t="shared" si="8"/>
        <v/>
      </c>
      <c r="AC131" s="2">
        <f t="shared" si="9"/>
        <v>0</v>
      </c>
      <c r="AE131" s="10" t="s">
        <v>191</v>
      </c>
      <c r="AF131" s="11" t="s">
        <v>63</v>
      </c>
      <c r="AH131" s="6" t="str">
        <f t="shared" si="10"/>
        <v>Sub-Saharan Africa</v>
      </c>
      <c r="AI131" s="6"/>
      <c r="AJ131" s="6"/>
      <c r="AK131" s="10">
        <f t="shared" si="26"/>
        <v>0.94154796599999879</v>
      </c>
      <c r="AL131" s="6"/>
      <c r="AM131" s="6"/>
      <c r="AN131" s="6"/>
      <c r="AO131" s="10">
        <f t="shared" si="12"/>
        <v>0.64369934399999951</v>
      </c>
      <c r="AP131" s="6"/>
      <c r="AQ131" s="6"/>
      <c r="AR131" s="6"/>
      <c r="AS131" s="10">
        <f t="shared" si="15"/>
        <v>0.57390121199999844</v>
      </c>
      <c r="AT131" s="6"/>
      <c r="AU131" s="6"/>
      <c r="AX131" s="2" t="str">
        <f t="shared" si="18"/>
        <v>null</v>
      </c>
      <c r="AY131" s="2" t="str">
        <f t="shared" si="19"/>
        <v>null</v>
      </c>
      <c r="AZ131" s="2" t="str">
        <f t="shared" si="20"/>
        <v>null</v>
      </c>
      <c r="BA131" s="6"/>
    </row>
    <row r="132" spans="1:53" x14ac:dyDescent="0.25">
      <c r="A132" s="2" t="s">
        <v>127</v>
      </c>
      <c r="B132" s="2">
        <v>2015</v>
      </c>
      <c r="C132" s="2">
        <v>1168.5749510000001</v>
      </c>
      <c r="D132" s="2">
        <v>70.616004939999996</v>
      </c>
      <c r="E132" s="2">
        <v>64.178601650000004</v>
      </c>
      <c r="F132" s="2">
        <v>2.9349338359999999</v>
      </c>
      <c r="G132" s="2">
        <v>26.328798880000001</v>
      </c>
      <c r="H132" s="2">
        <v>6.5576656309999999</v>
      </c>
      <c r="I132" s="2">
        <v>30.775369319999999</v>
      </c>
      <c r="J132" s="2">
        <v>1.353579774</v>
      </c>
      <c r="K132" s="2">
        <v>46.286056360000003</v>
      </c>
      <c r="L132" s="2">
        <v>21.584994550000001</v>
      </c>
      <c r="M132" s="2">
        <v>78.07800598</v>
      </c>
      <c r="N132" s="2">
        <v>3.5929503829999998</v>
      </c>
      <c r="O132" s="2">
        <v>18.02439455</v>
      </c>
      <c r="P132" s="2">
        <v>0.30464909089999997</v>
      </c>
      <c r="Q132" s="2" t="str">
        <f t="shared" si="0"/>
        <v>Equatorial Guinea|2015</v>
      </c>
      <c r="R132" s="2">
        <f t="shared" si="1"/>
        <v>2</v>
      </c>
      <c r="T132" s="2">
        <f t="shared" si="24"/>
        <v>0.24360720499999644</v>
      </c>
      <c r="U132" s="2">
        <f t="shared" si="28"/>
        <v>0</v>
      </c>
      <c r="V132" s="2">
        <f t="shared" si="2"/>
        <v>0</v>
      </c>
      <c r="W132" s="2">
        <f t="shared" si="3"/>
        <v>64</v>
      </c>
      <c r="X132" s="2">
        <f t="shared" si="4"/>
        <v>31</v>
      </c>
      <c r="Y132" s="2">
        <f t="shared" si="5"/>
        <v>78</v>
      </c>
      <c r="Z132" s="2" t="str">
        <f t="shared" si="6"/>
        <v/>
      </c>
      <c r="AA132" s="2" t="str">
        <f t="shared" si="7"/>
        <v/>
      </c>
      <c r="AB132" s="2" t="str">
        <f t="shared" si="8"/>
        <v>Fully Accessible</v>
      </c>
      <c r="AC132" s="2">
        <f t="shared" si="9"/>
        <v>0</v>
      </c>
      <c r="AE132" s="10" t="s">
        <v>192</v>
      </c>
      <c r="AF132" s="11" t="s">
        <v>63</v>
      </c>
      <c r="AH132" s="6" t="str">
        <f t="shared" si="10"/>
        <v>Sub-Saharan Africa</v>
      </c>
      <c r="AI132" s="6"/>
      <c r="AJ132" s="6"/>
      <c r="AK132" s="10">
        <f t="shared" si="26"/>
        <v>-4.5424000001048624E-5</v>
      </c>
      <c r="AL132" s="6"/>
      <c r="AM132" s="6"/>
      <c r="AN132" s="6"/>
      <c r="AO132" s="10">
        <f t="shared" si="12"/>
        <v>0</v>
      </c>
      <c r="AP132" s="6"/>
      <c r="AQ132" s="6"/>
      <c r="AR132" s="6"/>
      <c r="AS132" s="10">
        <f t="shared" si="15"/>
        <v>0</v>
      </c>
      <c r="AT132" s="6"/>
      <c r="AU132" s="6"/>
      <c r="AX132" s="2">
        <f t="shared" si="18"/>
        <v>2430.5830080000001</v>
      </c>
      <c r="AY132" s="2">
        <f t="shared" si="19"/>
        <v>142.26200102999999</v>
      </c>
      <c r="AZ132" s="2">
        <f t="shared" si="20"/>
        <v>2288.3210069699999</v>
      </c>
      <c r="BA132" s="16"/>
    </row>
    <row r="133" spans="1:53" x14ac:dyDescent="0.25">
      <c r="A133" s="2" t="s">
        <v>127</v>
      </c>
      <c r="B133" s="2">
        <v>2017</v>
      </c>
      <c r="C133" s="2">
        <v>1262.008057</v>
      </c>
      <c r="D133" s="2">
        <v>71.645996089999997</v>
      </c>
      <c r="E133" s="2">
        <v>64.665816059999997</v>
      </c>
      <c r="F133" s="2">
        <v>2.957999225</v>
      </c>
      <c r="G133" s="2">
        <v>26.037706329999999</v>
      </c>
      <c r="H133" s="2">
        <v>6.3384783860000002</v>
      </c>
      <c r="I133" s="2">
        <v>30.775369319999999</v>
      </c>
      <c r="J133" s="2">
        <v>1.353579774</v>
      </c>
      <c r="K133" s="2">
        <v>46.286056360000003</v>
      </c>
      <c r="L133" s="2">
        <v>21.584994550000001</v>
      </c>
      <c r="M133" s="2">
        <v>78.07800598</v>
      </c>
      <c r="N133" s="2">
        <v>3.5929503829999998</v>
      </c>
      <c r="O133" s="2">
        <v>18.02439455</v>
      </c>
      <c r="P133" s="2">
        <v>0.30464909089999997</v>
      </c>
      <c r="Q133" s="2" t="str">
        <f t="shared" si="0"/>
        <v>Equatorial Guinea|2017</v>
      </c>
      <c r="R133" s="2" t="str">
        <f t="shared" si="1"/>
        <v xml:space="preserve"> </v>
      </c>
      <c r="T133" s="2" t="b">
        <f t="shared" si="24"/>
        <v>0</v>
      </c>
      <c r="U133" s="2" t="b">
        <f t="shared" si="28"/>
        <v>0</v>
      </c>
      <c r="V133" s="2" t="b">
        <f t="shared" si="2"/>
        <v>0</v>
      </c>
      <c r="W133" s="2">
        <f t="shared" si="3"/>
        <v>65</v>
      </c>
      <c r="X133" s="2">
        <f t="shared" si="4"/>
        <v>31</v>
      </c>
      <c r="Y133" s="2">
        <f t="shared" si="5"/>
        <v>78</v>
      </c>
      <c r="Z133" s="2" t="str">
        <f t="shared" si="6"/>
        <v/>
      </c>
      <c r="AA133" s="2" t="str">
        <f t="shared" si="7"/>
        <v/>
      </c>
      <c r="AB133" s="2" t="str">
        <f t="shared" si="8"/>
        <v/>
      </c>
      <c r="AC133" s="2">
        <f t="shared" si="9"/>
        <v>0</v>
      </c>
      <c r="AE133" s="10" t="s">
        <v>193</v>
      </c>
      <c r="AF133" s="11" t="s">
        <v>63</v>
      </c>
      <c r="AH133" s="6" t="str">
        <f t="shared" si="10"/>
        <v>Sub-Saharan Africa</v>
      </c>
      <c r="AI133" s="6"/>
      <c r="AJ133" s="6"/>
      <c r="AK133" s="10">
        <f t="shared" si="26"/>
        <v>-9.3326313999997981E-2</v>
      </c>
      <c r="AL133" s="6"/>
      <c r="AM133" s="6"/>
      <c r="AN133" s="6"/>
      <c r="AO133" s="10">
        <f t="shared" si="12"/>
        <v>0</v>
      </c>
      <c r="AP133" s="6"/>
      <c r="AQ133" s="6"/>
      <c r="AR133" s="6"/>
      <c r="AS133" s="10">
        <f t="shared" si="15"/>
        <v>0</v>
      </c>
      <c r="AT133" s="6"/>
      <c r="AU133" s="6"/>
      <c r="AX133" s="2" t="str">
        <f t="shared" si="18"/>
        <v>null</v>
      </c>
      <c r="AY133" s="2" t="str">
        <f t="shared" si="19"/>
        <v>null</v>
      </c>
      <c r="AZ133" s="2" t="str">
        <f t="shared" si="20"/>
        <v>null</v>
      </c>
      <c r="BA133" s="16"/>
    </row>
    <row r="134" spans="1:53" x14ac:dyDescent="0.25">
      <c r="A134" s="2" t="s">
        <v>128</v>
      </c>
      <c r="B134" s="2">
        <v>2015</v>
      </c>
      <c r="C134" s="2">
        <v>3342.818115</v>
      </c>
      <c r="D134" s="2">
        <v>38.206001280000002</v>
      </c>
      <c r="E134" s="2">
        <v>51.465093529999997</v>
      </c>
      <c r="F134" s="2">
        <v>17.707633340000001</v>
      </c>
      <c r="G134" s="2">
        <v>13.55609825</v>
      </c>
      <c r="H134" s="2">
        <v>17.27117488</v>
      </c>
      <c r="I134" s="2">
        <v>27.801576470000001</v>
      </c>
      <c r="J134" s="2">
        <v>24.49842353</v>
      </c>
      <c r="K134" s="2">
        <v>20.074999999999999</v>
      </c>
      <c r="L134" s="2">
        <v>27.625</v>
      </c>
      <c r="M134" s="2">
        <v>89.738224529999997</v>
      </c>
      <c r="N134" s="2">
        <v>6.7242754739999997</v>
      </c>
      <c r="O134" s="2">
        <v>3.0125000000000002</v>
      </c>
      <c r="P134" s="2">
        <v>0.52500000000000002</v>
      </c>
      <c r="Q134" s="2" t="str">
        <f t="shared" si="0"/>
        <v>Eritrea|2015</v>
      </c>
      <c r="R134" s="2">
        <f t="shared" si="1"/>
        <v>1</v>
      </c>
      <c r="T134" s="2">
        <f t="shared" si="24"/>
        <v>0.38462665000000129</v>
      </c>
      <c r="U134" s="2">
        <f t="shared" si="28"/>
        <v>0</v>
      </c>
      <c r="V134" s="2">
        <f t="shared" si="2"/>
        <v>0</v>
      </c>
      <c r="W134" s="2">
        <f t="shared" si="3"/>
        <v>51</v>
      </c>
      <c r="X134" s="2">
        <f t="shared" si="4"/>
        <v>28</v>
      </c>
      <c r="Y134" s="2">
        <f t="shared" si="5"/>
        <v>90</v>
      </c>
      <c r="Z134" s="2" t="str">
        <f t="shared" si="6"/>
        <v/>
      </c>
      <c r="AA134" s="2" t="str">
        <f t="shared" si="7"/>
        <v/>
      </c>
      <c r="AB134" s="2" t="str">
        <f t="shared" si="8"/>
        <v>Fully Accessible</v>
      </c>
      <c r="AC134" s="2">
        <f t="shared" si="9"/>
        <v>0</v>
      </c>
      <c r="AE134" s="10" t="s">
        <v>194</v>
      </c>
      <c r="AF134" s="11" t="s">
        <v>57</v>
      </c>
      <c r="AH134" s="6" t="str">
        <f t="shared" si="10"/>
        <v>Latin America &amp; Caribbean</v>
      </c>
      <c r="AI134" s="6"/>
      <c r="AJ134" s="6"/>
      <c r="AK134" s="10">
        <f t="shared" si="26"/>
        <v>0.33082494800000006</v>
      </c>
      <c r="AL134" s="6"/>
      <c r="AM134" s="6"/>
      <c r="AN134" s="6"/>
      <c r="AO134" s="10">
        <f t="shared" si="12"/>
        <v>1.0100749799999988</v>
      </c>
      <c r="AP134" s="6"/>
      <c r="AQ134" s="6"/>
      <c r="AR134" s="6"/>
      <c r="AS134" s="10">
        <f t="shared" si="15"/>
        <v>0.14728942000000131</v>
      </c>
      <c r="AT134" s="6"/>
      <c r="AU134" s="6"/>
      <c r="AX134" s="2">
        <f t="shared" si="18"/>
        <v>6719.3762200000001</v>
      </c>
      <c r="AY134" s="2">
        <f t="shared" si="19"/>
        <v>77.033000939999994</v>
      </c>
      <c r="AZ134" s="2">
        <f t="shared" si="20"/>
        <v>6642.3432190599997</v>
      </c>
      <c r="BA134" s="6"/>
    </row>
    <row r="135" spans="1:53" x14ac:dyDescent="0.25">
      <c r="A135" s="2" t="s">
        <v>128</v>
      </c>
      <c r="B135" s="2">
        <v>2016</v>
      </c>
      <c r="C135" s="2">
        <v>3376.5581050000001</v>
      </c>
      <c r="D135" s="2">
        <v>38.826999659999998</v>
      </c>
      <c r="E135" s="2">
        <v>51.849720179999998</v>
      </c>
      <c r="F135" s="2">
        <v>17.59725585</v>
      </c>
      <c r="G135" s="2">
        <v>13.45014014</v>
      </c>
      <c r="H135" s="2">
        <v>17.102883840000001</v>
      </c>
      <c r="I135" s="2">
        <v>27.801576470000001</v>
      </c>
      <c r="J135" s="2">
        <v>24.49842353</v>
      </c>
      <c r="K135" s="2">
        <v>20.074999999999999</v>
      </c>
      <c r="L135" s="2">
        <v>27.625</v>
      </c>
      <c r="M135" s="2">
        <v>89.738224529999997</v>
      </c>
      <c r="N135" s="2">
        <v>6.7242754739999997</v>
      </c>
      <c r="O135" s="2">
        <v>3.0125000000000002</v>
      </c>
      <c r="P135" s="2">
        <v>0.52500000000000002</v>
      </c>
      <c r="Q135" s="2" t="str">
        <f t="shared" si="0"/>
        <v>Eritrea|2016</v>
      </c>
      <c r="R135" s="2" t="str">
        <f t="shared" si="1"/>
        <v xml:space="preserve"> </v>
      </c>
      <c r="T135" s="2" t="b">
        <f t="shared" si="24"/>
        <v>0</v>
      </c>
      <c r="U135" s="2" t="b">
        <f t="shared" si="28"/>
        <v>0</v>
      </c>
      <c r="V135" s="2" t="b">
        <f t="shared" si="2"/>
        <v>0</v>
      </c>
      <c r="W135" s="2">
        <f t="shared" si="3"/>
        <v>52</v>
      </c>
      <c r="X135" s="2">
        <f t="shared" si="4"/>
        <v>28</v>
      </c>
      <c r="Y135" s="2">
        <f t="shared" si="5"/>
        <v>90</v>
      </c>
      <c r="Z135" s="2" t="str">
        <f t="shared" si="6"/>
        <v/>
      </c>
      <c r="AA135" s="2" t="str">
        <f t="shared" si="7"/>
        <v/>
      </c>
      <c r="AB135" s="2" t="str">
        <f t="shared" si="8"/>
        <v/>
      </c>
      <c r="AC135" s="2">
        <f t="shared" si="9"/>
        <v>0</v>
      </c>
      <c r="AE135" s="10" t="s">
        <v>195</v>
      </c>
      <c r="AF135" s="11" t="s">
        <v>51</v>
      </c>
      <c r="AH135" s="6" t="str">
        <f t="shared" si="10"/>
        <v>East Asia &amp; Pacific</v>
      </c>
      <c r="AI135" s="6"/>
      <c r="AJ135" s="6"/>
      <c r="AK135" s="10">
        <f t="shared" si="26"/>
        <v>0</v>
      </c>
      <c r="AL135" s="6"/>
      <c r="AM135" s="6"/>
      <c r="AN135" s="6"/>
      <c r="AO135" s="10">
        <f t="shared" si="12"/>
        <v>0</v>
      </c>
      <c r="AP135" s="6"/>
      <c r="AQ135" s="6"/>
      <c r="AR135" s="6"/>
      <c r="AS135" s="10">
        <f t="shared" si="15"/>
        <v>0</v>
      </c>
      <c r="AT135" s="6"/>
      <c r="AU135" s="6"/>
      <c r="AX135" s="2" t="str">
        <f t="shared" si="18"/>
        <v>null</v>
      </c>
      <c r="AY135" s="2" t="str">
        <f t="shared" si="19"/>
        <v>null</v>
      </c>
      <c r="AZ135" s="2" t="str">
        <f t="shared" si="20"/>
        <v>null</v>
      </c>
      <c r="BA135" s="6"/>
    </row>
    <row r="136" spans="1:53" x14ac:dyDescent="0.25">
      <c r="A136" s="2" t="s">
        <v>129</v>
      </c>
      <c r="B136" s="2">
        <v>2015</v>
      </c>
      <c r="C136" s="2">
        <v>1315.329956</v>
      </c>
      <c r="D136" s="2">
        <v>68.416000370000006</v>
      </c>
      <c r="E136" s="2">
        <v>99.751307569999994</v>
      </c>
      <c r="F136" s="2">
        <v>0</v>
      </c>
      <c r="G136" s="2">
        <v>0.24869242890000001</v>
      </c>
      <c r="H136" s="2">
        <v>0</v>
      </c>
      <c r="I136" s="2">
        <v>99.244115809999997</v>
      </c>
      <c r="J136" s="2">
        <v>0</v>
      </c>
      <c r="K136" s="2">
        <v>0.75588419029999998</v>
      </c>
      <c r="L136" s="2">
        <v>0</v>
      </c>
      <c r="M136" s="2">
        <v>99.98545421</v>
      </c>
      <c r="N136" s="2">
        <v>0</v>
      </c>
      <c r="O136" s="2">
        <v>1.454579307E-2</v>
      </c>
      <c r="P136" s="2">
        <v>0</v>
      </c>
      <c r="Q136" s="2" t="str">
        <f t="shared" si="0"/>
        <v>Estonia|2015</v>
      </c>
      <c r="R136" s="2">
        <f t="shared" si="1"/>
        <v>5</v>
      </c>
      <c r="T136" s="2">
        <f t="shared" si="24"/>
        <v>-3.2105157999998822E-2</v>
      </c>
      <c r="U136" s="2" t="str">
        <f t="shared" si="28"/>
        <v>null</v>
      </c>
      <c r="V136" s="2">
        <f t="shared" si="2"/>
        <v>0</v>
      </c>
      <c r="W136" s="2">
        <f t="shared" si="3"/>
        <v>100</v>
      </c>
      <c r="X136" s="2">
        <f t="shared" si="4"/>
        <v>99</v>
      </c>
      <c r="Y136" s="2">
        <f t="shared" si="5"/>
        <v>100</v>
      </c>
      <c r="Z136" s="2" t="str">
        <f t="shared" si="6"/>
        <v/>
      </c>
      <c r="AA136" s="2" t="str">
        <f t="shared" si="7"/>
        <v/>
      </c>
      <c r="AB136" s="2" t="str">
        <f t="shared" si="8"/>
        <v>Fully Accessible</v>
      </c>
      <c r="AC136" s="2" t="b">
        <f t="shared" si="9"/>
        <v>0</v>
      </c>
      <c r="AE136" s="10" t="s">
        <v>196</v>
      </c>
      <c r="AF136" s="11" t="s">
        <v>53</v>
      </c>
      <c r="AH136" s="6" t="str">
        <f t="shared" si="10"/>
        <v>Europe &amp; Central Asia</v>
      </c>
      <c r="AI136" s="6"/>
      <c r="AJ136" s="6"/>
      <c r="AK136" s="10">
        <f t="shared" si="26"/>
        <v>0</v>
      </c>
      <c r="AL136" s="6"/>
      <c r="AM136" s="6"/>
      <c r="AN136" s="6"/>
      <c r="AO136" s="10">
        <f t="shared" si="12"/>
        <v>0</v>
      </c>
      <c r="AP136" s="6"/>
      <c r="AQ136" s="6"/>
      <c r="AR136" s="6"/>
      <c r="AS136" s="10">
        <f t="shared" si="15"/>
        <v>0</v>
      </c>
      <c r="AT136" s="6"/>
      <c r="AU136" s="6"/>
      <c r="AX136" s="2">
        <f t="shared" si="18"/>
        <v>2641.8688959999999</v>
      </c>
      <c r="AY136" s="2">
        <f t="shared" si="19"/>
        <v>137.64500428000002</v>
      </c>
      <c r="AZ136" s="2">
        <f t="shared" si="20"/>
        <v>2504.2238917199998</v>
      </c>
      <c r="BA136" s="6"/>
    </row>
    <row r="137" spans="1:53" x14ac:dyDescent="0.25">
      <c r="A137" s="2" t="s">
        <v>129</v>
      </c>
      <c r="B137" s="2">
        <v>2020</v>
      </c>
      <c r="C137" s="2">
        <v>1326.5389399999999</v>
      </c>
      <c r="D137" s="2">
        <v>69.229003910000003</v>
      </c>
      <c r="E137" s="2">
        <v>99.59078178</v>
      </c>
      <c r="F137" s="2">
        <v>0</v>
      </c>
      <c r="G137" s="2">
        <v>0.40921822320000001</v>
      </c>
      <c r="H137" s="2">
        <v>0</v>
      </c>
      <c r="I137" s="2" t="s">
        <v>64</v>
      </c>
      <c r="J137" s="2" t="s">
        <v>64</v>
      </c>
      <c r="K137" s="2" t="s">
        <v>64</v>
      </c>
      <c r="L137" s="2" t="s">
        <v>64</v>
      </c>
      <c r="M137" s="2">
        <v>99.98545421</v>
      </c>
      <c r="N137" s="2">
        <v>0</v>
      </c>
      <c r="O137" s="2">
        <v>1.454579307E-2</v>
      </c>
      <c r="P137" s="2">
        <v>0</v>
      </c>
      <c r="Q137" s="2" t="str">
        <f t="shared" si="0"/>
        <v>Estonia|2020</v>
      </c>
      <c r="R137" s="2" t="str">
        <f t="shared" si="1"/>
        <v xml:space="preserve"> </v>
      </c>
      <c r="T137" s="2" t="b">
        <f t="shared" si="24"/>
        <v>0</v>
      </c>
      <c r="U137" s="2" t="b">
        <f t="shared" si="28"/>
        <v>0</v>
      </c>
      <c r="V137" s="2" t="b">
        <f t="shared" si="2"/>
        <v>0</v>
      </c>
      <c r="W137" s="2">
        <f t="shared" si="3"/>
        <v>100</v>
      </c>
      <c r="X137" s="2" t="b">
        <f t="shared" si="4"/>
        <v>0</v>
      </c>
      <c r="Y137" s="2">
        <f t="shared" si="5"/>
        <v>100</v>
      </c>
      <c r="Z137" s="2" t="str">
        <f t="shared" si="6"/>
        <v/>
      </c>
      <c r="AA137" s="2" t="str">
        <f t="shared" si="7"/>
        <v/>
      </c>
      <c r="AB137" s="2" t="str">
        <f t="shared" si="8"/>
        <v/>
      </c>
      <c r="AC137" s="2">
        <f t="shared" si="9"/>
        <v>0</v>
      </c>
      <c r="AE137" s="10" t="s">
        <v>197</v>
      </c>
      <c r="AF137" s="11" t="s">
        <v>51</v>
      </c>
      <c r="AH137" s="6" t="str">
        <f t="shared" si="10"/>
        <v>East Asia &amp; Pacific</v>
      </c>
      <c r="AI137" s="6"/>
      <c r="AJ137" s="6"/>
      <c r="AK137" s="10">
        <f t="shared" si="26"/>
        <v>0.93652263600000085</v>
      </c>
      <c r="AL137" s="6"/>
      <c r="AM137" s="6"/>
      <c r="AN137" s="6"/>
      <c r="AO137" s="10">
        <f t="shared" si="12"/>
        <v>1.7953726259999996</v>
      </c>
      <c r="AP137" s="6"/>
      <c r="AQ137" s="6"/>
      <c r="AR137" s="6"/>
      <c r="AS137" s="10">
        <f t="shared" si="15"/>
        <v>0.4920876679999992</v>
      </c>
      <c r="AT137" s="6"/>
      <c r="AU137" s="6"/>
      <c r="AX137" s="2" t="str">
        <f t="shared" si="18"/>
        <v>null</v>
      </c>
      <c r="AY137" s="2" t="str">
        <f t="shared" si="19"/>
        <v>null</v>
      </c>
      <c r="AZ137" s="2" t="str">
        <f t="shared" si="20"/>
        <v>null</v>
      </c>
      <c r="BA137" s="6"/>
    </row>
    <row r="138" spans="1:53" x14ac:dyDescent="0.25">
      <c r="A138" s="2" t="s">
        <v>130</v>
      </c>
      <c r="B138" s="2">
        <v>2015</v>
      </c>
      <c r="C138" s="2">
        <v>1104.0379640000001</v>
      </c>
      <c r="D138" s="2">
        <v>23.299999239999998</v>
      </c>
      <c r="E138" s="2">
        <v>66.703955219999997</v>
      </c>
      <c r="F138" s="2">
        <v>8.7676173330000005</v>
      </c>
      <c r="G138" s="2">
        <v>10.89011026</v>
      </c>
      <c r="H138" s="2">
        <v>13.63831719</v>
      </c>
      <c r="I138" s="2">
        <v>58.124984900000001</v>
      </c>
      <c r="J138" s="2">
        <v>11.182049299999999</v>
      </c>
      <c r="K138" s="2">
        <v>13.43987898</v>
      </c>
      <c r="L138" s="2">
        <v>17.253086830000001</v>
      </c>
      <c r="M138" s="2">
        <v>94.944600129999998</v>
      </c>
      <c r="N138" s="2">
        <v>0.81968032219999998</v>
      </c>
      <c r="O138" s="2">
        <v>2.4966655609999999</v>
      </c>
      <c r="P138" s="2">
        <v>1.7390539899999999</v>
      </c>
      <c r="Q138" s="2" t="str">
        <f t="shared" si="0"/>
        <v>Eswatini|2015</v>
      </c>
      <c r="R138" s="2">
        <f t="shared" si="1"/>
        <v>5</v>
      </c>
      <c r="T138" s="2">
        <f t="shared" si="24"/>
        <v>0.80982314599999938</v>
      </c>
      <c r="U138" s="2">
        <f t="shared" si="28"/>
        <v>0.86829276799999922</v>
      </c>
      <c r="V138" s="2">
        <f t="shared" si="2"/>
        <v>0.36103258400000016</v>
      </c>
      <c r="W138" s="2">
        <f t="shared" si="3"/>
        <v>67</v>
      </c>
      <c r="X138" s="2">
        <f t="shared" si="4"/>
        <v>58</v>
      </c>
      <c r="Y138" s="2">
        <f t="shared" si="5"/>
        <v>95</v>
      </c>
      <c r="Z138" s="2" t="str">
        <f t="shared" si="6"/>
        <v/>
      </c>
      <c r="AA138" s="2" t="str">
        <f t="shared" si="7"/>
        <v/>
      </c>
      <c r="AB138" s="2" t="str">
        <f t="shared" si="8"/>
        <v>Fully Accessible</v>
      </c>
      <c r="AC138" s="2">
        <f t="shared" si="9"/>
        <v>0.50726018399999906</v>
      </c>
      <c r="AE138" s="10" t="s">
        <v>198</v>
      </c>
      <c r="AF138" s="11" t="s">
        <v>53</v>
      </c>
      <c r="AH138" s="6" t="str">
        <f t="shared" si="10"/>
        <v>Europe &amp; Central Asia</v>
      </c>
      <c r="AI138" s="6"/>
      <c r="AJ138" s="6"/>
      <c r="AK138" s="10">
        <f t="shared" si="26"/>
        <v>0.29312423000000082</v>
      </c>
      <c r="AL138" s="6"/>
      <c r="AM138" s="6"/>
      <c r="AN138" s="6"/>
      <c r="AO138" s="10">
        <f t="shared" si="12"/>
        <v>0.44024507199999902</v>
      </c>
      <c r="AP138" s="6"/>
      <c r="AQ138" s="6"/>
      <c r="AR138" s="6"/>
      <c r="AS138" s="10">
        <f t="shared" si="15"/>
        <v>0.21141222800000037</v>
      </c>
      <c r="AT138" s="6"/>
      <c r="AU138" s="6"/>
      <c r="AX138" s="2">
        <f t="shared" si="18"/>
        <v>2264.201904</v>
      </c>
      <c r="AY138" s="2">
        <f t="shared" si="19"/>
        <v>47.471000669999995</v>
      </c>
      <c r="AZ138" s="2">
        <f t="shared" si="20"/>
        <v>2216.7309033299998</v>
      </c>
      <c r="BA138" s="16"/>
    </row>
    <row r="139" spans="1:53" x14ac:dyDescent="0.25">
      <c r="A139" s="2" t="s">
        <v>130</v>
      </c>
      <c r="B139" s="2">
        <v>2020</v>
      </c>
      <c r="C139" s="2">
        <v>1160.1639399999999</v>
      </c>
      <c r="D139" s="2">
        <v>24.17100143</v>
      </c>
      <c r="E139" s="2">
        <v>70.753070949999994</v>
      </c>
      <c r="F139" s="2">
        <v>9.5070671630000003</v>
      </c>
      <c r="G139" s="2">
        <v>9.8355679309999999</v>
      </c>
      <c r="H139" s="2">
        <v>9.9042939590000003</v>
      </c>
      <c r="I139" s="2">
        <v>62.466448739999997</v>
      </c>
      <c r="J139" s="2">
        <v>12.29969513</v>
      </c>
      <c r="K139" s="2">
        <v>12.45046093</v>
      </c>
      <c r="L139" s="2">
        <v>12.78339519</v>
      </c>
      <c r="M139" s="2">
        <v>96.749763049999999</v>
      </c>
      <c r="N139" s="2">
        <v>0.74606447310000001</v>
      </c>
      <c r="O139" s="2">
        <v>1.6321642439999999</v>
      </c>
      <c r="P139" s="2">
        <v>0.8720082294</v>
      </c>
      <c r="Q139" s="2" t="str">
        <f t="shared" si="0"/>
        <v>Eswatini|2020</v>
      </c>
      <c r="R139" s="2" t="str">
        <f t="shared" si="1"/>
        <v xml:space="preserve"> </v>
      </c>
      <c r="T139" s="2" t="b">
        <f t="shared" si="24"/>
        <v>0</v>
      </c>
      <c r="U139" s="2" t="b">
        <f t="shared" si="28"/>
        <v>0</v>
      </c>
      <c r="V139" s="2" t="b">
        <f t="shared" si="2"/>
        <v>0</v>
      </c>
      <c r="W139" s="2">
        <f t="shared" si="3"/>
        <v>71</v>
      </c>
      <c r="X139" s="2">
        <f t="shared" si="4"/>
        <v>62</v>
      </c>
      <c r="Y139" s="2">
        <f t="shared" si="5"/>
        <v>97</v>
      </c>
      <c r="Z139" s="2" t="str">
        <f t="shared" si="6"/>
        <v/>
      </c>
      <c r="AA139" s="2" t="str">
        <f t="shared" si="7"/>
        <v/>
      </c>
      <c r="AB139" s="2" t="str">
        <f t="shared" si="8"/>
        <v/>
      </c>
      <c r="AC139" s="2">
        <f t="shared" si="9"/>
        <v>0</v>
      </c>
      <c r="AE139" s="10" t="s">
        <v>199</v>
      </c>
      <c r="AF139" s="11" t="s">
        <v>57</v>
      </c>
      <c r="AH139" s="6" t="str">
        <f t="shared" si="10"/>
        <v>Latin America &amp; Caribbean</v>
      </c>
      <c r="AI139" s="6"/>
      <c r="AJ139" s="6"/>
      <c r="AK139" s="10">
        <f t="shared" si="26"/>
        <v>1.3324119999992945E-3</v>
      </c>
      <c r="AL139" s="6"/>
      <c r="AM139" s="6"/>
      <c r="AN139" s="6"/>
      <c r="AO139" s="10">
        <f t="shared" si="12"/>
        <v>0</v>
      </c>
      <c r="AP139" s="6"/>
      <c r="AQ139" s="6"/>
      <c r="AR139" s="6"/>
      <c r="AS139" s="10">
        <f t="shared" si="15"/>
        <v>0</v>
      </c>
      <c r="AT139" s="6"/>
      <c r="AU139" s="6"/>
      <c r="AX139" s="2" t="str">
        <f t="shared" si="18"/>
        <v>null</v>
      </c>
      <c r="AY139" s="2" t="str">
        <f t="shared" si="19"/>
        <v>null</v>
      </c>
      <c r="AZ139" s="2" t="str">
        <f t="shared" si="20"/>
        <v>null</v>
      </c>
      <c r="BA139" s="6"/>
    </row>
    <row r="140" spans="1:53" x14ac:dyDescent="0.25">
      <c r="A140" s="2" t="s">
        <v>131</v>
      </c>
      <c r="B140" s="2">
        <v>2015</v>
      </c>
      <c r="C140" s="2">
        <v>100835.4531</v>
      </c>
      <c r="D140" s="2">
        <v>19.428001399999999</v>
      </c>
      <c r="E140" s="2">
        <v>42.070067199999997</v>
      </c>
      <c r="F140" s="2">
        <v>21.738790269999999</v>
      </c>
      <c r="G140" s="2">
        <v>24.477856150000001</v>
      </c>
      <c r="H140" s="2">
        <v>11.71328639</v>
      </c>
      <c r="I140" s="2">
        <v>32.451767429999997</v>
      </c>
      <c r="J140" s="2">
        <v>23.598552099999999</v>
      </c>
      <c r="K140" s="2">
        <v>29.78155581</v>
      </c>
      <c r="L140" s="2">
        <v>14.168124669999999</v>
      </c>
      <c r="M140" s="2">
        <v>81.959176540000001</v>
      </c>
      <c r="N140" s="2">
        <v>14.02596733</v>
      </c>
      <c r="O140" s="2">
        <v>2.4822996910000001</v>
      </c>
      <c r="P140" s="2">
        <v>1.5325564389999999</v>
      </c>
      <c r="Q140" s="2" t="str">
        <f t="shared" si="0"/>
        <v>Ethiopia|2015</v>
      </c>
      <c r="R140" s="2">
        <f t="shared" si="1"/>
        <v>5</v>
      </c>
      <c r="T140" s="2">
        <f t="shared" si="24"/>
        <v>1.5091011080000001</v>
      </c>
      <c r="U140" s="2">
        <f t="shared" si="28"/>
        <v>1.5156743520000007</v>
      </c>
      <c r="V140" s="2">
        <f t="shared" si="2"/>
        <v>0.4507303239999999</v>
      </c>
      <c r="W140" s="2">
        <f t="shared" si="3"/>
        <v>42</v>
      </c>
      <c r="X140" s="2">
        <f t="shared" si="4"/>
        <v>32</v>
      </c>
      <c r="Y140" s="2">
        <f t="shared" si="5"/>
        <v>82</v>
      </c>
      <c r="Z140" s="2" t="str">
        <f t="shared" si="6"/>
        <v/>
      </c>
      <c r="AA140" s="2" t="str">
        <f t="shared" si="7"/>
        <v/>
      </c>
      <c r="AB140" s="2" t="str">
        <f t="shared" si="8"/>
        <v>Fully Accessible</v>
      </c>
      <c r="AC140" s="2">
        <f t="shared" si="9"/>
        <v>1.0649440280000007</v>
      </c>
      <c r="AE140" s="10" t="s">
        <v>200</v>
      </c>
      <c r="AF140" s="11" t="s">
        <v>56</v>
      </c>
      <c r="AH140" s="6" t="str">
        <f t="shared" si="10"/>
        <v>Middle East &amp; North Africa</v>
      </c>
      <c r="AI140" s="6"/>
      <c r="AJ140" s="6"/>
      <c r="AK140" s="10">
        <f t="shared" si="26"/>
        <v>1.3302423599999997</v>
      </c>
      <c r="AL140" s="6"/>
      <c r="AM140" s="6"/>
      <c r="AN140" s="6"/>
      <c r="AO140" s="10">
        <f t="shared" si="12"/>
        <v>2.6347200439999994</v>
      </c>
      <c r="AP140" s="6"/>
      <c r="AQ140" s="6"/>
      <c r="AR140" s="6"/>
      <c r="AS140" s="10">
        <f t="shared" si="15"/>
        <v>0.30546619799999919</v>
      </c>
      <c r="AT140" s="6"/>
      <c r="AU140" s="6"/>
      <c r="AX140" s="2">
        <f t="shared" si="18"/>
        <v>215799.03899999999</v>
      </c>
      <c r="AY140" s="2">
        <f t="shared" si="19"/>
        <v>41.123001090000002</v>
      </c>
      <c r="AZ140" s="2">
        <f t="shared" si="20"/>
        <v>215757.91599891</v>
      </c>
      <c r="BA140" s="16"/>
    </row>
    <row r="141" spans="1:53" x14ac:dyDescent="0.25">
      <c r="A141" s="2" t="s">
        <v>131</v>
      </c>
      <c r="B141" s="2">
        <v>2020</v>
      </c>
      <c r="C141" s="2">
        <v>114963.58590000001</v>
      </c>
      <c r="D141" s="2">
        <v>21.69499969</v>
      </c>
      <c r="E141" s="2">
        <v>49.615572739999998</v>
      </c>
      <c r="F141" s="2">
        <v>26.740719639999998</v>
      </c>
      <c r="G141" s="2">
        <v>18.635060129999999</v>
      </c>
      <c r="H141" s="2">
        <v>5.0086474860000001</v>
      </c>
      <c r="I141" s="2">
        <v>40.03013919</v>
      </c>
      <c r="J141" s="2">
        <v>30.186683339999998</v>
      </c>
      <c r="K141" s="2">
        <v>23.49561327</v>
      </c>
      <c r="L141" s="2">
        <v>6.2875642029999996</v>
      </c>
      <c r="M141" s="2">
        <v>84.212828160000001</v>
      </c>
      <c r="N141" s="2">
        <v>14.30300858</v>
      </c>
      <c r="O141" s="2">
        <v>1.0915823549999999</v>
      </c>
      <c r="P141" s="2">
        <v>0.39258089600000001</v>
      </c>
      <c r="Q141" s="2" t="str">
        <f t="shared" si="0"/>
        <v>Ethiopia|2020</v>
      </c>
      <c r="R141" s="2" t="str">
        <f t="shared" si="1"/>
        <v xml:space="preserve"> </v>
      </c>
      <c r="T141" s="2" t="b">
        <f t="shared" si="24"/>
        <v>0</v>
      </c>
      <c r="U141" s="2" t="b">
        <f t="shared" si="28"/>
        <v>0</v>
      </c>
      <c r="V141" s="2" t="b">
        <f t="shared" si="2"/>
        <v>0</v>
      </c>
      <c r="W141" s="2">
        <f t="shared" si="3"/>
        <v>50</v>
      </c>
      <c r="X141" s="2">
        <f t="shared" si="4"/>
        <v>40</v>
      </c>
      <c r="Y141" s="2">
        <f t="shared" si="5"/>
        <v>84</v>
      </c>
      <c r="Z141" s="2" t="str">
        <f t="shared" si="6"/>
        <v/>
      </c>
      <c r="AA141" s="2" t="str">
        <f t="shared" si="7"/>
        <v/>
      </c>
      <c r="AB141" s="2" t="str">
        <f t="shared" si="8"/>
        <v/>
      </c>
      <c r="AC141" s="2">
        <f t="shared" si="9"/>
        <v>0</v>
      </c>
      <c r="AE141" s="10" t="s">
        <v>201</v>
      </c>
      <c r="AF141" s="11" t="s">
        <v>63</v>
      </c>
      <c r="AH141" s="6" t="str">
        <f t="shared" si="10"/>
        <v>Sub-Saharan Africa</v>
      </c>
      <c r="AI141" s="6"/>
      <c r="AJ141" s="6"/>
      <c r="AK141" s="10">
        <f t="shared" si="26"/>
        <v>2.4386500840000012</v>
      </c>
      <c r="AL141" s="6"/>
      <c r="AM141" s="6"/>
      <c r="AN141" s="6"/>
      <c r="AO141" s="10">
        <f t="shared" si="12"/>
        <v>2.5790615479999999</v>
      </c>
      <c r="AP141" s="6"/>
      <c r="AQ141" s="6"/>
      <c r="AR141" s="6"/>
      <c r="AS141" s="10">
        <f t="shared" si="15"/>
        <v>1.5627364180000001</v>
      </c>
      <c r="AT141" s="6"/>
      <c r="AU141" s="6"/>
      <c r="AX141" s="2" t="str">
        <f t="shared" si="18"/>
        <v>null</v>
      </c>
      <c r="AY141" s="2" t="str">
        <f t="shared" si="19"/>
        <v>null</v>
      </c>
      <c r="AZ141" s="2" t="str">
        <f t="shared" si="20"/>
        <v>null</v>
      </c>
      <c r="BA141" s="16"/>
    </row>
    <row r="142" spans="1:53" x14ac:dyDescent="0.25">
      <c r="A142" s="2" t="s">
        <v>132</v>
      </c>
      <c r="B142" s="2">
        <v>2015</v>
      </c>
      <c r="C142" s="2">
        <v>48.055000309999997</v>
      </c>
      <c r="D142" s="2">
        <v>41.63799667</v>
      </c>
      <c r="E142" s="2">
        <v>100</v>
      </c>
      <c r="F142" s="2">
        <v>0</v>
      </c>
      <c r="G142" s="2">
        <v>0</v>
      </c>
      <c r="H142" s="2">
        <v>0</v>
      </c>
      <c r="I142" s="2" t="s">
        <v>64</v>
      </c>
      <c r="J142" s="2" t="s">
        <v>64</v>
      </c>
      <c r="K142" s="2" t="s">
        <v>64</v>
      </c>
      <c r="L142" s="2" t="s">
        <v>64</v>
      </c>
      <c r="M142" s="2" t="s">
        <v>64</v>
      </c>
      <c r="N142" s="2" t="s">
        <v>64</v>
      </c>
      <c r="O142" s="2" t="s">
        <v>64</v>
      </c>
      <c r="P142" s="2" t="s">
        <v>64</v>
      </c>
      <c r="Q142" s="2" t="str">
        <f t="shared" si="0"/>
        <v>Faeroe Islands|2015</v>
      </c>
      <c r="R142" s="2">
        <f t="shared" si="1"/>
        <v>5</v>
      </c>
      <c r="T142" s="2">
        <f t="shared" si="24"/>
        <v>0</v>
      </c>
      <c r="U142" s="2" t="str">
        <f t="shared" si="28"/>
        <v>null</v>
      </c>
      <c r="V142" s="2" t="str">
        <f t="shared" si="2"/>
        <v>null</v>
      </c>
      <c r="W142" s="2">
        <f t="shared" si="3"/>
        <v>100</v>
      </c>
      <c r="X142" s="2" t="b">
        <f t="shared" si="4"/>
        <v>0</v>
      </c>
      <c r="Y142" s="2" t="b">
        <f t="shared" si="5"/>
        <v>0</v>
      </c>
      <c r="Z142" s="2" t="str">
        <f t="shared" si="6"/>
        <v/>
      </c>
      <c r="AA142" s="2" t="str">
        <f t="shared" si="7"/>
        <v>Fully Accessible</v>
      </c>
      <c r="AB142" s="2" t="str">
        <f t="shared" si="8"/>
        <v>Fully Accessible</v>
      </c>
      <c r="AC142" s="2" t="b">
        <f t="shared" si="9"/>
        <v>0</v>
      </c>
      <c r="AE142" s="10" t="s">
        <v>202</v>
      </c>
      <c r="AF142" s="11" t="s">
        <v>51</v>
      </c>
      <c r="AH142" s="6" t="str">
        <f t="shared" si="10"/>
        <v>East Asia &amp; Pacific</v>
      </c>
      <c r="AI142" s="6"/>
      <c r="AJ142" s="6"/>
      <c r="AK142" s="10">
        <f t="shared" si="26"/>
        <v>2.0261442820000015</v>
      </c>
      <c r="AL142" s="6"/>
      <c r="AM142" s="6"/>
      <c r="AN142" s="6"/>
      <c r="AO142" s="10">
        <f t="shared" si="12"/>
        <v>2.2345902300000007</v>
      </c>
      <c r="AP142" s="6"/>
      <c r="AQ142" s="6"/>
      <c r="AR142" s="6"/>
      <c r="AS142" s="10">
        <f t="shared" si="15"/>
        <v>1.3903219540000009</v>
      </c>
      <c r="AT142" s="6"/>
      <c r="AU142" s="6"/>
      <c r="AX142" s="2">
        <f t="shared" si="18"/>
        <v>96.920001990000003</v>
      </c>
      <c r="AY142" s="2">
        <f t="shared" si="19"/>
        <v>84.035995479999997</v>
      </c>
      <c r="AZ142" s="2">
        <f t="shared" si="20"/>
        <v>12.884006510000006</v>
      </c>
      <c r="BA142" s="6"/>
    </row>
    <row r="143" spans="1:53" x14ac:dyDescent="0.25">
      <c r="A143" s="2" t="s">
        <v>132</v>
      </c>
      <c r="B143" s="2">
        <v>2020</v>
      </c>
      <c r="C143" s="2">
        <v>48.865001679999999</v>
      </c>
      <c r="D143" s="2">
        <v>42.397998809999997</v>
      </c>
      <c r="E143" s="2">
        <v>100</v>
      </c>
      <c r="F143" s="2">
        <v>0</v>
      </c>
      <c r="G143" s="2">
        <v>0</v>
      </c>
      <c r="H143" s="2">
        <v>0</v>
      </c>
      <c r="I143" s="2" t="s">
        <v>64</v>
      </c>
      <c r="J143" s="2" t="s">
        <v>64</v>
      </c>
      <c r="K143" s="2" t="s">
        <v>64</v>
      </c>
      <c r="L143" s="2" t="s">
        <v>64</v>
      </c>
      <c r="M143" s="2" t="s">
        <v>64</v>
      </c>
      <c r="N143" s="2" t="s">
        <v>64</v>
      </c>
      <c r="O143" s="2" t="s">
        <v>64</v>
      </c>
      <c r="P143" s="2" t="s">
        <v>64</v>
      </c>
      <c r="Q143" s="2" t="str">
        <f t="shared" si="0"/>
        <v>Faeroe Islands|2020</v>
      </c>
      <c r="R143" s="2" t="str">
        <f t="shared" si="1"/>
        <v xml:space="preserve"> </v>
      </c>
      <c r="T143" s="2" t="b">
        <f t="shared" si="24"/>
        <v>0</v>
      </c>
      <c r="U143" s="2" t="b">
        <f t="shared" si="28"/>
        <v>0</v>
      </c>
      <c r="V143" s="2" t="b">
        <f t="shared" si="2"/>
        <v>0</v>
      </c>
      <c r="W143" s="2">
        <f t="shared" si="3"/>
        <v>100</v>
      </c>
      <c r="X143" s="2" t="b">
        <f t="shared" si="4"/>
        <v>0</v>
      </c>
      <c r="Y143" s="2" t="b">
        <f t="shared" si="5"/>
        <v>0</v>
      </c>
      <c r="Z143" s="2" t="str">
        <f t="shared" si="6"/>
        <v/>
      </c>
      <c r="AA143" s="2" t="str">
        <f t="shared" si="7"/>
        <v/>
      </c>
      <c r="AB143" s="2" t="str">
        <f t="shared" si="8"/>
        <v/>
      </c>
      <c r="AC143" s="2">
        <f t="shared" si="9"/>
        <v>0</v>
      </c>
      <c r="AE143" s="10" t="s">
        <v>203</v>
      </c>
      <c r="AF143" s="11" t="s">
        <v>63</v>
      </c>
      <c r="AH143" s="6" t="str">
        <f t="shared" si="10"/>
        <v>Sub-Saharan Africa</v>
      </c>
      <c r="AI143" s="6"/>
      <c r="AJ143" s="6"/>
      <c r="AK143" s="10">
        <f t="shared" si="26"/>
        <v>0.34918022599999859</v>
      </c>
      <c r="AL143" s="6"/>
      <c r="AM143" s="6"/>
      <c r="AN143" s="6"/>
      <c r="AO143" s="10">
        <f t="shared" si="12"/>
        <v>0.22302721000000075</v>
      </c>
      <c r="AP143" s="6"/>
      <c r="AQ143" s="6"/>
      <c r="AR143" s="6"/>
      <c r="AS143" s="10">
        <f t="shared" si="15"/>
        <v>-5.5454053999997657E-2</v>
      </c>
      <c r="AT143" s="6"/>
      <c r="AU143" s="6"/>
      <c r="AX143" s="2" t="str">
        <f t="shared" si="18"/>
        <v>null</v>
      </c>
      <c r="AY143" s="2" t="str">
        <f t="shared" si="19"/>
        <v>null</v>
      </c>
      <c r="AZ143" s="2" t="str">
        <f t="shared" si="20"/>
        <v>null</v>
      </c>
      <c r="BA143" s="6"/>
    </row>
    <row r="144" spans="1:53" x14ac:dyDescent="0.25">
      <c r="A144" s="2" t="s">
        <v>133</v>
      </c>
      <c r="B144" s="2">
        <v>2015</v>
      </c>
      <c r="C144" s="2">
        <v>2.8359999660000001</v>
      </c>
      <c r="D144" s="2">
        <v>76.268005369999997</v>
      </c>
      <c r="E144" s="2">
        <v>94.820006660000004</v>
      </c>
      <c r="F144" s="2">
        <v>0</v>
      </c>
      <c r="G144" s="2">
        <v>5.1799933429999996</v>
      </c>
      <c r="H144" s="2">
        <v>0</v>
      </c>
      <c r="I144" s="2">
        <v>78.172942820000003</v>
      </c>
      <c r="J144" s="2">
        <v>0</v>
      </c>
      <c r="K144" s="2">
        <v>21.827057180000001</v>
      </c>
      <c r="L144" s="2">
        <v>0</v>
      </c>
      <c r="M144" s="2">
        <v>100</v>
      </c>
      <c r="N144" s="2">
        <v>0</v>
      </c>
      <c r="O144" s="2">
        <v>0</v>
      </c>
      <c r="P144" s="2">
        <v>0</v>
      </c>
      <c r="Q144" s="2" t="str">
        <f t="shared" si="0"/>
        <v>Falkland Islands (Malvinas)|2015</v>
      </c>
      <c r="R144" s="2">
        <f t="shared" si="1"/>
        <v>5</v>
      </c>
      <c r="T144" s="2">
        <f t="shared" si="24"/>
        <v>9.7784147999999502E-2</v>
      </c>
      <c r="U144" s="2">
        <f t="shared" si="28"/>
        <v>0</v>
      </c>
      <c r="V144" s="2">
        <f t="shared" si="2"/>
        <v>0</v>
      </c>
      <c r="W144" s="2">
        <f t="shared" si="3"/>
        <v>95</v>
      </c>
      <c r="X144" s="2">
        <f t="shared" si="4"/>
        <v>78</v>
      </c>
      <c r="Y144" s="2">
        <f t="shared" si="5"/>
        <v>100</v>
      </c>
      <c r="Z144" s="2" t="str">
        <f t="shared" si="6"/>
        <v/>
      </c>
      <c r="AA144" s="2" t="str">
        <f t="shared" si="7"/>
        <v/>
      </c>
      <c r="AB144" s="2" t="str">
        <f t="shared" si="8"/>
        <v>Fully Accessible</v>
      </c>
      <c r="AC144" s="2">
        <f t="shared" si="9"/>
        <v>0</v>
      </c>
      <c r="AE144" s="10" t="s">
        <v>204</v>
      </c>
      <c r="AF144" s="11" t="s">
        <v>51</v>
      </c>
      <c r="AH144" s="6" t="str">
        <f t="shared" si="10"/>
        <v>East Asia &amp; Pacific</v>
      </c>
      <c r="AI144" s="6"/>
      <c r="AJ144" s="6"/>
      <c r="AK144" s="10">
        <f t="shared" si="26"/>
        <v>0</v>
      </c>
      <c r="AL144" s="6"/>
      <c r="AM144" s="6"/>
      <c r="AN144" s="6"/>
      <c r="AO144" s="10">
        <f t="shared" si="12"/>
        <v>0</v>
      </c>
      <c r="AP144" s="6"/>
      <c r="AQ144" s="6"/>
      <c r="AR144" s="6"/>
      <c r="AS144" s="10">
        <f t="shared" si="15"/>
        <v>0</v>
      </c>
      <c r="AT144" s="6"/>
      <c r="AU144" s="6"/>
      <c r="AX144" s="2">
        <f t="shared" si="18"/>
        <v>6.3190000059999996</v>
      </c>
      <c r="AY144" s="2">
        <f t="shared" si="19"/>
        <v>154.77600097999999</v>
      </c>
      <c r="AZ144" s="2">
        <f t="shared" si="20"/>
        <v>-148.45700097399998</v>
      </c>
      <c r="BA144" s="6"/>
    </row>
    <row r="145" spans="1:53" x14ac:dyDescent="0.25">
      <c r="A145" s="2" t="s">
        <v>133</v>
      </c>
      <c r="B145" s="2">
        <v>2020</v>
      </c>
      <c r="C145" s="2">
        <v>3.4830000399999999</v>
      </c>
      <c r="D145" s="2">
        <v>78.507995609999995</v>
      </c>
      <c r="E145" s="2">
        <v>95.308927400000002</v>
      </c>
      <c r="F145" s="2">
        <v>0</v>
      </c>
      <c r="G145" s="2">
        <v>4.6910725959999997</v>
      </c>
      <c r="H145" s="2">
        <v>0</v>
      </c>
      <c r="I145" s="2">
        <v>78.172942820000003</v>
      </c>
      <c r="J145" s="2">
        <v>0</v>
      </c>
      <c r="K145" s="2">
        <v>21.827057180000001</v>
      </c>
      <c r="L145" s="2">
        <v>0</v>
      </c>
      <c r="M145" s="2">
        <v>100</v>
      </c>
      <c r="N145" s="2">
        <v>0</v>
      </c>
      <c r="O145" s="2">
        <v>0</v>
      </c>
      <c r="P145" s="2">
        <v>0</v>
      </c>
      <c r="Q145" s="2" t="str">
        <f t="shared" si="0"/>
        <v>Falkland Islands (Malvinas)|2020</v>
      </c>
      <c r="R145" s="2" t="str">
        <f t="shared" si="1"/>
        <v xml:space="preserve"> </v>
      </c>
      <c r="T145" s="2" t="b">
        <f t="shared" si="24"/>
        <v>0</v>
      </c>
      <c r="U145" s="2" t="b">
        <f t="shared" si="28"/>
        <v>0</v>
      </c>
      <c r="V145" s="2" t="b">
        <f t="shared" si="2"/>
        <v>0</v>
      </c>
      <c r="W145" s="2">
        <f t="shared" si="3"/>
        <v>95</v>
      </c>
      <c r="X145" s="2">
        <f t="shared" si="4"/>
        <v>78</v>
      </c>
      <c r="Y145" s="2">
        <f t="shared" si="5"/>
        <v>100</v>
      </c>
      <c r="Z145" s="2" t="str">
        <f t="shared" si="6"/>
        <v/>
      </c>
      <c r="AA145" s="2" t="str">
        <f t="shared" si="7"/>
        <v/>
      </c>
      <c r="AB145" s="2" t="str">
        <f t="shared" si="8"/>
        <v/>
      </c>
      <c r="AC145" s="2">
        <f t="shared" si="9"/>
        <v>0</v>
      </c>
      <c r="AE145" s="10" t="s">
        <v>205</v>
      </c>
      <c r="AF145" s="11" t="s">
        <v>50</v>
      </c>
      <c r="AH145" s="6" t="str">
        <f t="shared" si="10"/>
        <v>South Asia</v>
      </c>
      <c r="AI145" s="6"/>
      <c r="AJ145" s="6"/>
      <c r="AK145" s="10">
        <f t="shared" si="26"/>
        <v>0.45321483999999829</v>
      </c>
      <c r="AL145" s="6"/>
      <c r="AM145" s="6"/>
      <c r="AN145" s="6"/>
      <c r="AO145" s="10">
        <f t="shared" si="12"/>
        <v>0.59225840200000168</v>
      </c>
      <c r="AP145" s="6"/>
      <c r="AQ145" s="6"/>
      <c r="AR145" s="6"/>
      <c r="AS145" s="10">
        <f t="shared" si="15"/>
        <v>-0.14340758799999948</v>
      </c>
      <c r="AT145" s="6"/>
      <c r="AU145" s="6"/>
      <c r="AX145" s="2" t="str">
        <f t="shared" si="18"/>
        <v>null</v>
      </c>
      <c r="AY145" s="2" t="str">
        <f t="shared" si="19"/>
        <v>null</v>
      </c>
      <c r="AZ145" s="2" t="str">
        <f t="shared" si="20"/>
        <v>null</v>
      </c>
      <c r="BA145" s="6"/>
    </row>
    <row r="146" spans="1:53" x14ac:dyDescent="0.25">
      <c r="A146" s="2" t="s">
        <v>134</v>
      </c>
      <c r="B146" s="2">
        <v>2015</v>
      </c>
      <c r="C146" s="2">
        <v>868.63201900000001</v>
      </c>
      <c r="D146" s="2">
        <v>54.725997919999998</v>
      </c>
      <c r="E146" s="2">
        <v>94.262558670000004</v>
      </c>
      <c r="F146" s="2">
        <v>0</v>
      </c>
      <c r="G146" s="2">
        <v>3.4193659360000002</v>
      </c>
      <c r="H146" s="2">
        <v>2.3180753950000001</v>
      </c>
      <c r="I146" s="2">
        <v>89.378527390000002</v>
      </c>
      <c r="J146" s="2">
        <v>0</v>
      </c>
      <c r="K146" s="2">
        <v>5.8294678109999998</v>
      </c>
      <c r="L146" s="2">
        <v>4.7920047950000004</v>
      </c>
      <c r="M146" s="2">
        <v>98.303044670000006</v>
      </c>
      <c r="N146" s="2">
        <v>0</v>
      </c>
      <c r="O146" s="2">
        <v>1.4255247120000001</v>
      </c>
      <c r="P146" s="2">
        <v>0.27143061419999998</v>
      </c>
      <c r="Q146" s="2" t="str">
        <f t="shared" si="0"/>
        <v>Fiji|2015</v>
      </c>
      <c r="R146" s="2">
        <f t="shared" si="1"/>
        <v>5</v>
      </c>
      <c r="T146" s="2">
        <f t="shared" si="24"/>
        <v>7.7013139999991152E-3</v>
      </c>
      <c r="U146" s="2">
        <f t="shared" si="28"/>
        <v>-5.8100668000000154E-2</v>
      </c>
      <c r="V146" s="2">
        <f t="shared" si="2"/>
        <v>-2.1760122000000593E-2</v>
      </c>
      <c r="W146" s="2">
        <f t="shared" si="3"/>
        <v>94</v>
      </c>
      <c r="X146" s="2">
        <f t="shared" si="4"/>
        <v>89</v>
      </c>
      <c r="Y146" s="2">
        <f t="shared" si="5"/>
        <v>98</v>
      </c>
      <c r="Z146" s="2" t="str">
        <f t="shared" si="6"/>
        <v/>
      </c>
      <c r="AA146" s="2" t="str">
        <f t="shared" si="7"/>
        <v/>
      </c>
      <c r="AB146" s="2" t="str">
        <f t="shared" si="8"/>
        <v>Fully Accessible</v>
      </c>
      <c r="AC146" s="2">
        <f t="shared" si="9"/>
        <v>-3.6340545999999557E-2</v>
      </c>
      <c r="AE146" s="10" t="s">
        <v>206</v>
      </c>
      <c r="AF146" s="11" t="s">
        <v>53</v>
      </c>
      <c r="AH146" s="6" t="str">
        <f t="shared" si="10"/>
        <v>Europe &amp; Central Asia</v>
      </c>
      <c r="AI146" s="6"/>
      <c r="AJ146" s="6"/>
      <c r="AK146" s="10">
        <f t="shared" si="26"/>
        <v>1.4600000213249588E-7</v>
      </c>
      <c r="AL146" s="6"/>
      <c r="AM146" s="6"/>
      <c r="AN146" s="6"/>
      <c r="AO146" s="10">
        <f t="shared" si="12"/>
        <v>0</v>
      </c>
      <c r="AP146" s="6"/>
      <c r="AQ146" s="6"/>
      <c r="AR146" s="6"/>
      <c r="AS146" s="10">
        <f t="shared" si="15"/>
        <v>0</v>
      </c>
      <c r="AT146" s="6"/>
      <c r="AU146" s="6"/>
      <c r="AX146" s="2">
        <f t="shared" si="18"/>
        <v>1765.0759886999999</v>
      </c>
      <c r="AY146" s="2">
        <f t="shared" si="19"/>
        <v>111.97300337999999</v>
      </c>
      <c r="AZ146" s="2">
        <f t="shared" si="20"/>
        <v>1653.10298532</v>
      </c>
      <c r="BA146" s="16"/>
    </row>
    <row r="147" spans="1:53" x14ac:dyDescent="0.25">
      <c r="A147" s="2" t="s">
        <v>134</v>
      </c>
      <c r="B147" s="2">
        <v>2020</v>
      </c>
      <c r="C147" s="2">
        <v>896.44396970000003</v>
      </c>
      <c r="D147" s="2">
        <v>57.247005459999997</v>
      </c>
      <c r="E147" s="2">
        <v>94.30106524</v>
      </c>
      <c r="F147" s="2">
        <v>0</v>
      </c>
      <c r="G147" s="2">
        <v>3.3186027660000001</v>
      </c>
      <c r="H147" s="2">
        <v>2.380331999</v>
      </c>
      <c r="I147" s="2">
        <v>89.088024050000001</v>
      </c>
      <c r="J147" s="2">
        <v>0</v>
      </c>
      <c r="K147" s="2">
        <v>5.7598979379999999</v>
      </c>
      <c r="L147" s="2">
        <v>5.1520780119999996</v>
      </c>
      <c r="M147" s="2">
        <v>98.194244060000003</v>
      </c>
      <c r="N147" s="2">
        <v>0</v>
      </c>
      <c r="O147" s="2">
        <v>1.495409344</v>
      </c>
      <c r="P147" s="2">
        <v>0.31034659219999999</v>
      </c>
      <c r="Q147" s="2" t="str">
        <f t="shared" si="0"/>
        <v>Fiji|2020</v>
      </c>
      <c r="R147" s="2" t="str">
        <f t="shared" si="1"/>
        <v xml:space="preserve"> </v>
      </c>
      <c r="T147" s="2" t="b">
        <f t="shared" si="24"/>
        <v>0</v>
      </c>
      <c r="U147" s="2" t="b">
        <f t="shared" si="28"/>
        <v>0</v>
      </c>
      <c r="V147" s="2" t="b">
        <f t="shared" si="2"/>
        <v>0</v>
      </c>
      <c r="W147" s="2">
        <f t="shared" si="3"/>
        <v>94</v>
      </c>
      <c r="X147" s="2">
        <f t="shared" si="4"/>
        <v>89</v>
      </c>
      <c r="Y147" s="2">
        <f t="shared" si="5"/>
        <v>98</v>
      </c>
      <c r="Z147" s="2" t="str">
        <f t="shared" si="6"/>
        <v/>
      </c>
      <c r="AA147" s="2" t="str">
        <f t="shared" si="7"/>
        <v/>
      </c>
      <c r="AB147" s="2" t="str">
        <f t="shared" si="8"/>
        <v/>
      </c>
      <c r="AC147" s="2">
        <f t="shared" si="9"/>
        <v>0</v>
      </c>
      <c r="AE147" s="10" t="s">
        <v>207</v>
      </c>
      <c r="AF147" s="11" t="s">
        <v>51</v>
      </c>
      <c r="AH147" s="6" t="str">
        <f t="shared" si="10"/>
        <v>East Asia &amp; Pacific</v>
      </c>
      <c r="AI147" s="6"/>
      <c r="AJ147" s="6"/>
      <c r="AK147" s="10">
        <f t="shared" si="26"/>
        <v>0.23335241600000245</v>
      </c>
      <c r="AL147" s="6"/>
      <c r="AM147" s="6"/>
      <c r="AN147" s="6"/>
      <c r="AO147" s="10">
        <f t="shared" si="12"/>
        <v>0</v>
      </c>
      <c r="AP147" s="6"/>
      <c r="AQ147" s="6"/>
      <c r="AR147" s="6"/>
      <c r="AS147" s="10">
        <f t="shared" si="15"/>
        <v>0</v>
      </c>
      <c r="AT147" s="6"/>
      <c r="AU147" s="6"/>
      <c r="AX147" s="2" t="str">
        <f t="shared" si="18"/>
        <v>null</v>
      </c>
      <c r="AY147" s="2" t="str">
        <f t="shared" si="19"/>
        <v>null</v>
      </c>
      <c r="AZ147" s="2" t="str">
        <f t="shared" si="20"/>
        <v>null</v>
      </c>
      <c r="BA147" s="6"/>
    </row>
    <row r="148" spans="1:53" x14ac:dyDescent="0.25">
      <c r="A148" s="2" t="s">
        <v>135</v>
      </c>
      <c r="B148" s="2">
        <v>2015</v>
      </c>
      <c r="C148" s="2">
        <v>5481.1279299999997</v>
      </c>
      <c r="D148" s="2">
        <v>85.224998470000003</v>
      </c>
      <c r="E148" s="2">
        <v>99.999996659999994</v>
      </c>
      <c r="F148" s="2">
        <v>0</v>
      </c>
      <c r="G148" s="2">
        <v>3.3406530800000001E-6</v>
      </c>
      <c r="H148" s="2">
        <v>0</v>
      </c>
      <c r="I148" s="2">
        <v>100</v>
      </c>
      <c r="J148" s="2">
        <v>0</v>
      </c>
      <c r="K148" s="2">
        <v>0</v>
      </c>
      <c r="L148" s="2">
        <v>0</v>
      </c>
      <c r="M148" s="2">
        <v>100</v>
      </c>
      <c r="N148" s="2">
        <v>0</v>
      </c>
      <c r="O148" s="2">
        <v>0</v>
      </c>
      <c r="P148" s="2">
        <v>0</v>
      </c>
      <c r="Q148" s="2" t="str">
        <f t="shared" si="0"/>
        <v>Finland|2015</v>
      </c>
      <c r="R148" s="2">
        <f t="shared" si="1"/>
        <v>5</v>
      </c>
      <c r="T148" s="2">
        <f t="shared" si="24"/>
        <v>1.3280000018767169E-6</v>
      </c>
      <c r="U148" s="2">
        <f t="shared" si="28"/>
        <v>0</v>
      </c>
      <c r="V148" s="2">
        <f t="shared" si="2"/>
        <v>0</v>
      </c>
      <c r="W148" s="2">
        <f t="shared" si="3"/>
        <v>100</v>
      </c>
      <c r="X148" s="2">
        <f t="shared" si="4"/>
        <v>100</v>
      </c>
      <c r="Y148" s="2">
        <f t="shared" si="5"/>
        <v>100</v>
      </c>
      <c r="Z148" s="2" t="str">
        <f t="shared" si="6"/>
        <v/>
      </c>
      <c r="AA148" s="2" t="str">
        <f t="shared" si="7"/>
        <v/>
      </c>
      <c r="AB148" s="2" t="str">
        <f t="shared" si="8"/>
        <v>Fully Accessible</v>
      </c>
      <c r="AC148" s="2">
        <f t="shared" si="9"/>
        <v>0</v>
      </c>
      <c r="AE148" s="10" t="s">
        <v>208</v>
      </c>
      <c r="AF148" s="11" t="s">
        <v>51</v>
      </c>
      <c r="AH148" s="6" t="str">
        <f t="shared" si="10"/>
        <v>East Asia &amp; Pacific</v>
      </c>
      <c r="AI148" s="6"/>
      <c r="AJ148" s="6"/>
      <c r="AK148" s="10">
        <f t="shared" si="26"/>
        <v>7.8999999857387589E-7</v>
      </c>
      <c r="AL148" s="6"/>
      <c r="AM148" s="6"/>
      <c r="AN148" s="6"/>
      <c r="AO148" s="10">
        <f t="shared" si="12"/>
        <v>0</v>
      </c>
      <c r="AP148" s="6"/>
      <c r="AQ148" s="6"/>
      <c r="AR148" s="6"/>
      <c r="AS148" s="10">
        <f t="shared" si="15"/>
        <v>0</v>
      </c>
      <c r="AT148" s="6"/>
      <c r="AU148" s="6"/>
      <c r="AX148" s="2">
        <f t="shared" si="18"/>
        <v>11021.845702999999</v>
      </c>
      <c r="AY148" s="2">
        <f t="shared" si="19"/>
        <v>170.74200439000001</v>
      </c>
      <c r="AZ148" s="2">
        <f t="shared" si="20"/>
        <v>10851.103698609999</v>
      </c>
      <c r="BA148" s="16"/>
    </row>
    <row r="149" spans="1:53" x14ac:dyDescent="0.25">
      <c r="A149" s="2" t="s">
        <v>135</v>
      </c>
      <c r="B149" s="2">
        <v>2020</v>
      </c>
      <c r="C149" s="2">
        <v>5540.7177730000003</v>
      </c>
      <c r="D149" s="2">
        <v>85.517005920000003</v>
      </c>
      <c r="E149" s="2">
        <v>100.0000033</v>
      </c>
      <c r="F149" s="2">
        <v>0</v>
      </c>
      <c r="G149" s="2">
        <v>0</v>
      </c>
      <c r="H149" s="2">
        <v>0</v>
      </c>
      <c r="I149" s="2">
        <v>100</v>
      </c>
      <c r="J149" s="2">
        <v>0</v>
      </c>
      <c r="K149" s="2">
        <v>0</v>
      </c>
      <c r="L149" s="2">
        <v>0</v>
      </c>
      <c r="M149" s="2">
        <v>100</v>
      </c>
      <c r="N149" s="2">
        <v>0</v>
      </c>
      <c r="O149" s="2">
        <v>0</v>
      </c>
      <c r="P149" s="2">
        <v>0</v>
      </c>
      <c r="Q149" s="2" t="str">
        <f t="shared" si="0"/>
        <v>Finland|2020</v>
      </c>
      <c r="R149" s="2" t="str">
        <f t="shared" si="1"/>
        <v xml:space="preserve"> </v>
      </c>
      <c r="T149" s="2" t="b">
        <f t="shared" si="24"/>
        <v>0</v>
      </c>
      <c r="U149" s="2" t="b">
        <f t="shared" si="28"/>
        <v>0</v>
      </c>
      <c r="V149" s="2" t="b">
        <f t="shared" si="2"/>
        <v>0</v>
      </c>
      <c r="W149" s="2">
        <f t="shared" si="3"/>
        <v>100</v>
      </c>
      <c r="X149" s="2">
        <f t="shared" si="4"/>
        <v>100</v>
      </c>
      <c r="Y149" s="2">
        <f t="shared" si="5"/>
        <v>100</v>
      </c>
      <c r="Z149" s="2" t="str">
        <f t="shared" si="6"/>
        <v/>
      </c>
      <c r="AA149" s="2" t="str">
        <f t="shared" si="7"/>
        <v/>
      </c>
      <c r="AB149" s="2" t="str">
        <f t="shared" si="8"/>
        <v/>
      </c>
      <c r="AC149" s="2">
        <f t="shared" si="9"/>
        <v>0</v>
      </c>
      <c r="AE149" s="10" t="s">
        <v>209</v>
      </c>
      <c r="AF149" s="11" t="s">
        <v>57</v>
      </c>
      <c r="AH149" s="6" t="str">
        <f t="shared" si="10"/>
        <v>Latin America &amp; Caribbean</v>
      </c>
      <c r="AI149" s="6"/>
      <c r="AJ149" s="6"/>
      <c r="AK149" s="10">
        <f t="shared" si="26"/>
        <v>7.11250519999993E-2</v>
      </c>
      <c r="AL149" s="6"/>
      <c r="AM149" s="6"/>
      <c r="AN149" s="6"/>
      <c r="AO149" s="10">
        <f t="shared" si="12"/>
        <v>-7.9442242000000357E-2</v>
      </c>
      <c r="AP149" s="6"/>
      <c r="AQ149" s="6"/>
      <c r="AR149" s="6"/>
      <c r="AS149" s="10">
        <f t="shared" si="15"/>
        <v>3.2840345999997564E-2</v>
      </c>
      <c r="AT149" s="6"/>
      <c r="AU149" s="6"/>
      <c r="AX149" s="2" t="str">
        <f t="shared" si="18"/>
        <v>null</v>
      </c>
      <c r="AY149" s="2" t="str">
        <f t="shared" si="19"/>
        <v>null</v>
      </c>
      <c r="AZ149" s="2" t="str">
        <f t="shared" si="20"/>
        <v>null</v>
      </c>
      <c r="BA149" s="16"/>
    </row>
    <row r="150" spans="1:53" x14ac:dyDescent="0.25">
      <c r="A150" s="2" t="s">
        <v>136</v>
      </c>
      <c r="B150" s="2">
        <v>2015</v>
      </c>
      <c r="C150" s="2">
        <v>64453.195310000003</v>
      </c>
      <c r="D150" s="2">
        <v>79.65499878</v>
      </c>
      <c r="E150" s="2">
        <v>100</v>
      </c>
      <c r="F150" s="2">
        <v>0</v>
      </c>
      <c r="G150" s="2">
        <v>0</v>
      </c>
      <c r="H150" s="2">
        <v>0</v>
      </c>
      <c r="I150" s="2">
        <v>100</v>
      </c>
      <c r="J150" s="2">
        <v>0</v>
      </c>
      <c r="K150" s="2">
        <v>0</v>
      </c>
      <c r="L150" s="2">
        <v>0</v>
      </c>
      <c r="M150" s="2">
        <v>100</v>
      </c>
      <c r="N150" s="2">
        <v>0</v>
      </c>
      <c r="O150" s="2">
        <v>0</v>
      </c>
      <c r="P150" s="2">
        <v>0</v>
      </c>
      <c r="Q150" s="2" t="str">
        <f t="shared" si="0"/>
        <v>France|2015</v>
      </c>
      <c r="R150" s="2">
        <f t="shared" si="1"/>
        <v>5</v>
      </c>
      <c r="T150" s="2">
        <f t="shared" si="24"/>
        <v>-2.999999992425728E-7</v>
      </c>
      <c r="U150" s="2">
        <f t="shared" si="28"/>
        <v>0</v>
      </c>
      <c r="V150" s="2">
        <f t="shared" si="2"/>
        <v>0</v>
      </c>
      <c r="W150" s="2">
        <f t="shared" si="3"/>
        <v>100</v>
      </c>
      <c r="X150" s="2">
        <f t="shared" si="4"/>
        <v>100</v>
      </c>
      <c r="Y150" s="2">
        <f t="shared" si="5"/>
        <v>100</v>
      </c>
      <c r="Z150" s="2" t="str">
        <f t="shared" si="6"/>
        <v/>
      </c>
      <c r="AA150" s="2" t="str">
        <f t="shared" si="7"/>
        <v/>
      </c>
      <c r="AB150" s="2" t="str">
        <f t="shared" si="8"/>
        <v>Fully Accessible</v>
      </c>
      <c r="AC150" s="2">
        <f t="shared" si="9"/>
        <v>0</v>
      </c>
      <c r="AE150" s="10" t="s">
        <v>210</v>
      </c>
      <c r="AF150" s="11" t="s">
        <v>63</v>
      </c>
      <c r="AH150" s="6" t="str">
        <f t="shared" si="10"/>
        <v>Sub-Saharan Africa</v>
      </c>
      <c r="AI150" s="6"/>
      <c r="AJ150" s="6"/>
      <c r="AK150" s="10">
        <f t="shared" si="26"/>
        <v>0.28586788200000085</v>
      </c>
      <c r="AL150" s="6"/>
      <c r="AM150" s="6"/>
      <c r="AN150" s="6"/>
      <c r="AO150" s="10">
        <f t="shared" si="12"/>
        <v>0.36484353399999919</v>
      </c>
      <c r="AP150" s="6"/>
      <c r="AQ150" s="6"/>
      <c r="AR150" s="6"/>
      <c r="AS150" s="10">
        <f t="shared" si="15"/>
        <v>-0.33893985600000176</v>
      </c>
      <c r="AT150" s="6"/>
      <c r="AU150" s="6"/>
      <c r="AX150" s="2">
        <f t="shared" si="18"/>
        <v>129726.70703000001</v>
      </c>
      <c r="AY150" s="2">
        <f t="shared" si="19"/>
        <v>160.62999725</v>
      </c>
      <c r="AZ150" s="2">
        <f t="shared" si="20"/>
        <v>129566.07703275001</v>
      </c>
      <c r="BA150" s="6"/>
    </row>
    <row r="151" spans="1:53" x14ac:dyDescent="0.25">
      <c r="A151" s="2" t="s">
        <v>136</v>
      </c>
      <c r="B151" s="2">
        <v>2020</v>
      </c>
      <c r="C151" s="2">
        <v>65273.511720000002</v>
      </c>
      <c r="D151" s="2">
        <v>80.974998470000003</v>
      </c>
      <c r="E151" s="2">
        <v>99.999998500000004</v>
      </c>
      <c r="F151" s="2">
        <v>0</v>
      </c>
      <c r="G151" s="2">
        <v>1.49610841E-6</v>
      </c>
      <c r="H151" s="2">
        <v>0</v>
      </c>
      <c r="I151" s="2">
        <v>100</v>
      </c>
      <c r="J151" s="2">
        <v>0</v>
      </c>
      <c r="K151" s="2">
        <v>0</v>
      </c>
      <c r="L151" s="2">
        <v>0</v>
      </c>
      <c r="M151" s="2">
        <v>100</v>
      </c>
      <c r="N151" s="2">
        <v>0</v>
      </c>
      <c r="O151" s="2">
        <v>0</v>
      </c>
      <c r="P151" s="2">
        <v>0</v>
      </c>
      <c r="Q151" s="2" t="str">
        <f t="shared" si="0"/>
        <v>France|2020</v>
      </c>
      <c r="R151" s="2" t="str">
        <f t="shared" si="1"/>
        <v xml:space="preserve"> </v>
      </c>
      <c r="T151" s="2" t="b">
        <f t="shared" si="24"/>
        <v>0</v>
      </c>
      <c r="U151" s="2" t="b">
        <f t="shared" si="28"/>
        <v>0</v>
      </c>
      <c r="V151" s="2" t="b">
        <f t="shared" si="2"/>
        <v>0</v>
      </c>
      <c r="W151" s="2">
        <f t="shared" si="3"/>
        <v>100</v>
      </c>
      <c r="X151" s="2">
        <f t="shared" si="4"/>
        <v>100</v>
      </c>
      <c r="Y151" s="2">
        <f t="shared" si="5"/>
        <v>100</v>
      </c>
      <c r="Z151" s="2" t="str">
        <f t="shared" si="6"/>
        <v/>
      </c>
      <c r="AA151" s="2" t="str">
        <f t="shared" si="7"/>
        <v/>
      </c>
      <c r="AB151" s="2" t="str">
        <f t="shared" si="8"/>
        <v/>
      </c>
      <c r="AC151" s="2">
        <f t="shared" si="9"/>
        <v>0</v>
      </c>
      <c r="AE151" s="10" t="s">
        <v>211</v>
      </c>
      <c r="AF151" s="11" t="s">
        <v>63</v>
      </c>
      <c r="AH151" s="6" t="str">
        <f t="shared" si="10"/>
        <v>Sub-Saharan Africa</v>
      </c>
      <c r="AI151" s="6"/>
      <c r="AJ151" s="6"/>
      <c r="AK151" s="10">
        <f t="shared" si="26"/>
        <v>1.7658595840000004</v>
      </c>
      <c r="AL151" s="6"/>
      <c r="AM151" s="6"/>
      <c r="AN151" s="6"/>
      <c r="AO151" s="10">
        <f t="shared" si="12"/>
        <v>1.6331522059999997</v>
      </c>
      <c r="AP151" s="6"/>
      <c r="AQ151" s="6"/>
      <c r="AR151" s="6"/>
      <c r="AS151" s="10">
        <f t="shared" si="15"/>
        <v>1.381769374000001</v>
      </c>
      <c r="AT151" s="6"/>
      <c r="AU151" s="6"/>
      <c r="AX151" s="2" t="str">
        <f t="shared" si="18"/>
        <v>null</v>
      </c>
      <c r="AY151" s="2" t="str">
        <f t="shared" si="19"/>
        <v>null</v>
      </c>
      <c r="AZ151" s="2" t="str">
        <f t="shared" si="20"/>
        <v>null</v>
      </c>
      <c r="BA151" s="6"/>
    </row>
    <row r="152" spans="1:53" x14ac:dyDescent="0.25">
      <c r="A152" s="2" t="s">
        <v>137</v>
      </c>
      <c r="B152" s="2">
        <v>2015</v>
      </c>
      <c r="C152" s="2">
        <v>261.00799560000002</v>
      </c>
      <c r="D152" s="2">
        <v>84.482002260000002</v>
      </c>
      <c r="E152" s="2">
        <v>93.562056569999996</v>
      </c>
      <c r="F152" s="2">
        <v>0</v>
      </c>
      <c r="G152" s="2">
        <v>6.4379434250000003</v>
      </c>
      <c r="H152" s="2">
        <v>0</v>
      </c>
      <c r="I152" s="2" t="s">
        <v>64</v>
      </c>
      <c r="J152" s="2" t="s">
        <v>64</v>
      </c>
      <c r="K152" s="2" t="s">
        <v>64</v>
      </c>
      <c r="L152" s="2" t="s">
        <v>64</v>
      </c>
      <c r="M152" s="2" t="s">
        <v>64</v>
      </c>
      <c r="N152" s="2" t="s">
        <v>64</v>
      </c>
      <c r="O152" s="2" t="s">
        <v>64</v>
      </c>
      <c r="P152" s="2" t="s">
        <v>64</v>
      </c>
      <c r="Q152" s="2" t="str">
        <f t="shared" si="0"/>
        <v>French Guiana|2015</v>
      </c>
      <c r="R152" s="2">
        <f t="shared" si="1"/>
        <v>5</v>
      </c>
      <c r="T152" s="2">
        <f t="shared" si="24"/>
        <v>4.4031956000000608E-2</v>
      </c>
      <c r="U152" s="2" t="str">
        <f t="shared" si="28"/>
        <v>null</v>
      </c>
      <c r="V152" s="2" t="str">
        <f t="shared" si="2"/>
        <v>null</v>
      </c>
      <c r="W152" s="2">
        <f t="shared" si="3"/>
        <v>94</v>
      </c>
      <c r="X152" s="2" t="b">
        <f t="shared" si="4"/>
        <v>0</v>
      </c>
      <c r="Y152" s="2" t="b">
        <f t="shared" si="5"/>
        <v>0</v>
      </c>
      <c r="Z152" s="2" t="str">
        <f t="shared" si="6"/>
        <v/>
      </c>
      <c r="AA152" s="2" t="str">
        <f t="shared" si="7"/>
        <v>Fully Accessible</v>
      </c>
      <c r="AB152" s="2" t="str">
        <f t="shared" si="8"/>
        <v>Fully Accessible</v>
      </c>
      <c r="AC152" s="2" t="b">
        <f t="shared" si="9"/>
        <v>0</v>
      </c>
      <c r="AE152" s="10" t="s">
        <v>212</v>
      </c>
      <c r="AF152" s="11" t="s">
        <v>51</v>
      </c>
      <c r="AH152" s="6" t="str">
        <f t="shared" si="10"/>
        <v>East Asia &amp; Pacific</v>
      </c>
      <c r="AI152" s="6"/>
      <c r="AJ152" s="6"/>
      <c r="AK152" s="10">
        <f t="shared" si="26"/>
        <v>-0.1190526460000001</v>
      </c>
      <c r="AL152" s="6"/>
      <c r="AM152" s="6"/>
      <c r="AN152" s="6"/>
      <c r="AO152" s="10">
        <f t="shared" si="12"/>
        <v>0</v>
      </c>
      <c r="AP152" s="6"/>
      <c r="AQ152" s="6"/>
      <c r="AR152" s="6"/>
      <c r="AS152" s="10">
        <f t="shared" si="15"/>
        <v>0</v>
      </c>
      <c r="AT152" s="6"/>
      <c r="AU152" s="6"/>
      <c r="AX152" s="2">
        <f t="shared" si="18"/>
        <v>559.69000240000003</v>
      </c>
      <c r="AY152" s="2">
        <f t="shared" si="19"/>
        <v>170.30200195</v>
      </c>
      <c r="AZ152" s="2">
        <f t="shared" si="20"/>
        <v>389.38800045000005</v>
      </c>
      <c r="BA152" s="6"/>
    </row>
    <row r="153" spans="1:53" x14ac:dyDescent="0.25">
      <c r="A153" s="2" t="s">
        <v>137</v>
      </c>
      <c r="B153" s="2">
        <v>2020</v>
      </c>
      <c r="C153" s="2">
        <v>298.68200680000001</v>
      </c>
      <c r="D153" s="2">
        <v>85.819999690000003</v>
      </c>
      <c r="E153" s="2">
        <v>93.782216349999999</v>
      </c>
      <c r="F153" s="2">
        <v>0</v>
      </c>
      <c r="G153" s="2">
        <v>6.2177836519999996</v>
      </c>
      <c r="H153" s="2">
        <v>0</v>
      </c>
      <c r="I153" s="2" t="s">
        <v>64</v>
      </c>
      <c r="J153" s="2" t="s">
        <v>64</v>
      </c>
      <c r="K153" s="2" t="s">
        <v>64</v>
      </c>
      <c r="L153" s="2" t="s">
        <v>64</v>
      </c>
      <c r="M153" s="2" t="s">
        <v>64</v>
      </c>
      <c r="N153" s="2" t="s">
        <v>64</v>
      </c>
      <c r="O153" s="2" t="s">
        <v>64</v>
      </c>
      <c r="P153" s="2" t="s">
        <v>64</v>
      </c>
      <c r="Q153" s="2" t="str">
        <f t="shared" si="0"/>
        <v>French Guiana|2020</v>
      </c>
      <c r="R153" s="2" t="str">
        <f t="shared" si="1"/>
        <v xml:space="preserve"> </v>
      </c>
      <c r="T153" s="2" t="b">
        <f t="shared" si="24"/>
        <v>0</v>
      </c>
      <c r="U153" s="2" t="b">
        <f t="shared" si="28"/>
        <v>0</v>
      </c>
      <c r="V153" s="2" t="b">
        <f t="shared" si="2"/>
        <v>0</v>
      </c>
      <c r="W153" s="2">
        <f t="shared" si="3"/>
        <v>94</v>
      </c>
      <c r="X153" s="2" t="b">
        <f t="shared" si="4"/>
        <v>0</v>
      </c>
      <c r="Y153" s="2" t="b">
        <f t="shared" si="5"/>
        <v>0</v>
      </c>
      <c r="Z153" s="2" t="str">
        <f t="shared" si="6"/>
        <v/>
      </c>
      <c r="AA153" s="2" t="str">
        <f t="shared" si="7"/>
        <v/>
      </c>
      <c r="AB153" s="2" t="str">
        <f t="shared" si="8"/>
        <v/>
      </c>
      <c r="AC153" s="2">
        <f t="shared" si="9"/>
        <v>0</v>
      </c>
      <c r="AE153" s="10" t="s">
        <v>213</v>
      </c>
      <c r="AF153" s="11" t="s">
        <v>53</v>
      </c>
      <c r="AH153" s="6" t="str">
        <f t="shared" si="10"/>
        <v>Europe &amp; Central Asia</v>
      </c>
      <c r="AI153" s="6"/>
      <c r="AJ153" s="6"/>
      <c r="AK153" s="10">
        <f t="shared" si="26"/>
        <v>5.4096591999999076E-2</v>
      </c>
      <c r="AL153" s="6"/>
      <c r="AM153" s="6"/>
      <c r="AN153" s="6"/>
      <c r="AO153" s="10">
        <f t="shared" si="12"/>
        <v>-3.2903711999998107E-2</v>
      </c>
      <c r="AP153" s="6"/>
      <c r="AQ153" s="6"/>
      <c r="AR153" s="6"/>
      <c r="AS153" s="10">
        <f t="shared" si="15"/>
        <v>0.11688898200000039</v>
      </c>
      <c r="AT153" s="6"/>
      <c r="AU153" s="6"/>
      <c r="AX153" s="2" t="str">
        <f t="shared" si="18"/>
        <v>null</v>
      </c>
      <c r="AY153" s="2" t="str">
        <f t="shared" si="19"/>
        <v>null</v>
      </c>
      <c r="AZ153" s="2" t="str">
        <f t="shared" si="20"/>
        <v>null</v>
      </c>
      <c r="BA153" s="6"/>
    </row>
    <row r="154" spans="1:53" x14ac:dyDescent="0.25">
      <c r="A154" s="2" t="s">
        <v>138</v>
      </c>
      <c r="B154" s="2">
        <v>2015</v>
      </c>
      <c r="C154" s="2">
        <v>273.118988</v>
      </c>
      <c r="D154" s="2">
        <v>61.683002469999998</v>
      </c>
      <c r="E154" s="2">
        <v>100</v>
      </c>
      <c r="F154" s="2">
        <v>0</v>
      </c>
      <c r="G154" s="2">
        <v>0</v>
      </c>
      <c r="H154" s="2">
        <v>0</v>
      </c>
      <c r="I154" s="2" t="s">
        <v>64</v>
      </c>
      <c r="J154" s="2" t="s">
        <v>64</v>
      </c>
      <c r="K154" s="2" t="s">
        <v>64</v>
      </c>
      <c r="L154" s="2" t="s">
        <v>64</v>
      </c>
      <c r="M154" s="2" t="s">
        <v>64</v>
      </c>
      <c r="N154" s="2" t="s">
        <v>64</v>
      </c>
      <c r="O154" s="2" t="s">
        <v>64</v>
      </c>
      <c r="P154" s="2" t="s">
        <v>64</v>
      </c>
      <c r="Q154" s="2" t="str">
        <f t="shared" si="0"/>
        <v>French Polynesia|2015</v>
      </c>
      <c r="R154" s="2">
        <f t="shared" si="1"/>
        <v>5</v>
      </c>
      <c r="T154" s="2">
        <f t="shared" si="24"/>
        <v>0</v>
      </c>
      <c r="U154" s="2" t="str">
        <f t="shared" si="28"/>
        <v>null</v>
      </c>
      <c r="V154" s="2" t="str">
        <f t="shared" si="2"/>
        <v>null</v>
      </c>
      <c r="W154" s="2">
        <f t="shared" si="3"/>
        <v>100</v>
      </c>
      <c r="X154" s="2" t="b">
        <f t="shared" si="4"/>
        <v>0</v>
      </c>
      <c r="Y154" s="2" t="b">
        <f t="shared" si="5"/>
        <v>0</v>
      </c>
      <c r="Z154" s="2" t="str">
        <f t="shared" si="6"/>
        <v/>
      </c>
      <c r="AA154" s="2" t="str">
        <f t="shared" si="7"/>
        <v>Fully Accessible</v>
      </c>
      <c r="AB154" s="2" t="str">
        <f t="shared" si="8"/>
        <v>Fully Accessible</v>
      </c>
      <c r="AC154" s="2" t="b">
        <f t="shared" si="9"/>
        <v>0</v>
      </c>
      <c r="AE154" s="10" t="s">
        <v>214</v>
      </c>
      <c r="AF154" s="11" t="s">
        <v>51</v>
      </c>
      <c r="AH154" s="6" t="str">
        <f t="shared" si="10"/>
        <v>East Asia &amp; Pacific</v>
      </c>
      <c r="AI154" s="6"/>
      <c r="AJ154" s="6"/>
      <c r="AK154" s="10">
        <f t="shared" si="26"/>
        <v>3.9633220000013123E-3</v>
      </c>
      <c r="AL154" s="6"/>
      <c r="AM154" s="6"/>
      <c r="AN154" s="6"/>
      <c r="AO154" s="10">
        <f t="shared" si="12"/>
        <v>0</v>
      </c>
      <c r="AP154" s="6"/>
      <c r="AQ154" s="6"/>
      <c r="AR154" s="6"/>
      <c r="AS154" s="10">
        <f t="shared" si="15"/>
        <v>0</v>
      </c>
      <c r="AT154" s="6"/>
      <c r="AU154" s="6"/>
      <c r="AX154" s="2">
        <f t="shared" si="18"/>
        <v>554.02297969999995</v>
      </c>
      <c r="AY154" s="2">
        <f t="shared" si="19"/>
        <v>123.65800476</v>
      </c>
      <c r="AZ154" s="2">
        <f t="shared" si="20"/>
        <v>430.36497493999997</v>
      </c>
      <c r="BA154" s="16"/>
    </row>
    <row r="155" spans="1:53" x14ac:dyDescent="0.25">
      <c r="A155" s="2" t="s">
        <v>138</v>
      </c>
      <c r="B155" s="2">
        <v>2020</v>
      </c>
      <c r="C155" s="2">
        <v>280.90399170000001</v>
      </c>
      <c r="D155" s="2">
        <v>61.975002289999999</v>
      </c>
      <c r="E155" s="2">
        <v>100</v>
      </c>
      <c r="F155" s="2">
        <v>0</v>
      </c>
      <c r="G155" s="2">
        <v>0</v>
      </c>
      <c r="H155" s="2">
        <v>0</v>
      </c>
      <c r="I155" s="2" t="s">
        <v>64</v>
      </c>
      <c r="J155" s="2" t="s">
        <v>64</v>
      </c>
      <c r="K155" s="2" t="s">
        <v>64</v>
      </c>
      <c r="L155" s="2" t="s">
        <v>64</v>
      </c>
      <c r="M155" s="2" t="s">
        <v>64</v>
      </c>
      <c r="N155" s="2" t="s">
        <v>64</v>
      </c>
      <c r="O155" s="2" t="s">
        <v>64</v>
      </c>
      <c r="P155" s="2" t="s">
        <v>64</v>
      </c>
      <c r="Q155" s="2" t="str">
        <f t="shared" si="0"/>
        <v>French Polynesia|2020</v>
      </c>
      <c r="R155" s="2" t="str">
        <f t="shared" si="1"/>
        <v xml:space="preserve"> </v>
      </c>
      <c r="T155" s="2" t="b">
        <f t="shared" si="24"/>
        <v>0</v>
      </c>
      <c r="U155" s="2" t="b">
        <f t="shared" si="28"/>
        <v>0</v>
      </c>
      <c r="V155" s="2" t="b">
        <f t="shared" si="2"/>
        <v>0</v>
      </c>
      <c r="W155" s="2">
        <f t="shared" si="3"/>
        <v>100</v>
      </c>
      <c r="X155" s="2" t="b">
        <f t="shared" si="4"/>
        <v>0</v>
      </c>
      <c r="Y155" s="2" t="b">
        <f t="shared" si="5"/>
        <v>0</v>
      </c>
      <c r="Z155" s="2" t="str">
        <f t="shared" si="6"/>
        <v/>
      </c>
      <c r="AA155" s="2" t="str">
        <f t="shared" si="7"/>
        <v/>
      </c>
      <c r="AB155" s="2" t="str">
        <f t="shared" si="8"/>
        <v/>
      </c>
      <c r="AC155" s="2">
        <f t="shared" si="9"/>
        <v>0</v>
      </c>
      <c r="AE155" s="10" t="s">
        <v>215</v>
      </c>
      <c r="AF155" s="11" t="s">
        <v>53</v>
      </c>
      <c r="AH155" s="6" t="str">
        <f t="shared" si="10"/>
        <v>Europe &amp; Central Asia</v>
      </c>
      <c r="AI155" s="6"/>
      <c r="AJ155" s="6"/>
      <c r="AK155" s="10">
        <f t="shared" si="26"/>
        <v>-1.1400000005323819E-6</v>
      </c>
      <c r="AL155" s="6"/>
      <c r="AM155" s="6"/>
      <c r="AN155" s="6"/>
      <c r="AO155" s="10">
        <f t="shared" si="12"/>
        <v>0</v>
      </c>
      <c r="AP155" s="6"/>
      <c r="AQ155" s="6"/>
      <c r="AR155" s="6"/>
      <c r="AS155" s="10">
        <f t="shared" si="15"/>
        <v>0</v>
      </c>
      <c r="AT155" s="6"/>
      <c r="AU155" s="6"/>
      <c r="AX155" s="2" t="str">
        <f t="shared" si="18"/>
        <v>null</v>
      </c>
      <c r="AY155" s="2" t="str">
        <f t="shared" si="19"/>
        <v>null</v>
      </c>
      <c r="AZ155" s="2" t="str">
        <f t="shared" si="20"/>
        <v>null</v>
      </c>
      <c r="BA155" s="6"/>
    </row>
    <row r="156" spans="1:53" x14ac:dyDescent="0.25">
      <c r="A156" s="2" t="s">
        <v>139</v>
      </c>
      <c r="B156" s="2">
        <v>2015</v>
      </c>
      <c r="C156" s="2">
        <v>1947.6899410000001</v>
      </c>
      <c r="D156" s="2">
        <v>88.117996219999995</v>
      </c>
      <c r="E156" s="2">
        <v>83.858486549999995</v>
      </c>
      <c r="F156" s="2">
        <v>7.7224304339999996</v>
      </c>
      <c r="G156" s="2">
        <v>4.9241821100000003</v>
      </c>
      <c r="H156" s="2">
        <v>3.4949009009999998</v>
      </c>
      <c r="I156" s="2">
        <v>43.390033160000002</v>
      </c>
      <c r="J156" s="2">
        <v>10.192647770000001</v>
      </c>
      <c r="K156" s="2">
        <v>21.81093263</v>
      </c>
      <c r="L156" s="2">
        <v>24.606386440000001</v>
      </c>
      <c r="M156" s="2">
        <v>89.315331869999994</v>
      </c>
      <c r="N156" s="2">
        <v>7.3893416170000004</v>
      </c>
      <c r="O156" s="2">
        <v>2.6471391450000001</v>
      </c>
      <c r="P156" s="2">
        <v>0.6481873668</v>
      </c>
      <c r="Q156" s="2" t="str">
        <f t="shared" si="0"/>
        <v>Gabon|2015</v>
      </c>
      <c r="R156" s="2">
        <f t="shared" si="1"/>
        <v>5</v>
      </c>
      <c r="T156" s="2">
        <f t="shared" si="24"/>
        <v>0.29668881000000058</v>
      </c>
      <c r="U156" s="2">
        <f t="shared" si="28"/>
        <v>0.27117116999999952</v>
      </c>
      <c r="V156" s="2">
        <f t="shared" si="2"/>
        <v>9.824145999999985E-2</v>
      </c>
      <c r="W156" s="2">
        <f t="shared" si="3"/>
        <v>84</v>
      </c>
      <c r="X156" s="2">
        <f t="shared" si="4"/>
        <v>43</v>
      </c>
      <c r="Y156" s="2">
        <f t="shared" si="5"/>
        <v>89</v>
      </c>
      <c r="Z156" s="2" t="str">
        <f t="shared" si="6"/>
        <v/>
      </c>
      <c r="AA156" s="2" t="str">
        <f t="shared" si="7"/>
        <v/>
      </c>
      <c r="AB156" s="2" t="str">
        <f t="shared" si="8"/>
        <v>Fully Accessible</v>
      </c>
      <c r="AC156" s="2">
        <f t="shared" si="9"/>
        <v>0.17292970999999968</v>
      </c>
      <c r="AE156" s="10" t="s">
        <v>216</v>
      </c>
      <c r="AF156" s="11" t="s">
        <v>56</v>
      </c>
      <c r="AH156" s="6" t="str">
        <f t="shared" si="10"/>
        <v>Middle East &amp; North Africa</v>
      </c>
      <c r="AI156" s="6"/>
      <c r="AJ156" s="6"/>
      <c r="AK156" s="10">
        <f t="shared" si="26"/>
        <v>0.38590781000000052</v>
      </c>
      <c r="AL156" s="6"/>
      <c r="AM156" s="6"/>
      <c r="AN156" s="6"/>
      <c r="AO156" s="10">
        <f t="shared" si="12"/>
        <v>0.37677429000000018</v>
      </c>
      <c r="AP156" s="6"/>
      <c r="AQ156" s="6"/>
      <c r="AR156" s="6"/>
      <c r="AS156" s="10">
        <f t="shared" si="15"/>
        <v>0.1645709839999995</v>
      </c>
      <c r="AT156" s="6"/>
      <c r="AU156" s="6"/>
      <c r="AX156" s="2">
        <f t="shared" si="18"/>
        <v>4173.4179679999997</v>
      </c>
      <c r="AY156" s="2">
        <f t="shared" si="19"/>
        <v>178.20999909</v>
      </c>
      <c r="AZ156" s="2">
        <f t="shared" si="20"/>
        <v>3995.2079689099996</v>
      </c>
      <c r="BA156" s="16"/>
    </row>
    <row r="157" spans="1:53" x14ac:dyDescent="0.25">
      <c r="A157" s="2" t="s">
        <v>139</v>
      </c>
      <c r="B157" s="2">
        <v>2020</v>
      </c>
      <c r="C157" s="2">
        <v>2225.7280270000001</v>
      </c>
      <c r="D157" s="2">
        <v>90.092002870000002</v>
      </c>
      <c r="E157" s="2">
        <v>85.341930599999998</v>
      </c>
      <c r="F157" s="2">
        <v>7.7352631030000003</v>
      </c>
      <c r="G157" s="2">
        <v>6.9228083570000001</v>
      </c>
      <c r="H157" s="2" t="s">
        <v>64</v>
      </c>
      <c r="I157" s="2">
        <v>44.745889009999999</v>
      </c>
      <c r="J157" s="2">
        <v>10.511148589999999</v>
      </c>
      <c r="K157" s="2">
        <v>44.742962400000003</v>
      </c>
      <c r="L157" s="2" t="s">
        <v>64</v>
      </c>
      <c r="M157" s="2">
        <v>89.806539169999994</v>
      </c>
      <c r="N157" s="2">
        <v>7.4299807600000003</v>
      </c>
      <c r="O157" s="2">
        <v>2.7634800720000001</v>
      </c>
      <c r="P157" s="2" t="s">
        <v>64</v>
      </c>
      <c r="Q157" s="2" t="str">
        <f t="shared" si="0"/>
        <v>Gabon|2020</v>
      </c>
      <c r="R157" s="2" t="str">
        <f t="shared" si="1"/>
        <v xml:space="preserve"> </v>
      </c>
      <c r="T157" s="2" t="b">
        <f t="shared" si="24"/>
        <v>0</v>
      </c>
      <c r="U157" s="2" t="b">
        <f t="shared" si="28"/>
        <v>0</v>
      </c>
      <c r="V157" s="2" t="b">
        <f t="shared" si="2"/>
        <v>0</v>
      </c>
      <c r="W157" s="2">
        <f t="shared" si="3"/>
        <v>85</v>
      </c>
      <c r="X157" s="2">
        <f t="shared" si="4"/>
        <v>45</v>
      </c>
      <c r="Y157" s="2">
        <f t="shared" si="5"/>
        <v>90</v>
      </c>
      <c r="Z157" s="2" t="str">
        <f t="shared" si="6"/>
        <v/>
      </c>
      <c r="AA157" s="2" t="str">
        <f t="shared" si="7"/>
        <v/>
      </c>
      <c r="AB157" s="2" t="str">
        <f t="shared" si="8"/>
        <v/>
      </c>
      <c r="AC157" s="2">
        <f t="shared" si="9"/>
        <v>0</v>
      </c>
      <c r="AE157" s="10" t="s">
        <v>217</v>
      </c>
      <c r="AF157" s="11" t="s">
        <v>50</v>
      </c>
      <c r="AH157" s="6" t="str">
        <f t="shared" si="10"/>
        <v>South Asia</v>
      </c>
      <c r="AI157" s="6"/>
      <c r="AJ157" s="6"/>
      <c r="AK157" s="10">
        <f t="shared" si="26"/>
        <v>0.13879654799999913</v>
      </c>
      <c r="AL157" s="6"/>
      <c r="AM157" s="6"/>
      <c r="AN157" s="6"/>
      <c r="AO157" s="10">
        <f t="shared" si="12"/>
        <v>0.28978079999999978</v>
      </c>
      <c r="AP157" s="6"/>
      <c r="AQ157" s="6"/>
      <c r="AR157" s="6"/>
      <c r="AS157" s="10">
        <f t="shared" si="15"/>
        <v>-0.15567179800000019</v>
      </c>
      <c r="AT157" s="6"/>
      <c r="AU157" s="6"/>
      <c r="AX157" s="2" t="str">
        <f t="shared" si="18"/>
        <v>null</v>
      </c>
      <c r="AY157" s="2" t="str">
        <f t="shared" si="19"/>
        <v>null</v>
      </c>
      <c r="AZ157" s="2" t="str">
        <f t="shared" si="20"/>
        <v>null</v>
      </c>
      <c r="BA157" s="16"/>
    </row>
    <row r="158" spans="1:53" x14ac:dyDescent="0.25">
      <c r="A158" s="2" t="s">
        <v>140</v>
      </c>
      <c r="B158" s="2">
        <v>2015</v>
      </c>
      <c r="C158" s="2">
        <v>2085.860107</v>
      </c>
      <c r="D158" s="2">
        <v>59.228000639999998</v>
      </c>
      <c r="E158" s="2">
        <v>79.2101665</v>
      </c>
      <c r="F158" s="2">
        <v>9.0733700059999993</v>
      </c>
      <c r="G158" s="2">
        <v>11.624014620000001</v>
      </c>
      <c r="H158" s="2">
        <v>9.2448870380000006E-2</v>
      </c>
      <c r="I158" s="2">
        <v>68.254892569999996</v>
      </c>
      <c r="J158" s="2">
        <v>15.340084539999999</v>
      </c>
      <c r="K158" s="2">
        <v>16.322389959999999</v>
      </c>
      <c r="L158" s="2">
        <v>8.263292471E-2</v>
      </c>
      <c r="M158" s="2">
        <v>86.751671259999995</v>
      </c>
      <c r="N158" s="2">
        <v>4.7594215670000004</v>
      </c>
      <c r="O158" s="2">
        <v>8.3897011020000001</v>
      </c>
      <c r="P158" s="2">
        <v>9.9206071500000007E-2</v>
      </c>
      <c r="Q158" s="2" t="str">
        <f t="shared" si="0"/>
        <v>Gambia|2015</v>
      </c>
      <c r="R158" s="2">
        <f t="shared" si="1"/>
        <v>5</v>
      </c>
      <c r="T158" s="2">
        <f t="shared" si="24"/>
        <v>0.34604812800000107</v>
      </c>
      <c r="U158" s="2">
        <f t="shared" si="28"/>
        <v>0.18672612800000082</v>
      </c>
      <c r="V158" s="2">
        <f t="shared" si="2"/>
        <v>0.24304660200000114</v>
      </c>
      <c r="W158" s="2">
        <f t="shared" si="3"/>
        <v>79</v>
      </c>
      <c r="X158" s="2">
        <f t="shared" si="4"/>
        <v>68</v>
      </c>
      <c r="Y158" s="2">
        <f t="shared" si="5"/>
        <v>87</v>
      </c>
      <c r="Z158" s="2" t="str">
        <f t="shared" si="6"/>
        <v/>
      </c>
      <c r="AA158" s="2" t="str">
        <f t="shared" si="7"/>
        <v/>
      </c>
      <c r="AB158" s="2" t="str">
        <f t="shared" si="8"/>
        <v>Fully Accessible</v>
      </c>
      <c r="AC158" s="2">
        <f t="shared" si="9"/>
        <v>-5.6320474000000315E-2</v>
      </c>
      <c r="AE158" s="10" t="s">
        <v>218</v>
      </c>
      <c r="AF158" s="11" t="s">
        <v>51</v>
      </c>
      <c r="AH158" s="6" t="str">
        <f t="shared" si="10"/>
        <v>East Asia &amp; Pacific</v>
      </c>
      <c r="AI158" s="6"/>
      <c r="AJ158" s="6"/>
      <c r="AK158" s="10">
        <f t="shared" si="26"/>
        <v>5.4789299999981724E-3</v>
      </c>
      <c r="AL158" s="6"/>
      <c r="AM158" s="6"/>
      <c r="AN158" s="6"/>
      <c r="AO158" s="10">
        <f t="shared" si="12"/>
        <v>2.8622709999999073E-2</v>
      </c>
      <c r="AP158" s="6"/>
      <c r="AQ158" s="6"/>
      <c r="AR158" s="6"/>
      <c r="AS158" s="10">
        <f t="shared" si="15"/>
        <v>-9.9948000001859325E-5</v>
      </c>
      <c r="AT158" s="6"/>
      <c r="AU158" s="6"/>
      <c r="AX158" s="2">
        <f t="shared" si="18"/>
        <v>4502.5241700000006</v>
      </c>
      <c r="AY158" s="2">
        <f t="shared" si="19"/>
        <v>121.80999756</v>
      </c>
      <c r="AZ158" s="2">
        <f t="shared" si="20"/>
        <v>4380.7141724400008</v>
      </c>
      <c r="BA158" s="6"/>
    </row>
    <row r="159" spans="1:53" x14ac:dyDescent="0.25">
      <c r="A159" s="2" t="s">
        <v>140</v>
      </c>
      <c r="B159" s="2">
        <v>2020</v>
      </c>
      <c r="C159" s="2">
        <v>2416.6640630000002</v>
      </c>
      <c r="D159" s="2">
        <v>62.581996920000002</v>
      </c>
      <c r="E159" s="2">
        <v>80.940407140000005</v>
      </c>
      <c r="F159" s="2">
        <v>8.5973913910000004</v>
      </c>
      <c r="G159" s="2">
        <v>10.352852070000001</v>
      </c>
      <c r="H159" s="2">
        <v>0.10934939270000001</v>
      </c>
      <c r="I159" s="2">
        <v>69.18852321</v>
      </c>
      <c r="J159" s="2">
        <v>16.497832389999999</v>
      </c>
      <c r="K159" s="2">
        <v>14.24376547</v>
      </c>
      <c r="L159" s="2">
        <v>6.9878936799999999E-2</v>
      </c>
      <c r="M159" s="2">
        <v>87.966904270000001</v>
      </c>
      <c r="N159" s="2">
        <v>3.8736895219999998</v>
      </c>
      <c r="O159" s="2">
        <v>8.0264572780000005</v>
      </c>
      <c r="P159" s="2">
        <v>0.13294892529999999</v>
      </c>
      <c r="Q159" s="2" t="str">
        <f t="shared" si="0"/>
        <v>Gambia|2020</v>
      </c>
      <c r="R159" s="2" t="str">
        <f t="shared" si="1"/>
        <v xml:space="preserve"> </v>
      </c>
      <c r="T159" s="2" t="b">
        <f t="shared" si="24"/>
        <v>0</v>
      </c>
      <c r="U159" s="2" t="b">
        <f t="shared" si="28"/>
        <v>0</v>
      </c>
      <c r="V159" s="2" t="b">
        <f t="shared" si="2"/>
        <v>0</v>
      </c>
      <c r="W159" s="2">
        <f t="shared" si="3"/>
        <v>81</v>
      </c>
      <c r="X159" s="2">
        <f t="shared" si="4"/>
        <v>69</v>
      </c>
      <c r="Y159" s="2">
        <f t="shared" si="5"/>
        <v>88</v>
      </c>
      <c r="Z159" s="2" t="str">
        <f t="shared" si="6"/>
        <v/>
      </c>
      <c r="AA159" s="2" t="str">
        <f t="shared" si="7"/>
        <v/>
      </c>
      <c r="AB159" s="2" t="str">
        <f t="shared" si="8"/>
        <v/>
      </c>
      <c r="AC159" s="2">
        <f t="shared" si="9"/>
        <v>0</v>
      </c>
      <c r="AE159" s="10" t="s">
        <v>219</v>
      </c>
      <c r="AF159" s="11" t="s">
        <v>57</v>
      </c>
      <c r="AH159" s="6" t="str">
        <f t="shared" si="10"/>
        <v>Latin America &amp; Caribbean</v>
      </c>
      <c r="AI159" s="6"/>
      <c r="AJ159" s="6"/>
      <c r="AK159" s="10">
        <f t="shared" si="26"/>
        <v>0.29363575000000142</v>
      </c>
      <c r="AL159" s="6"/>
      <c r="AM159" s="6"/>
      <c r="AN159" s="6"/>
      <c r="AO159" s="10">
        <f t="shared" si="12"/>
        <v>0.52870074600000128</v>
      </c>
      <c r="AP159" s="6"/>
      <c r="AQ159" s="6"/>
      <c r="AR159" s="6"/>
      <c r="AS159" s="10">
        <f t="shared" si="15"/>
        <v>0.11564305600000183</v>
      </c>
      <c r="AT159" s="6"/>
      <c r="AU159" s="6"/>
      <c r="AX159" s="2" t="str">
        <f t="shared" si="18"/>
        <v>null</v>
      </c>
      <c r="AY159" s="2" t="str">
        <f t="shared" si="19"/>
        <v>null</v>
      </c>
      <c r="AZ159" s="2" t="str">
        <f t="shared" si="20"/>
        <v>null</v>
      </c>
      <c r="BA159" s="6"/>
    </row>
    <row r="160" spans="1:53" x14ac:dyDescent="0.25">
      <c r="A160" s="2" t="s">
        <v>141</v>
      </c>
      <c r="B160" s="2">
        <v>2015</v>
      </c>
      <c r="C160" s="2">
        <v>4024.179932</v>
      </c>
      <c r="D160" s="2">
        <v>57.447998050000002</v>
      </c>
      <c r="E160" s="2">
        <v>95.754729510000004</v>
      </c>
      <c r="F160" s="2">
        <v>0.95196455830000004</v>
      </c>
      <c r="G160" s="2">
        <v>3.2398949309999998</v>
      </c>
      <c r="H160" s="2">
        <v>5.3410995400000001E-2</v>
      </c>
      <c r="I160" s="2">
        <v>91.295150590000006</v>
      </c>
      <c r="J160" s="2">
        <v>1.893756292</v>
      </c>
      <c r="K160" s="2">
        <v>6.7002163880000003</v>
      </c>
      <c r="L160" s="2">
        <v>0.1108767321</v>
      </c>
      <c r="M160" s="2">
        <v>99.057965449999998</v>
      </c>
      <c r="N160" s="2">
        <v>0.25437508559999999</v>
      </c>
      <c r="O160" s="2">
        <v>0.67681360540000002</v>
      </c>
      <c r="P160" s="2">
        <v>1.084585945E-2</v>
      </c>
      <c r="Q160" s="2" t="str">
        <f t="shared" si="0"/>
        <v>Georgia|2015</v>
      </c>
      <c r="R160" s="2">
        <f t="shared" si="1"/>
        <v>5</v>
      </c>
      <c r="T160" s="2">
        <f t="shared" si="24"/>
        <v>0.31868203800000006</v>
      </c>
      <c r="U160" s="2">
        <f t="shared" si="28"/>
        <v>0.59534672199999927</v>
      </c>
      <c r="V160" s="2">
        <f t="shared" si="2"/>
        <v>7.7637698000000907E-2</v>
      </c>
      <c r="W160" s="2">
        <f t="shared" si="3"/>
        <v>96</v>
      </c>
      <c r="X160" s="2">
        <f t="shared" si="4"/>
        <v>91</v>
      </c>
      <c r="Y160" s="2">
        <f t="shared" si="5"/>
        <v>99</v>
      </c>
      <c r="Z160" s="2" t="str">
        <f t="shared" si="6"/>
        <v/>
      </c>
      <c r="AA160" s="2" t="str">
        <f t="shared" si="7"/>
        <v/>
      </c>
      <c r="AB160" s="2" t="str">
        <f t="shared" si="8"/>
        <v>Fully Accessible</v>
      </c>
      <c r="AC160" s="2">
        <f t="shared" si="9"/>
        <v>0.51770902399999841</v>
      </c>
      <c r="AE160" s="10" t="s">
        <v>220</v>
      </c>
      <c r="AF160" s="11" t="s">
        <v>51</v>
      </c>
      <c r="AH160" s="6" t="str">
        <f t="shared" si="10"/>
        <v>East Asia &amp; Pacific</v>
      </c>
      <c r="AI160" s="6"/>
      <c r="AJ160" s="6"/>
      <c r="AK160" s="10">
        <f t="shared" si="26"/>
        <v>0.77170181600000087</v>
      </c>
      <c r="AL160" s="6"/>
      <c r="AM160" s="6"/>
      <c r="AN160" s="6"/>
      <c r="AO160" s="10">
        <f t="shared" si="12"/>
        <v>0.81614213399999902</v>
      </c>
      <c r="AP160" s="6"/>
      <c r="AQ160" s="6"/>
      <c r="AR160" s="6"/>
      <c r="AS160" s="10">
        <f t="shared" si="15"/>
        <v>0.2340257159999993</v>
      </c>
      <c r="AT160" s="6"/>
      <c r="AU160" s="6"/>
      <c r="AX160" s="2">
        <f t="shared" si="18"/>
        <v>8013.3549810000004</v>
      </c>
      <c r="AY160" s="2">
        <f t="shared" si="19"/>
        <v>116.90099334999999</v>
      </c>
      <c r="AZ160" s="2">
        <f t="shared" si="20"/>
        <v>7896.4539876500003</v>
      </c>
      <c r="BA160" s="6"/>
    </row>
    <row r="161" spans="1:53" x14ac:dyDescent="0.25">
      <c r="A161" s="2" t="s">
        <v>141</v>
      </c>
      <c r="B161" s="2">
        <v>2020</v>
      </c>
      <c r="C161" s="2">
        <v>3989.1750489999999</v>
      </c>
      <c r="D161" s="2">
        <v>59.452995299999998</v>
      </c>
      <c r="E161" s="2">
        <v>97.348139700000004</v>
      </c>
      <c r="F161" s="2">
        <v>0</v>
      </c>
      <c r="G161" s="2">
        <v>2.6327613790000002</v>
      </c>
      <c r="H161" s="2">
        <v>1.9098923269999998E-2</v>
      </c>
      <c r="I161" s="2">
        <v>94.271884200000002</v>
      </c>
      <c r="J161" s="2">
        <v>0</v>
      </c>
      <c r="K161" s="2">
        <v>5.7039236180000001</v>
      </c>
      <c r="L161" s="2">
        <v>2.4192183450000002E-2</v>
      </c>
      <c r="M161" s="2">
        <v>99.446153940000002</v>
      </c>
      <c r="N161" s="2">
        <v>0</v>
      </c>
      <c r="O161" s="2">
        <v>0.53822074200000003</v>
      </c>
      <c r="P161" s="2">
        <v>1.5625315859999999E-2</v>
      </c>
      <c r="Q161" s="2" t="str">
        <f t="shared" si="0"/>
        <v>Georgia|2020</v>
      </c>
      <c r="R161" s="2" t="str">
        <f t="shared" si="1"/>
        <v xml:space="preserve"> </v>
      </c>
      <c r="T161" s="2" t="b">
        <f t="shared" si="24"/>
        <v>0</v>
      </c>
      <c r="U161" s="2" t="b">
        <f t="shared" si="28"/>
        <v>0</v>
      </c>
      <c r="V161" s="2" t="b">
        <f t="shared" si="2"/>
        <v>0</v>
      </c>
      <c r="W161" s="2">
        <f t="shared" si="3"/>
        <v>97</v>
      </c>
      <c r="X161" s="2">
        <f t="shared" si="4"/>
        <v>94</v>
      </c>
      <c r="Y161" s="2">
        <f t="shared" si="5"/>
        <v>99</v>
      </c>
      <c r="Z161" s="2" t="str">
        <f t="shared" si="6"/>
        <v/>
      </c>
      <c r="AA161" s="2" t="str">
        <f t="shared" si="7"/>
        <v/>
      </c>
      <c r="AB161" s="2" t="str">
        <f t="shared" si="8"/>
        <v/>
      </c>
      <c r="AC161" s="2">
        <f t="shared" si="9"/>
        <v>0</v>
      </c>
      <c r="AE161" s="10" t="s">
        <v>221</v>
      </c>
      <c r="AF161" s="11" t="s">
        <v>57</v>
      </c>
      <c r="AH161" s="6" t="str">
        <f t="shared" si="10"/>
        <v>Latin America &amp; Caribbean</v>
      </c>
      <c r="AI161" s="6"/>
      <c r="AJ161" s="6"/>
      <c r="AK161" s="10">
        <f t="shared" si="26"/>
        <v>0.55145035999999836</v>
      </c>
      <c r="AL161" s="6"/>
      <c r="AM161" s="6"/>
      <c r="AN161" s="6"/>
      <c r="AO161" s="10">
        <f t="shared" si="12"/>
        <v>1.1533054479999976</v>
      </c>
      <c r="AP161" s="6"/>
      <c r="AQ161" s="6"/>
      <c r="AR161" s="6"/>
      <c r="AS161" s="10">
        <f t="shared" si="15"/>
        <v>0.15893996199999946</v>
      </c>
      <c r="AT161" s="6"/>
      <c r="AU161" s="6"/>
      <c r="AX161" s="2" t="str">
        <f t="shared" si="18"/>
        <v>null</v>
      </c>
      <c r="AY161" s="2" t="str">
        <f t="shared" si="19"/>
        <v>null</v>
      </c>
      <c r="AZ161" s="2" t="str">
        <f t="shared" si="20"/>
        <v>null</v>
      </c>
      <c r="BA161" s="6"/>
    </row>
    <row r="162" spans="1:53" x14ac:dyDescent="0.25">
      <c r="A162" s="2" t="s">
        <v>142</v>
      </c>
      <c r="B162" s="2">
        <v>2015</v>
      </c>
      <c r="C162" s="2">
        <v>81787.414059999996</v>
      </c>
      <c r="D162" s="2">
        <v>77.200004579999998</v>
      </c>
      <c r="E162" s="2">
        <v>100.0000024</v>
      </c>
      <c r="F162" s="2">
        <v>0</v>
      </c>
      <c r="G162" s="2">
        <v>0</v>
      </c>
      <c r="H162" s="2">
        <v>0</v>
      </c>
      <c r="I162" s="2">
        <v>100</v>
      </c>
      <c r="J162" s="2">
        <v>0</v>
      </c>
      <c r="K162" s="2">
        <v>0</v>
      </c>
      <c r="L162" s="2">
        <v>0</v>
      </c>
      <c r="M162" s="2">
        <v>100</v>
      </c>
      <c r="N162" s="2">
        <v>0</v>
      </c>
      <c r="O162" s="2">
        <v>0</v>
      </c>
      <c r="P162" s="2">
        <v>0</v>
      </c>
      <c r="Q162" s="2" t="str">
        <f t="shared" si="0"/>
        <v>Germany|2015</v>
      </c>
      <c r="R162" s="2">
        <f t="shared" si="1"/>
        <v>5</v>
      </c>
      <c r="T162" s="2">
        <f t="shared" si="24"/>
        <v>-1.9999998812636478E-8</v>
      </c>
      <c r="U162" s="2">
        <f t="shared" si="28"/>
        <v>0</v>
      </c>
      <c r="V162" s="2">
        <f t="shared" si="2"/>
        <v>0</v>
      </c>
      <c r="W162" s="2">
        <f t="shared" si="3"/>
        <v>100</v>
      </c>
      <c r="X162" s="2">
        <f t="shared" si="4"/>
        <v>100</v>
      </c>
      <c r="Y162" s="2">
        <f t="shared" si="5"/>
        <v>100</v>
      </c>
      <c r="Z162" s="2" t="str">
        <f t="shared" si="6"/>
        <v/>
      </c>
      <c r="AA162" s="2" t="str">
        <f t="shared" si="7"/>
        <v/>
      </c>
      <c r="AB162" s="2" t="str">
        <f t="shared" si="8"/>
        <v>Fully Accessible</v>
      </c>
      <c r="AC162" s="2">
        <f t="shared" si="9"/>
        <v>0</v>
      </c>
      <c r="AE162" s="10" t="s">
        <v>222</v>
      </c>
      <c r="AF162" s="11" t="s">
        <v>57</v>
      </c>
      <c r="AH162" s="6" t="str">
        <f t="shared" si="10"/>
        <v>Latin America &amp; Caribbean</v>
      </c>
      <c r="AI162" s="6"/>
      <c r="AJ162" s="6"/>
      <c r="AK162" s="10">
        <f t="shared" si="26"/>
        <v>0.57147263399999981</v>
      </c>
      <c r="AL162" s="6"/>
      <c r="AM162" s="6"/>
      <c r="AN162" s="6"/>
      <c r="AO162" s="10">
        <f t="shared" si="12"/>
        <v>1.502362930000001</v>
      </c>
      <c r="AP162" s="6"/>
      <c r="AQ162" s="6"/>
      <c r="AR162" s="6"/>
      <c r="AS162" s="10">
        <f t="shared" si="15"/>
        <v>0.2606914119999999</v>
      </c>
      <c r="AT162" s="6"/>
      <c r="AU162" s="6"/>
      <c r="AX162" s="2">
        <f t="shared" si="18"/>
        <v>165571.35936999999</v>
      </c>
      <c r="AY162" s="2">
        <f t="shared" si="19"/>
        <v>154.65300751000001</v>
      </c>
      <c r="AZ162" s="2">
        <f t="shared" si="20"/>
        <v>165416.70636248999</v>
      </c>
      <c r="BA162" s="16"/>
    </row>
    <row r="163" spans="1:53" x14ac:dyDescent="0.25">
      <c r="A163" s="2" t="s">
        <v>142</v>
      </c>
      <c r="B163" s="2">
        <v>2020</v>
      </c>
      <c r="C163" s="2">
        <v>83783.945309999996</v>
      </c>
      <c r="D163" s="2">
        <v>77.453002929999997</v>
      </c>
      <c r="E163" s="2">
        <v>100.00000230000001</v>
      </c>
      <c r="F163" s="2">
        <v>0</v>
      </c>
      <c r="G163" s="2">
        <v>0</v>
      </c>
      <c r="H163" s="2">
        <v>0</v>
      </c>
      <c r="I163" s="2">
        <v>100</v>
      </c>
      <c r="J163" s="2">
        <v>0</v>
      </c>
      <c r="K163" s="2">
        <v>0</v>
      </c>
      <c r="L163" s="2">
        <v>0</v>
      </c>
      <c r="M163" s="2">
        <v>100</v>
      </c>
      <c r="N163" s="2">
        <v>0</v>
      </c>
      <c r="O163" s="2">
        <v>0</v>
      </c>
      <c r="P163" s="2">
        <v>0</v>
      </c>
      <c r="Q163" s="2" t="str">
        <f t="shared" si="0"/>
        <v>Germany|2020</v>
      </c>
      <c r="R163" s="2" t="str">
        <f t="shared" si="1"/>
        <v xml:space="preserve"> </v>
      </c>
      <c r="T163" s="2" t="b">
        <f t="shared" si="24"/>
        <v>0</v>
      </c>
      <c r="U163" s="2" t="b">
        <f t="shared" si="28"/>
        <v>0</v>
      </c>
      <c r="V163" s="2" t="b">
        <f t="shared" si="2"/>
        <v>0</v>
      </c>
      <c r="W163" s="2">
        <f t="shared" si="3"/>
        <v>100</v>
      </c>
      <c r="X163" s="2">
        <f t="shared" si="4"/>
        <v>100</v>
      </c>
      <c r="Y163" s="2">
        <f t="shared" si="5"/>
        <v>100</v>
      </c>
      <c r="Z163" s="2" t="str">
        <f t="shared" si="6"/>
        <v/>
      </c>
      <c r="AA163" s="2" t="str">
        <f t="shared" si="7"/>
        <v/>
      </c>
      <c r="AB163" s="2" t="str">
        <f t="shared" si="8"/>
        <v/>
      </c>
      <c r="AC163" s="2">
        <f t="shared" si="9"/>
        <v>0</v>
      </c>
      <c r="AE163" s="10" t="s">
        <v>223</v>
      </c>
      <c r="AF163" s="11" t="s">
        <v>50</v>
      </c>
      <c r="AH163" s="6" t="str">
        <f t="shared" si="10"/>
        <v>South Asia</v>
      </c>
      <c r="AI163" s="6"/>
      <c r="AJ163" s="6"/>
      <c r="AK163" s="10">
        <f t="shared" si="26"/>
        <v>0.41826670799999877</v>
      </c>
      <c r="AL163" s="6"/>
      <c r="AM163" s="6"/>
      <c r="AN163" s="6"/>
      <c r="AO163" s="10">
        <f t="shared" si="12"/>
        <v>0.57075417800000139</v>
      </c>
      <c r="AP163" s="6"/>
      <c r="AQ163" s="6"/>
      <c r="AR163" s="6"/>
      <c r="AS163" s="10">
        <f t="shared" si="15"/>
        <v>0.21007607200000109</v>
      </c>
      <c r="AT163" s="6"/>
      <c r="AU163" s="6"/>
      <c r="AX163" s="2" t="str">
        <f t="shared" si="18"/>
        <v>null</v>
      </c>
      <c r="AY163" s="2" t="str">
        <f t="shared" si="19"/>
        <v>null</v>
      </c>
      <c r="AZ163" s="2" t="str">
        <f t="shared" si="20"/>
        <v>null</v>
      </c>
      <c r="BA163" s="6"/>
    </row>
    <row r="164" spans="1:53" x14ac:dyDescent="0.25">
      <c r="A164" s="2" t="s">
        <v>143</v>
      </c>
      <c r="B164" s="2">
        <v>2015</v>
      </c>
      <c r="C164" s="2">
        <v>27849.203130000002</v>
      </c>
      <c r="D164" s="2">
        <v>54.085998539999999</v>
      </c>
      <c r="E164" s="2">
        <v>80.157961229999998</v>
      </c>
      <c r="F164" s="2">
        <v>7.8975991900000002</v>
      </c>
      <c r="G164" s="2">
        <v>4.4266436760000003</v>
      </c>
      <c r="H164" s="2">
        <v>7.5177958990000002</v>
      </c>
      <c r="I164" s="2">
        <v>67.208304769999998</v>
      </c>
      <c r="J164" s="2">
        <v>11.1534648</v>
      </c>
      <c r="K164" s="2">
        <v>6.3352592420000002</v>
      </c>
      <c r="L164" s="2">
        <v>15.302971189999999</v>
      </c>
      <c r="M164" s="2">
        <v>91.151019840000004</v>
      </c>
      <c r="N164" s="2">
        <v>5.133670929</v>
      </c>
      <c r="O164" s="2">
        <v>2.806405888</v>
      </c>
      <c r="P164" s="2">
        <v>0.90890334449999999</v>
      </c>
      <c r="Q164" s="2" t="str">
        <f t="shared" si="0"/>
        <v>Ghana|2015</v>
      </c>
      <c r="R164" s="2">
        <f t="shared" si="1"/>
        <v>5</v>
      </c>
      <c r="T164" s="2">
        <f t="shared" si="24"/>
        <v>1.1266070839999998</v>
      </c>
      <c r="U164" s="2">
        <f t="shared" si="28"/>
        <v>0.93688905600000116</v>
      </c>
      <c r="V164" s="2">
        <f t="shared" si="2"/>
        <v>0.99524793599999839</v>
      </c>
      <c r="W164" s="2">
        <f t="shared" si="3"/>
        <v>80</v>
      </c>
      <c r="X164" s="2">
        <f t="shared" si="4"/>
        <v>67</v>
      </c>
      <c r="Y164" s="2">
        <f t="shared" si="5"/>
        <v>91</v>
      </c>
      <c r="Z164" s="2" t="str">
        <f t="shared" si="6"/>
        <v/>
      </c>
      <c r="AA164" s="2" t="str">
        <f t="shared" si="7"/>
        <v/>
      </c>
      <c r="AB164" s="2" t="str">
        <f t="shared" si="8"/>
        <v>Fully Accessible</v>
      </c>
      <c r="AC164" s="2">
        <f t="shared" si="9"/>
        <v>-5.8358879999997226E-2</v>
      </c>
      <c r="AE164" s="10" t="s">
        <v>224</v>
      </c>
      <c r="AF164" s="11" t="s">
        <v>53</v>
      </c>
      <c r="AH164" s="6" t="str">
        <f t="shared" si="10"/>
        <v>Europe &amp; Central Asia</v>
      </c>
      <c r="AI164" s="6"/>
      <c r="AJ164" s="6"/>
      <c r="AK164" s="10">
        <f t="shared" si="26"/>
        <v>0.1469043340000013</v>
      </c>
      <c r="AL164" s="6"/>
      <c r="AM164" s="6"/>
      <c r="AN164" s="6"/>
      <c r="AO164" s="10">
        <f t="shared" si="12"/>
        <v>0.29241935400000046</v>
      </c>
      <c r="AP164" s="6"/>
      <c r="AQ164" s="6"/>
      <c r="AR164" s="6"/>
      <c r="AS164" s="10">
        <f t="shared" si="15"/>
        <v>5.0967742000000274E-2</v>
      </c>
      <c r="AT164" s="6"/>
      <c r="AU164" s="6"/>
      <c r="AX164" s="2">
        <f t="shared" si="18"/>
        <v>58922.148440000004</v>
      </c>
      <c r="AY164" s="2">
        <f t="shared" si="19"/>
        <v>111.43499756</v>
      </c>
      <c r="AZ164" s="2">
        <f t="shared" si="20"/>
        <v>58810.713442440006</v>
      </c>
      <c r="BA164" s="16"/>
    </row>
    <row r="165" spans="1:53" x14ac:dyDescent="0.25">
      <c r="A165" s="2" t="s">
        <v>143</v>
      </c>
      <c r="B165" s="2">
        <v>2020</v>
      </c>
      <c r="C165" s="2">
        <v>31072.945309999999</v>
      </c>
      <c r="D165" s="2">
        <v>57.348999020000001</v>
      </c>
      <c r="E165" s="2">
        <v>85.790996649999997</v>
      </c>
      <c r="F165" s="2">
        <v>6.5860621129999997</v>
      </c>
      <c r="G165" s="2">
        <v>2.8122161760000002</v>
      </c>
      <c r="H165" s="2">
        <v>4.8107250580000001</v>
      </c>
      <c r="I165" s="2">
        <v>71.892750050000004</v>
      </c>
      <c r="J165" s="2">
        <v>11.934548270000001</v>
      </c>
      <c r="K165" s="2">
        <v>4.9993564829999997</v>
      </c>
      <c r="L165" s="2">
        <v>11.173345189999999</v>
      </c>
      <c r="M165" s="2">
        <v>96.127259519999996</v>
      </c>
      <c r="N165" s="2">
        <v>2.6083424549999998</v>
      </c>
      <c r="O165" s="2">
        <v>1.1856138030000001</v>
      </c>
      <c r="P165" s="2">
        <v>7.8784218190000005E-2</v>
      </c>
      <c r="Q165" s="2" t="str">
        <f t="shared" si="0"/>
        <v>Ghana|2020</v>
      </c>
      <c r="R165" s="2" t="str">
        <f t="shared" si="1"/>
        <v xml:space="preserve"> </v>
      </c>
      <c r="T165" s="2" t="b">
        <f t="shared" si="24"/>
        <v>0</v>
      </c>
      <c r="U165" s="2" t="b">
        <f t="shared" si="28"/>
        <v>0</v>
      </c>
      <c r="V165" s="2" t="b">
        <f t="shared" si="2"/>
        <v>0</v>
      </c>
      <c r="W165" s="2">
        <f t="shared" si="3"/>
        <v>86</v>
      </c>
      <c r="X165" s="2">
        <f t="shared" si="4"/>
        <v>72</v>
      </c>
      <c r="Y165" s="2">
        <f t="shared" si="5"/>
        <v>96</v>
      </c>
      <c r="Z165" s="2" t="str">
        <f t="shared" si="6"/>
        <v/>
      </c>
      <c r="AA165" s="2" t="str">
        <f t="shared" si="7"/>
        <v/>
      </c>
      <c r="AB165" s="2" t="str">
        <f t="shared" si="8"/>
        <v/>
      </c>
      <c r="AC165" s="2">
        <f t="shared" si="9"/>
        <v>0</v>
      </c>
      <c r="AE165" s="10" t="s">
        <v>225</v>
      </c>
      <c r="AF165" s="11" t="s">
        <v>53</v>
      </c>
      <c r="AH165" s="6" t="str">
        <f t="shared" si="10"/>
        <v>Europe &amp; Central Asia</v>
      </c>
      <c r="AI165" s="6"/>
      <c r="AJ165" s="6"/>
      <c r="AK165" s="10">
        <f t="shared" si="26"/>
        <v>1.4607659999995803E-3</v>
      </c>
      <c r="AL165" s="6"/>
      <c r="AM165" s="6"/>
      <c r="AN165" s="6"/>
      <c r="AO165" s="10">
        <f t="shared" si="12"/>
        <v>0</v>
      </c>
      <c r="AP165" s="6"/>
      <c r="AQ165" s="6"/>
      <c r="AR165" s="6"/>
      <c r="AS165" s="10">
        <f t="shared" si="15"/>
        <v>0</v>
      </c>
      <c r="AT165" s="6"/>
      <c r="AU165" s="6"/>
      <c r="AX165" s="2" t="str">
        <f t="shared" si="18"/>
        <v>null</v>
      </c>
      <c r="AY165" s="2" t="str">
        <f t="shared" si="19"/>
        <v>null</v>
      </c>
      <c r="AZ165" s="2" t="str">
        <f t="shared" si="20"/>
        <v>null</v>
      </c>
      <c r="BA165" s="16"/>
    </row>
    <row r="166" spans="1:53" x14ac:dyDescent="0.25">
      <c r="A166" s="2" t="s">
        <v>144</v>
      </c>
      <c r="B166" s="2">
        <v>2015</v>
      </c>
      <c r="C166" s="2">
        <v>33.742000580000003</v>
      </c>
      <c r="D166" s="2">
        <v>100</v>
      </c>
      <c r="E166" s="2">
        <v>100</v>
      </c>
      <c r="F166" s="2">
        <v>0</v>
      </c>
      <c r="G166" s="2">
        <v>0</v>
      </c>
      <c r="H166" s="2">
        <v>0</v>
      </c>
      <c r="I166" s="2" t="s">
        <v>64</v>
      </c>
      <c r="J166" s="2" t="s">
        <v>64</v>
      </c>
      <c r="K166" s="2" t="s">
        <v>64</v>
      </c>
      <c r="L166" s="2" t="s">
        <v>64</v>
      </c>
      <c r="M166" s="2">
        <v>100</v>
      </c>
      <c r="N166" s="2">
        <v>0</v>
      </c>
      <c r="O166" s="2">
        <v>0</v>
      </c>
      <c r="P166" s="2">
        <v>0</v>
      </c>
      <c r="Q166" s="2" t="str">
        <f t="shared" si="0"/>
        <v>Gibraltar|2015</v>
      </c>
      <c r="R166" s="2">
        <f t="shared" si="1"/>
        <v>5</v>
      </c>
      <c r="T166" s="2">
        <f t="shared" si="24"/>
        <v>0</v>
      </c>
      <c r="U166" s="2" t="str">
        <f t="shared" si="28"/>
        <v>null</v>
      </c>
      <c r="V166" s="2">
        <f t="shared" si="2"/>
        <v>0</v>
      </c>
      <c r="W166" s="2">
        <f t="shared" si="3"/>
        <v>100</v>
      </c>
      <c r="X166" s="2" t="b">
        <f t="shared" si="4"/>
        <v>0</v>
      </c>
      <c r="Y166" s="2">
        <f t="shared" si="5"/>
        <v>100</v>
      </c>
      <c r="Z166" s="2" t="str">
        <f t="shared" si="6"/>
        <v/>
      </c>
      <c r="AA166" s="2" t="str">
        <f t="shared" si="7"/>
        <v>Fully Accessible</v>
      </c>
      <c r="AB166" s="2" t="str">
        <f t="shared" si="8"/>
        <v>Fully Accessible</v>
      </c>
      <c r="AC166" s="2" t="b">
        <f t="shared" si="9"/>
        <v>0</v>
      </c>
      <c r="AE166" s="10" t="s">
        <v>226</v>
      </c>
      <c r="AF166" s="11" t="s">
        <v>57</v>
      </c>
      <c r="AH166" s="6" t="str">
        <f t="shared" si="10"/>
        <v>Latin America &amp; Caribbean</v>
      </c>
      <c r="AI166" s="6"/>
      <c r="AJ166" s="6"/>
      <c r="AK166" s="10">
        <f t="shared" si="26"/>
        <v>0.11491004799999871</v>
      </c>
      <c r="AL166" s="6"/>
      <c r="AM166" s="6"/>
      <c r="AN166" s="6"/>
      <c r="AO166" s="10">
        <f t="shared" si="12"/>
        <v>0</v>
      </c>
      <c r="AP166" s="6"/>
      <c r="AQ166" s="6"/>
      <c r="AR166" s="6"/>
      <c r="AS166" s="10">
        <f t="shared" si="15"/>
        <v>0</v>
      </c>
      <c r="AT166" s="6"/>
      <c r="AU166" s="6"/>
      <c r="AX166" s="2">
        <f t="shared" si="18"/>
        <v>67.433002470000005</v>
      </c>
      <c r="AY166" s="2">
        <f t="shared" si="19"/>
        <v>200</v>
      </c>
      <c r="AZ166" s="2">
        <f t="shared" si="20"/>
        <v>-132.56699752999998</v>
      </c>
      <c r="BA166" s="6"/>
    </row>
    <row r="167" spans="1:53" x14ac:dyDescent="0.25">
      <c r="A167" s="2" t="s">
        <v>144</v>
      </c>
      <c r="B167" s="2">
        <v>2020</v>
      </c>
      <c r="C167" s="2">
        <v>33.691001890000003</v>
      </c>
      <c r="D167" s="2">
        <v>100</v>
      </c>
      <c r="E167" s="2">
        <v>100</v>
      </c>
      <c r="F167" s="2">
        <v>0</v>
      </c>
      <c r="G167" s="2">
        <v>0</v>
      </c>
      <c r="H167" s="2">
        <v>0</v>
      </c>
      <c r="I167" s="2" t="s">
        <v>64</v>
      </c>
      <c r="J167" s="2" t="s">
        <v>64</v>
      </c>
      <c r="K167" s="2" t="s">
        <v>64</v>
      </c>
      <c r="L167" s="2" t="s">
        <v>64</v>
      </c>
      <c r="M167" s="2">
        <v>100</v>
      </c>
      <c r="N167" s="2">
        <v>0</v>
      </c>
      <c r="O167" s="2">
        <v>0</v>
      </c>
      <c r="P167" s="2">
        <v>0</v>
      </c>
      <c r="Q167" s="2" t="str">
        <f t="shared" si="0"/>
        <v>Gibraltar|2020</v>
      </c>
      <c r="R167" s="2" t="str">
        <f t="shared" si="1"/>
        <v xml:space="preserve"> </v>
      </c>
      <c r="T167" s="2" t="b">
        <f t="shared" si="24"/>
        <v>0</v>
      </c>
      <c r="U167" s="2" t="b">
        <f t="shared" si="28"/>
        <v>0</v>
      </c>
      <c r="V167" s="2" t="b">
        <f t="shared" si="2"/>
        <v>0</v>
      </c>
      <c r="W167" s="2">
        <f t="shared" si="3"/>
        <v>100</v>
      </c>
      <c r="X167" s="2" t="b">
        <f t="shared" si="4"/>
        <v>0</v>
      </c>
      <c r="Y167" s="2">
        <f t="shared" si="5"/>
        <v>100</v>
      </c>
      <c r="Z167" s="2" t="str">
        <f t="shared" si="6"/>
        <v/>
      </c>
      <c r="AA167" s="2" t="str">
        <f t="shared" si="7"/>
        <v/>
      </c>
      <c r="AB167" s="2" t="str">
        <f t="shared" si="8"/>
        <v/>
      </c>
      <c r="AC167" s="2">
        <f t="shared" si="9"/>
        <v>0</v>
      </c>
      <c r="AE167" s="10" t="s">
        <v>227</v>
      </c>
      <c r="AF167" s="11" t="s">
        <v>53</v>
      </c>
      <c r="AH167" s="6" t="str">
        <f t="shared" si="10"/>
        <v>Europe &amp; Central Asia</v>
      </c>
      <c r="AI167" s="6"/>
      <c r="AJ167" s="6"/>
      <c r="AK167" s="10">
        <f t="shared" si="26"/>
        <v>-2.4679888000000004E-2</v>
      </c>
      <c r="AL167" s="6"/>
      <c r="AM167" s="6"/>
      <c r="AN167" s="6"/>
      <c r="AO167" s="10">
        <f t="shared" si="12"/>
        <v>0</v>
      </c>
      <c r="AP167" s="6"/>
      <c r="AQ167" s="6"/>
      <c r="AR167" s="6"/>
      <c r="AS167" s="10">
        <f t="shared" si="15"/>
        <v>0</v>
      </c>
      <c r="AT167" s="6"/>
      <c r="AU167" s="6"/>
      <c r="AX167" s="2" t="str">
        <f t="shared" si="18"/>
        <v>null</v>
      </c>
      <c r="AY167" s="2" t="str">
        <f t="shared" si="19"/>
        <v>null</v>
      </c>
      <c r="AZ167" s="2" t="str">
        <f t="shared" si="20"/>
        <v>null</v>
      </c>
      <c r="BA167" s="6"/>
    </row>
    <row r="168" spans="1:53" x14ac:dyDescent="0.25">
      <c r="A168" s="2" t="s">
        <v>145</v>
      </c>
      <c r="B168" s="2">
        <v>2015</v>
      </c>
      <c r="C168" s="2">
        <v>10659.737300000001</v>
      </c>
      <c r="D168" s="2">
        <v>78.046005249999993</v>
      </c>
      <c r="E168" s="2">
        <v>100.0000046</v>
      </c>
      <c r="F168" s="2">
        <v>0</v>
      </c>
      <c r="G168" s="2">
        <v>0</v>
      </c>
      <c r="H168" s="2">
        <v>0</v>
      </c>
      <c r="I168" s="2">
        <v>100</v>
      </c>
      <c r="J168" s="2">
        <v>0</v>
      </c>
      <c r="K168" s="2">
        <v>0</v>
      </c>
      <c r="L168" s="2">
        <v>0</v>
      </c>
      <c r="M168" s="2">
        <v>100</v>
      </c>
      <c r="N168" s="2">
        <v>0</v>
      </c>
      <c r="O168" s="2">
        <v>0</v>
      </c>
      <c r="P168" s="2">
        <v>0</v>
      </c>
      <c r="Q168" s="2" t="str">
        <f t="shared" si="0"/>
        <v>Greece|2015</v>
      </c>
      <c r="R168" s="2">
        <f t="shared" si="1"/>
        <v>5</v>
      </c>
      <c r="T168" s="2">
        <f t="shared" si="24"/>
        <v>-4.5999999827017745E-7</v>
      </c>
      <c r="U168" s="2">
        <f t="shared" si="28"/>
        <v>0</v>
      </c>
      <c r="V168" s="2">
        <f t="shared" si="2"/>
        <v>0</v>
      </c>
      <c r="W168" s="2">
        <f t="shared" si="3"/>
        <v>100</v>
      </c>
      <c r="X168" s="2">
        <f t="shared" si="4"/>
        <v>100</v>
      </c>
      <c r="Y168" s="2">
        <f t="shared" si="5"/>
        <v>100</v>
      </c>
      <c r="Z168" s="2" t="str">
        <f t="shared" si="6"/>
        <v/>
      </c>
      <c r="AA168" s="2" t="str">
        <f t="shared" si="7"/>
        <v/>
      </c>
      <c r="AB168" s="2" t="str">
        <f t="shared" si="8"/>
        <v>Fully Accessible</v>
      </c>
      <c r="AC168" s="2">
        <f t="shared" si="9"/>
        <v>0</v>
      </c>
      <c r="AE168" s="10" t="s">
        <v>228</v>
      </c>
      <c r="AF168" s="11" t="s">
        <v>51</v>
      </c>
      <c r="AH168" s="6" t="str">
        <f t="shared" si="10"/>
        <v>East Asia &amp; Pacific</v>
      </c>
      <c r="AI168" s="6"/>
      <c r="AJ168" s="6"/>
      <c r="AK168" s="10">
        <f t="shared" si="26"/>
        <v>9.1730047999999439E-2</v>
      </c>
      <c r="AL168" s="6"/>
      <c r="AM168" s="6"/>
      <c r="AN168" s="6"/>
      <c r="AO168" s="10">
        <f t="shared" si="12"/>
        <v>0</v>
      </c>
      <c r="AP168" s="6"/>
      <c r="AQ168" s="6"/>
      <c r="AR168" s="6"/>
      <c r="AS168" s="10">
        <f t="shared" si="15"/>
        <v>0</v>
      </c>
      <c r="AT168" s="6"/>
      <c r="AU168" s="6"/>
      <c r="AX168" s="2">
        <f t="shared" si="18"/>
        <v>21082.792959999999</v>
      </c>
      <c r="AY168" s="2">
        <f t="shared" si="19"/>
        <v>157.76100922000001</v>
      </c>
      <c r="AZ168" s="2">
        <f t="shared" si="20"/>
        <v>20925.031950779998</v>
      </c>
      <c r="BA168" s="6"/>
    </row>
    <row r="169" spans="1:53" x14ac:dyDescent="0.25">
      <c r="A169" s="2" t="s">
        <v>145</v>
      </c>
      <c r="B169" s="2">
        <v>2020</v>
      </c>
      <c r="C169" s="2">
        <v>10423.05566</v>
      </c>
      <c r="D169" s="2">
        <v>79.715003969999998</v>
      </c>
      <c r="E169" s="2">
        <v>100.00000230000001</v>
      </c>
      <c r="F169" s="2">
        <v>0</v>
      </c>
      <c r="G169" s="2">
        <v>0</v>
      </c>
      <c r="H169" s="2">
        <v>0</v>
      </c>
      <c r="I169" s="2">
        <v>100</v>
      </c>
      <c r="J169" s="2">
        <v>0</v>
      </c>
      <c r="K169" s="2">
        <v>0</v>
      </c>
      <c r="L169" s="2">
        <v>0</v>
      </c>
      <c r="M169" s="2">
        <v>100</v>
      </c>
      <c r="N169" s="2">
        <v>0</v>
      </c>
      <c r="O169" s="2">
        <v>0</v>
      </c>
      <c r="P169" s="2">
        <v>0</v>
      </c>
      <c r="Q169" s="2" t="str">
        <f t="shared" si="0"/>
        <v>Greece|2020</v>
      </c>
      <c r="R169" s="2" t="str">
        <f t="shared" si="1"/>
        <v xml:space="preserve"> </v>
      </c>
      <c r="T169" s="2" t="b">
        <f t="shared" si="24"/>
        <v>0</v>
      </c>
      <c r="U169" s="2" t="b">
        <f t="shared" si="28"/>
        <v>0</v>
      </c>
      <c r="V169" s="2" t="b">
        <f t="shared" si="2"/>
        <v>0</v>
      </c>
      <c r="W169" s="2">
        <f t="shared" si="3"/>
        <v>100</v>
      </c>
      <c r="X169" s="2">
        <f t="shared" si="4"/>
        <v>100</v>
      </c>
      <c r="Y169" s="2">
        <f t="shared" si="5"/>
        <v>100</v>
      </c>
      <c r="Z169" s="2" t="str">
        <f t="shared" si="6"/>
        <v/>
      </c>
      <c r="AA169" s="2" t="str">
        <f t="shared" si="7"/>
        <v/>
      </c>
      <c r="AB169" s="2" t="str">
        <f t="shared" si="8"/>
        <v/>
      </c>
      <c r="AC169" s="2">
        <f t="shared" si="9"/>
        <v>0</v>
      </c>
      <c r="AE169" s="10" t="s">
        <v>229</v>
      </c>
      <c r="AF169" s="11" t="s">
        <v>53</v>
      </c>
      <c r="AH169" s="6" t="str">
        <f t="shared" si="10"/>
        <v>Europe &amp; Central Asia</v>
      </c>
      <c r="AI169" s="6"/>
      <c r="AJ169" s="6"/>
      <c r="AK169" s="10">
        <f t="shared" si="26"/>
        <v>0.39878606799999827</v>
      </c>
      <c r="AL169" s="6"/>
      <c r="AM169" s="6"/>
      <c r="AN169" s="6"/>
      <c r="AO169" s="10">
        <f t="shared" si="12"/>
        <v>0.58770947399999895</v>
      </c>
      <c r="AP169" s="6"/>
      <c r="AQ169" s="6"/>
      <c r="AR169" s="6"/>
      <c r="AS169" s="10">
        <f t="shared" si="15"/>
        <v>0.12300901600000032</v>
      </c>
      <c r="AT169" s="6"/>
      <c r="AU169" s="6"/>
      <c r="AX169" s="2" t="str">
        <f t="shared" si="18"/>
        <v>null</v>
      </c>
      <c r="AY169" s="2" t="str">
        <f t="shared" si="19"/>
        <v>null</v>
      </c>
      <c r="AZ169" s="2" t="str">
        <f t="shared" si="20"/>
        <v>null</v>
      </c>
      <c r="BA169" s="6"/>
    </row>
    <row r="170" spans="1:53" x14ac:dyDescent="0.25">
      <c r="A170" s="2" t="s">
        <v>146</v>
      </c>
      <c r="B170" s="2">
        <v>2015</v>
      </c>
      <c r="C170" s="2">
        <v>56.377998349999999</v>
      </c>
      <c r="D170" s="2">
        <v>86.070999150000006</v>
      </c>
      <c r="E170" s="2">
        <v>100</v>
      </c>
      <c r="F170" s="2">
        <v>0</v>
      </c>
      <c r="G170" s="2">
        <v>0</v>
      </c>
      <c r="H170" s="2">
        <v>0</v>
      </c>
      <c r="I170" s="2">
        <v>100</v>
      </c>
      <c r="J170" s="2">
        <v>0</v>
      </c>
      <c r="K170" s="2">
        <v>0</v>
      </c>
      <c r="L170" s="2">
        <v>0</v>
      </c>
      <c r="M170" s="2">
        <v>100</v>
      </c>
      <c r="N170" s="2">
        <v>0</v>
      </c>
      <c r="O170" s="2">
        <v>0</v>
      </c>
      <c r="P170" s="2">
        <v>0</v>
      </c>
      <c r="Q170" s="2" t="str">
        <f t="shared" si="0"/>
        <v>Greenland|2015</v>
      </c>
      <c r="R170" s="2">
        <f t="shared" si="1"/>
        <v>5</v>
      </c>
      <c r="T170" s="2">
        <f t="shared" si="24"/>
        <v>3.3999999971001671E-7</v>
      </c>
      <c r="U170" s="2">
        <f t="shared" si="28"/>
        <v>0</v>
      </c>
      <c r="V170" s="2">
        <f t="shared" si="2"/>
        <v>0</v>
      </c>
      <c r="W170" s="2">
        <f t="shared" si="3"/>
        <v>100</v>
      </c>
      <c r="X170" s="2">
        <f t="shared" si="4"/>
        <v>100</v>
      </c>
      <c r="Y170" s="2">
        <f t="shared" si="5"/>
        <v>100</v>
      </c>
      <c r="Z170" s="2" t="str">
        <f t="shared" si="6"/>
        <v/>
      </c>
      <c r="AA170" s="2" t="str">
        <f t="shared" si="7"/>
        <v/>
      </c>
      <c r="AB170" s="2" t="str">
        <f t="shared" si="8"/>
        <v>Fully Accessible</v>
      </c>
      <c r="AC170" s="2">
        <f t="shared" si="9"/>
        <v>0</v>
      </c>
      <c r="AE170" s="10" t="s">
        <v>230</v>
      </c>
      <c r="AF170" s="11" t="s">
        <v>63</v>
      </c>
      <c r="AH170" s="6" t="str">
        <f t="shared" si="10"/>
        <v>Sub-Saharan Africa</v>
      </c>
      <c r="AI170" s="6"/>
      <c r="AJ170" s="6"/>
      <c r="AK170" s="10">
        <f t="shared" si="26"/>
        <v>1.7693962000001305E-2</v>
      </c>
      <c r="AL170" s="6"/>
      <c r="AM170" s="6"/>
      <c r="AN170" s="6"/>
      <c r="AO170" s="10">
        <f t="shared" si="12"/>
        <v>0</v>
      </c>
      <c r="AP170" s="6"/>
      <c r="AQ170" s="6"/>
      <c r="AR170" s="6"/>
      <c r="AS170" s="10">
        <f t="shared" si="15"/>
        <v>0</v>
      </c>
      <c r="AT170" s="6"/>
      <c r="AU170" s="6"/>
      <c r="AX170" s="2">
        <f t="shared" si="18"/>
        <v>113.14999771000001</v>
      </c>
      <c r="AY170" s="2">
        <f t="shared" si="19"/>
        <v>173.35300446000002</v>
      </c>
      <c r="AZ170" s="2">
        <f t="shared" si="20"/>
        <v>-60.203006750000014</v>
      </c>
      <c r="BA170" s="16"/>
    </row>
    <row r="171" spans="1:53" x14ac:dyDescent="0.25">
      <c r="A171" s="2" t="s">
        <v>146</v>
      </c>
      <c r="B171" s="2">
        <v>2020</v>
      </c>
      <c r="C171" s="2">
        <v>56.771999360000002</v>
      </c>
      <c r="D171" s="2">
        <v>87.282005310000002</v>
      </c>
      <c r="E171" s="2">
        <v>100.0000017</v>
      </c>
      <c r="F171" s="2">
        <v>0</v>
      </c>
      <c r="G171" s="2">
        <v>0</v>
      </c>
      <c r="H171" s="2">
        <v>0</v>
      </c>
      <c r="I171" s="2">
        <v>100</v>
      </c>
      <c r="J171" s="2">
        <v>0</v>
      </c>
      <c r="K171" s="2">
        <v>0</v>
      </c>
      <c r="L171" s="2">
        <v>0</v>
      </c>
      <c r="M171" s="2">
        <v>100</v>
      </c>
      <c r="N171" s="2">
        <v>0</v>
      </c>
      <c r="O171" s="2">
        <v>0</v>
      </c>
      <c r="P171" s="2">
        <v>0</v>
      </c>
      <c r="Q171" s="2" t="str">
        <f t="shared" si="0"/>
        <v>Greenland|2020</v>
      </c>
      <c r="R171" s="2" t="str">
        <f t="shared" si="1"/>
        <v xml:space="preserve"> </v>
      </c>
      <c r="T171" s="2" t="b">
        <f t="shared" si="24"/>
        <v>0</v>
      </c>
      <c r="U171" s="2" t="b">
        <f t="shared" si="28"/>
        <v>0</v>
      </c>
      <c r="V171" s="2" t="b">
        <f t="shared" si="2"/>
        <v>0</v>
      </c>
      <c r="W171" s="2">
        <f t="shared" si="3"/>
        <v>100</v>
      </c>
      <c r="X171" s="2">
        <f t="shared" si="4"/>
        <v>100</v>
      </c>
      <c r="Y171" s="2">
        <f t="shared" si="5"/>
        <v>100</v>
      </c>
      <c r="Z171" s="2" t="str">
        <f t="shared" si="6"/>
        <v/>
      </c>
      <c r="AA171" s="2" t="str">
        <f t="shared" si="7"/>
        <v/>
      </c>
      <c r="AB171" s="2" t="str">
        <f t="shared" si="8"/>
        <v/>
      </c>
      <c r="AC171" s="2">
        <f t="shared" si="9"/>
        <v>0</v>
      </c>
      <c r="AE171" s="10" t="s">
        <v>231</v>
      </c>
      <c r="AF171" s="11" t="s">
        <v>53</v>
      </c>
      <c r="AH171" s="6" t="str">
        <f t="shared" si="10"/>
        <v>Europe &amp; Central Asia</v>
      </c>
      <c r="AI171" s="6"/>
      <c r="AJ171" s="6"/>
      <c r="AK171" s="10">
        <f t="shared" si="26"/>
        <v>0</v>
      </c>
      <c r="AL171" s="6"/>
      <c r="AM171" s="6"/>
      <c r="AN171" s="6"/>
      <c r="AO171" s="10">
        <f t="shared" si="12"/>
        <v>0</v>
      </c>
      <c r="AP171" s="6"/>
      <c r="AQ171" s="6"/>
      <c r="AR171" s="6"/>
      <c r="AS171" s="10">
        <f t="shared" si="15"/>
        <v>0</v>
      </c>
      <c r="AT171" s="6"/>
      <c r="AU171" s="6"/>
      <c r="AX171" s="2" t="str">
        <f t="shared" si="18"/>
        <v>null</v>
      </c>
      <c r="AY171" s="2" t="str">
        <f t="shared" si="19"/>
        <v>null</v>
      </c>
      <c r="AZ171" s="2" t="str">
        <f t="shared" si="20"/>
        <v>null</v>
      </c>
      <c r="BA171" s="6"/>
    </row>
    <row r="172" spans="1:53" x14ac:dyDescent="0.25">
      <c r="A172" s="2" t="s">
        <v>147</v>
      </c>
      <c r="B172" s="2">
        <v>2015</v>
      </c>
      <c r="C172" s="2">
        <v>109.6029968</v>
      </c>
      <c r="D172" s="2">
        <v>35.997001650000001</v>
      </c>
      <c r="E172" s="2">
        <v>95.628650440000001</v>
      </c>
      <c r="F172" s="2">
        <v>1.1614815839999999</v>
      </c>
      <c r="G172" s="2">
        <v>0</v>
      </c>
      <c r="H172" s="2">
        <v>3.2098679720000001</v>
      </c>
      <c r="I172" s="2" t="s">
        <v>64</v>
      </c>
      <c r="J172" s="2" t="s">
        <v>64</v>
      </c>
      <c r="K172" s="2" t="s">
        <v>64</v>
      </c>
      <c r="L172" s="2" t="s">
        <v>64</v>
      </c>
      <c r="M172" s="2" t="s">
        <v>64</v>
      </c>
      <c r="N172" s="2" t="s">
        <v>64</v>
      </c>
      <c r="O172" s="2" t="s">
        <v>64</v>
      </c>
      <c r="P172" s="2" t="s">
        <v>64</v>
      </c>
      <c r="Q172" s="2" t="str">
        <f t="shared" si="0"/>
        <v>Grenada|2015</v>
      </c>
      <c r="R172" s="2">
        <f t="shared" si="1"/>
        <v>2</v>
      </c>
      <c r="T172" s="2">
        <f t="shared" si="24"/>
        <v>0</v>
      </c>
      <c r="U172" s="2" t="str">
        <f t="shared" si="28"/>
        <v>null</v>
      </c>
      <c r="V172" s="2" t="str">
        <f t="shared" si="2"/>
        <v>null</v>
      </c>
      <c r="W172" s="2">
        <f t="shared" si="3"/>
        <v>96</v>
      </c>
      <c r="X172" s="2" t="b">
        <f t="shared" si="4"/>
        <v>0</v>
      </c>
      <c r="Y172" s="2" t="b">
        <f t="shared" si="5"/>
        <v>0</v>
      </c>
      <c r="Z172" s="2" t="str">
        <f t="shared" si="6"/>
        <v/>
      </c>
      <c r="AA172" s="2" t="str">
        <f t="shared" si="7"/>
        <v>Fully Accessible</v>
      </c>
      <c r="AB172" s="2" t="str">
        <f t="shared" si="8"/>
        <v>Fully Accessible</v>
      </c>
      <c r="AC172" s="2" t="b">
        <f t="shared" si="9"/>
        <v>0</v>
      </c>
      <c r="AE172" s="10" t="s">
        <v>232</v>
      </c>
      <c r="AF172" s="11" t="s">
        <v>53</v>
      </c>
      <c r="AH172" s="6" t="str">
        <f t="shared" si="10"/>
        <v>Europe &amp; Central Asia</v>
      </c>
      <c r="AI172" s="6"/>
      <c r="AJ172" s="6"/>
      <c r="AK172" s="10">
        <f t="shared" si="26"/>
        <v>9.307852800000091E-2</v>
      </c>
      <c r="AL172" s="6"/>
      <c r="AM172" s="6"/>
      <c r="AN172" s="6"/>
      <c r="AO172" s="10">
        <f t="shared" si="12"/>
        <v>0.2867985900000008</v>
      </c>
      <c r="AP172" s="6"/>
      <c r="AQ172" s="6"/>
      <c r="AR172" s="6"/>
      <c r="AS172" s="10">
        <f t="shared" si="15"/>
        <v>1.1332944000000112E-2</v>
      </c>
      <c r="AT172" s="6"/>
      <c r="AU172" s="6"/>
      <c r="AX172" s="2">
        <f t="shared" si="18"/>
        <v>220.47699729999999</v>
      </c>
      <c r="AY172" s="2">
        <f t="shared" si="19"/>
        <v>72.161003109999996</v>
      </c>
      <c r="AZ172" s="2">
        <f t="shared" si="20"/>
        <v>148.31599419</v>
      </c>
      <c r="BA172" s="16"/>
    </row>
    <row r="173" spans="1:53" x14ac:dyDescent="0.25">
      <c r="A173" s="2" t="s">
        <v>147</v>
      </c>
      <c r="B173" s="2">
        <v>2017</v>
      </c>
      <c r="C173" s="2">
        <v>110.87400049999999</v>
      </c>
      <c r="D173" s="2">
        <v>36.164001460000001</v>
      </c>
      <c r="E173" s="2">
        <v>95.628650440000001</v>
      </c>
      <c r="F173" s="2">
        <v>1.1614815839999999</v>
      </c>
      <c r="G173" s="2">
        <v>0</v>
      </c>
      <c r="H173" s="2">
        <v>3.2098679720000001</v>
      </c>
      <c r="I173" s="2" t="s">
        <v>64</v>
      </c>
      <c r="J173" s="2" t="s">
        <v>64</v>
      </c>
      <c r="K173" s="2" t="s">
        <v>64</v>
      </c>
      <c r="L173" s="2" t="s">
        <v>64</v>
      </c>
      <c r="M173" s="2" t="s">
        <v>64</v>
      </c>
      <c r="N173" s="2" t="s">
        <v>64</v>
      </c>
      <c r="O173" s="2" t="s">
        <v>64</v>
      </c>
      <c r="P173" s="2" t="s">
        <v>64</v>
      </c>
      <c r="Q173" s="2" t="str">
        <f t="shared" si="0"/>
        <v>Grenada|2017</v>
      </c>
      <c r="R173" s="2" t="str">
        <f t="shared" si="1"/>
        <v xml:space="preserve"> </v>
      </c>
      <c r="T173" s="2" t="b">
        <f t="shared" si="24"/>
        <v>0</v>
      </c>
      <c r="U173" s="2" t="b">
        <f t="shared" si="28"/>
        <v>0</v>
      </c>
      <c r="V173" s="2" t="b">
        <f t="shared" si="2"/>
        <v>0</v>
      </c>
      <c r="W173" s="2">
        <f t="shared" si="3"/>
        <v>96</v>
      </c>
      <c r="X173" s="2" t="b">
        <f t="shared" si="4"/>
        <v>0</v>
      </c>
      <c r="Y173" s="2" t="b">
        <f t="shared" si="5"/>
        <v>0</v>
      </c>
      <c r="Z173" s="2" t="str">
        <f t="shared" si="6"/>
        <v/>
      </c>
      <c r="AA173" s="2" t="str">
        <f t="shared" si="7"/>
        <v/>
      </c>
      <c r="AB173" s="2" t="str">
        <f t="shared" si="8"/>
        <v/>
      </c>
      <c r="AC173" s="2">
        <f t="shared" si="9"/>
        <v>0</v>
      </c>
      <c r="AE173" s="10" t="s">
        <v>233</v>
      </c>
      <c r="AF173" s="11" t="s">
        <v>63</v>
      </c>
      <c r="AH173" s="6" t="str">
        <f t="shared" si="10"/>
        <v>Sub-Saharan Africa</v>
      </c>
      <c r="AI173" s="6"/>
      <c r="AJ173" s="6"/>
      <c r="AK173" s="10">
        <f t="shared" si="26"/>
        <v>0.65854542600000054</v>
      </c>
      <c r="AL173" s="6"/>
      <c r="AM173" s="6"/>
      <c r="AN173" s="6"/>
      <c r="AO173" s="10">
        <f t="shared" si="12"/>
        <v>0.65795173399999951</v>
      </c>
      <c r="AP173" s="6"/>
      <c r="AQ173" s="6"/>
      <c r="AR173" s="6"/>
      <c r="AS173" s="10">
        <f t="shared" si="15"/>
        <v>0.52363238400000112</v>
      </c>
      <c r="AT173" s="6"/>
      <c r="AU173" s="6"/>
      <c r="AX173" s="2" t="str">
        <f t="shared" si="18"/>
        <v>null</v>
      </c>
      <c r="AY173" s="2" t="str">
        <f t="shared" si="19"/>
        <v>null</v>
      </c>
      <c r="AZ173" s="2" t="str">
        <f t="shared" si="20"/>
        <v>null</v>
      </c>
      <c r="BA173" s="16"/>
    </row>
    <row r="174" spans="1:53" x14ac:dyDescent="0.25">
      <c r="A174" s="2" t="s">
        <v>148</v>
      </c>
      <c r="B174" s="2">
        <v>2015</v>
      </c>
      <c r="C174" s="2">
        <v>400.26000979999998</v>
      </c>
      <c r="D174" s="2">
        <v>98.443000789999999</v>
      </c>
      <c r="E174" s="2">
        <v>99.611028129999994</v>
      </c>
      <c r="F174" s="2">
        <v>0</v>
      </c>
      <c r="G174" s="2">
        <v>0.38897187239999997</v>
      </c>
      <c r="H174" s="2">
        <v>0</v>
      </c>
      <c r="I174" s="2" t="s">
        <v>64</v>
      </c>
      <c r="J174" s="2" t="s">
        <v>64</v>
      </c>
      <c r="K174" s="2" t="s">
        <v>64</v>
      </c>
      <c r="L174" s="2" t="s">
        <v>64</v>
      </c>
      <c r="M174" s="2" t="s">
        <v>64</v>
      </c>
      <c r="N174" s="2" t="s">
        <v>64</v>
      </c>
      <c r="O174" s="2" t="s">
        <v>64</v>
      </c>
      <c r="P174" s="2" t="s">
        <v>64</v>
      </c>
      <c r="Q174" s="2" t="str">
        <f t="shared" si="0"/>
        <v>Guadeloupe|2015</v>
      </c>
      <c r="R174" s="2">
        <f t="shared" si="1"/>
        <v>5</v>
      </c>
      <c r="T174" s="2">
        <f t="shared" si="24"/>
        <v>3.8419582000000216E-2</v>
      </c>
      <c r="U174" s="2" t="str">
        <f t="shared" si="28"/>
        <v>null</v>
      </c>
      <c r="V174" s="2" t="str">
        <f t="shared" si="2"/>
        <v>null</v>
      </c>
      <c r="W174" s="2">
        <f t="shared" si="3"/>
        <v>100</v>
      </c>
      <c r="X174" s="2" t="b">
        <f t="shared" si="4"/>
        <v>0</v>
      </c>
      <c r="Y174" s="2" t="b">
        <f t="shared" si="5"/>
        <v>0</v>
      </c>
      <c r="Z174" s="2" t="str">
        <f t="shared" si="6"/>
        <v/>
      </c>
      <c r="AA174" s="2" t="str">
        <f t="shared" si="7"/>
        <v>Fully Accessible</v>
      </c>
      <c r="AB174" s="2" t="str">
        <f t="shared" si="8"/>
        <v>Fully Accessible</v>
      </c>
      <c r="AC174" s="2" t="b">
        <f t="shared" si="9"/>
        <v>0</v>
      </c>
      <c r="AE174" s="10" t="s">
        <v>234</v>
      </c>
      <c r="AF174" s="11" t="s">
        <v>57</v>
      </c>
      <c r="AH174" s="6" t="str">
        <f t="shared" si="10"/>
        <v>Latin America &amp; Caribbean</v>
      </c>
      <c r="AI174" s="6"/>
      <c r="AJ174" s="6"/>
      <c r="AK174" s="10">
        <f t="shared" si="26"/>
        <v>7.0161460000008448E-3</v>
      </c>
      <c r="AL174" s="6"/>
      <c r="AM174" s="6"/>
      <c r="AN174" s="6"/>
      <c r="AO174" s="10">
        <f t="shared" si="12"/>
        <v>0</v>
      </c>
      <c r="AP174" s="6"/>
      <c r="AQ174" s="6"/>
      <c r="AR174" s="6"/>
      <c r="AS174" s="10">
        <f t="shared" si="15"/>
        <v>7.0161460000008448E-3</v>
      </c>
      <c r="AT174" s="6"/>
      <c r="AU174" s="6"/>
      <c r="AX174" s="2">
        <f t="shared" si="18"/>
        <v>800.387024</v>
      </c>
      <c r="AY174" s="2">
        <f t="shared" si="19"/>
        <v>196.94199371000002</v>
      </c>
      <c r="AZ174" s="2">
        <f t="shared" si="20"/>
        <v>603.44503028999998</v>
      </c>
      <c r="BA174" s="6"/>
    </row>
    <row r="175" spans="1:53" x14ac:dyDescent="0.25">
      <c r="A175" s="2" t="s">
        <v>148</v>
      </c>
      <c r="B175" s="2">
        <v>2020</v>
      </c>
      <c r="C175" s="2">
        <v>400.12701420000002</v>
      </c>
      <c r="D175" s="2">
        <v>98.498992920000006</v>
      </c>
      <c r="E175" s="2">
        <v>99.803126039999995</v>
      </c>
      <c r="F175" s="2">
        <v>0</v>
      </c>
      <c r="G175" s="2">
        <v>0.19687396130000001</v>
      </c>
      <c r="H175" s="2">
        <v>0</v>
      </c>
      <c r="I175" s="2" t="s">
        <v>64</v>
      </c>
      <c r="J175" s="2" t="s">
        <v>64</v>
      </c>
      <c r="K175" s="2" t="s">
        <v>64</v>
      </c>
      <c r="L175" s="2" t="s">
        <v>64</v>
      </c>
      <c r="M175" s="2" t="s">
        <v>64</v>
      </c>
      <c r="N175" s="2" t="s">
        <v>64</v>
      </c>
      <c r="O175" s="2" t="s">
        <v>64</v>
      </c>
      <c r="P175" s="2" t="s">
        <v>64</v>
      </c>
      <c r="Q175" s="2" t="str">
        <f t="shared" si="0"/>
        <v>Guadeloupe|2020</v>
      </c>
      <c r="R175" s="2" t="str">
        <f t="shared" si="1"/>
        <v xml:space="preserve"> </v>
      </c>
      <c r="T175" s="2" t="b">
        <f t="shared" si="24"/>
        <v>0</v>
      </c>
      <c r="U175" s="2" t="b">
        <f t="shared" si="28"/>
        <v>0</v>
      </c>
      <c r="V175" s="2" t="b">
        <f t="shared" si="2"/>
        <v>0</v>
      </c>
      <c r="W175" s="2">
        <f t="shared" si="3"/>
        <v>100</v>
      </c>
      <c r="X175" s="2" t="b">
        <f t="shared" si="4"/>
        <v>0</v>
      </c>
      <c r="Y175" s="2" t="b">
        <f t="shared" si="5"/>
        <v>0</v>
      </c>
      <c r="Z175" s="2" t="str">
        <f t="shared" si="6"/>
        <v/>
      </c>
      <c r="AA175" s="2" t="str">
        <f t="shared" si="7"/>
        <v/>
      </c>
      <c r="AB175" s="2" t="str">
        <f t="shared" si="8"/>
        <v/>
      </c>
      <c r="AC175" s="2">
        <f t="shared" si="9"/>
        <v>0</v>
      </c>
      <c r="AE175" s="10" t="s">
        <v>235</v>
      </c>
      <c r="AF175" s="11" t="s">
        <v>63</v>
      </c>
      <c r="AH175" s="6" t="str">
        <f t="shared" si="10"/>
        <v>Sub-Saharan Africa</v>
      </c>
      <c r="AI175" s="6"/>
      <c r="AJ175" s="6"/>
      <c r="AK175" s="10">
        <f t="shared" si="26"/>
        <v>2.9999999999998295E-2</v>
      </c>
      <c r="AL175" s="6"/>
      <c r="AM175" s="6"/>
      <c r="AN175" s="6"/>
      <c r="AO175" s="10">
        <f t="shared" si="12"/>
        <v>0</v>
      </c>
      <c r="AP175" s="6"/>
      <c r="AQ175" s="6"/>
      <c r="AR175" s="6"/>
      <c r="AS175" s="10">
        <f t="shared" si="15"/>
        <v>0</v>
      </c>
      <c r="AT175" s="6"/>
      <c r="AU175" s="6"/>
      <c r="AX175" s="2" t="str">
        <f t="shared" si="18"/>
        <v>null</v>
      </c>
      <c r="AY175" s="2" t="str">
        <f t="shared" si="19"/>
        <v>null</v>
      </c>
      <c r="AZ175" s="2" t="str">
        <f t="shared" si="20"/>
        <v>null</v>
      </c>
      <c r="BA175" s="6"/>
    </row>
    <row r="176" spans="1:53" x14ac:dyDescent="0.25">
      <c r="A176" s="2" t="s">
        <v>149</v>
      </c>
      <c r="B176" s="2">
        <v>2015</v>
      </c>
      <c r="C176" s="2">
        <v>161.85099790000001</v>
      </c>
      <c r="D176" s="2">
        <v>94.533996579999993</v>
      </c>
      <c r="E176" s="2">
        <v>99.6952</v>
      </c>
      <c r="F176" s="2">
        <v>0</v>
      </c>
      <c r="G176" s="2">
        <v>0.30480000000000002</v>
      </c>
      <c r="H176" s="2">
        <v>0</v>
      </c>
      <c r="I176" s="2" t="s">
        <v>64</v>
      </c>
      <c r="J176" s="2" t="s">
        <v>64</v>
      </c>
      <c r="K176" s="2" t="s">
        <v>64</v>
      </c>
      <c r="L176" s="2" t="s">
        <v>64</v>
      </c>
      <c r="M176" s="2" t="s">
        <v>64</v>
      </c>
      <c r="N176" s="2" t="s">
        <v>64</v>
      </c>
      <c r="O176" s="2" t="s">
        <v>64</v>
      </c>
      <c r="P176" s="2" t="s">
        <v>64</v>
      </c>
      <c r="Q176" s="2" t="str">
        <f t="shared" si="0"/>
        <v>Guam|2015</v>
      </c>
      <c r="R176" s="2">
        <f t="shared" si="1"/>
        <v>5</v>
      </c>
      <c r="T176" s="2">
        <f t="shared" si="24"/>
        <v>0</v>
      </c>
      <c r="U176" s="2" t="str">
        <f t="shared" si="28"/>
        <v>null</v>
      </c>
      <c r="V176" s="2" t="str">
        <f t="shared" si="2"/>
        <v>null</v>
      </c>
      <c r="W176" s="2">
        <f t="shared" si="3"/>
        <v>100</v>
      </c>
      <c r="X176" s="2" t="b">
        <f t="shared" si="4"/>
        <v>0</v>
      </c>
      <c r="Y176" s="2" t="b">
        <f t="shared" si="5"/>
        <v>0</v>
      </c>
      <c r="Z176" s="2" t="str">
        <f t="shared" si="6"/>
        <v/>
      </c>
      <c r="AA176" s="2" t="str">
        <f t="shared" si="7"/>
        <v>Fully Accessible</v>
      </c>
      <c r="AB176" s="2" t="str">
        <f t="shared" si="8"/>
        <v>Fully Accessible</v>
      </c>
      <c r="AC176" s="2" t="b">
        <f t="shared" si="9"/>
        <v>0</v>
      </c>
      <c r="AE176" s="10" t="s">
        <v>236</v>
      </c>
      <c r="AF176" s="11" t="s">
        <v>57</v>
      </c>
      <c r="AH176" s="6" t="str">
        <f t="shared" si="10"/>
        <v>Latin America &amp; Caribbean</v>
      </c>
      <c r="AI176" s="6"/>
      <c r="AJ176" s="6"/>
      <c r="AK176" s="10">
        <f t="shared" si="26"/>
        <v>0</v>
      </c>
      <c r="AL176" s="6"/>
      <c r="AM176" s="6"/>
      <c r="AN176" s="6"/>
      <c r="AO176" s="10">
        <f t="shared" si="12"/>
        <v>0</v>
      </c>
      <c r="AP176" s="6"/>
      <c r="AQ176" s="6"/>
      <c r="AR176" s="6"/>
      <c r="AS176" s="10">
        <f t="shared" si="15"/>
        <v>0</v>
      </c>
      <c r="AT176" s="6"/>
      <c r="AU176" s="6"/>
      <c r="AX176" s="2">
        <f t="shared" si="18"/>
        <v>330.6340027</v>
      </c>
      <c r="AY176" s="2">
        <f t="shared" si="19"/>
        <v>189.47200011999999</v>
      </c>
      <c r="AZ176" s="2">
        <f t="shared" si="20"/>
        <v>141.16200258000001</v>
      </c>
      <c r="BA176" s="6"/>
    </row>
    <row r="177" spans="1:53" x14ac:dyDescent="0.25">
      <c r="A177" s="2" t="s">
        <v>149</v>
      </c>
      <c r="B177" s="2">
        <v>2020</v>
      </c>
      <c r="C177" s="2">
        <v>168.78300479999999</v>
      </c>
      <c r="D177" s="2">
        <v>94.938003539999997</v>
      </c>
      <c r="E177" s="2">
        <v>99.6952</v>
      </c>
      <c r="F177" s="2">
        <v>0</v>
      </c>
      <c r="G177" s="2">
        <v>0.30480000000000002</v>
      </c>
      <c r="H177" s="2">
        <v>0</v>
      </c>
      <c r="I177" s="2" t="s">
        <v>64</v>
      </c>
      <c r="J177" s="2" t="s">
        <v>64</v>
      </c>
      <c r="K177" s="2" t="s">
        <v>64</v>
      </c>
      <c r="L177" s="2" t="s">
        <v>64</v>
      </c>
      <c r="M177" s="2" t="s">
        <v>64</v>
      </c>
      <c r="N177" s="2" t="s">
        <v>64</v>
      </c>
      <c r="O177" s="2" t="s">
        <v>64</v>
      </c>
      <c r="P177" s="2" t="s">
        <v>64</v>
      </c>
      <c r="Q177" s="2" t="str">
        <f t="shared" si="0"/>
        <v>Guam|2020</v>
      </c>
      <c r="R177" s="2" t="str">
        <f t="shared" si="1"/>
        <v xml:space="preserve"> </v>
      </c>
      <c r="T177" s="2" t="b">
        <f t="shared" si="24"/>
        <v>0</v>
      </c>
      <c r="U177" s="2" t="b">
        <f t="shared" si="28"/>
        <v>0</v>
      </c>
      <c r="V177" s="2" t="b">
        <f t="shared" si="2"/>
        <v>0</v>
      </c>
      <c r="W177" s="2">
        <f t="shared" si="3"/>
        <v>100</v>
      </c>
      <c r="X177" s="2" t="b">
        <f t="shared" si="4"/>
        <v>0</v>
      </c>
      <c r="Y177" s="2" t="b">
        <f t="shared" si="5"/>
        <v>0</v>
      </c>
      <c r="Z177" s="2" t="str">
        <f t="shared" si="6"/>
        <v/>
      </c>
      <c r="AA177" s="2" t="str">
        <f t="shared" si="7"/>
        <v/>
      </c>
      <c r="AB177" s="2" t="str">
        <f t="shared" si="8"/>
        <v/>
      </c>
      <c r="AC177" s="2">
        <f t="shared" si="9"/>
        <v>0</v>
      </c>
      <c r="AE177" s="10" t="s">
        <v>237</v>
      </c>
      <c r="AF177" s="11" t="s">
        <v>57</v>
      </c>
      <c r="AH177" s="6" t="str">
        <f t="shared" si="10"/>
        <v>Latin America &amp; Caribbean</v>
      </c>
      <c r="AI177" s="6"/>
      <c r="AJ177" s="6"/>
      <c r="AK177" s="10">
        <f t="shared" si="26"/>
        <v>0.26395005800000038</v>
      </c>
      <c r="AL177" s="6"/>
      <c r="AM177" s="6"/>
      <c r="AN177" s="6"/>
      <c r="AO177" s="10">
        <f t="shared" si="12"/>
        <v>0.30035251799999968</v>
      </c>
      <c r="AP177" s="6"/>
      <c r="AQ177" s="6"/>
      <c r="AR177" s="6"/>
      <c r="AS177" s="10">
        <f t="shared" si="15"/>
        <v>0.10235780200000022</v>
      </c>
      <c r="AT177" s="6"/>
      <c r="AU177" s="6"/>
      <c r="AX177" s="2" t="str">
        <f t="shared" si="18"/>
        <v>null</v>
      </c>
      <c r="AY177" s="2" t="str">
        <f t="shared" si="19"/>
        <v>null</v>
      </c>
      <c r="AZ177" s="2" t="str">
        <f t="shared" si="20"/>
        <v>null</v>
      </c>
      <c r="BA177" s="6"/>
    </row>
    <row r="178" spans="1:53" x14ac:dyDescent="0.25">
      <c r="A178" s="2" t="s">
        <v>150</v>
      </c>
      <c r="B178" s="2">
        <v>2015</v>
      </c>
      <c r="C178" s="2">
        <v>16252.424800000001</v>
      </c>
      <c r="D178" s="2">
        <v>49.971000670000002</v>
      </c>
      <c r="E178" s="2">
        <v>92.134033849999994</v>
      </c>
      <c r="F178" s="2">
        <v>0.96845174850000004</v>
      </c>
      <c r="G178" s="2">
        <v>4.7652610869999998</v>
      </c>
      <c r="H178" s="2">
        <v>2.1322533130000001</v>
      </c>
      <c r="I178" s="2">
        <v>87.242756180000001</v>
      </c>
      <c r="J178" s="2">
        <v>1.6509012869999999</v>
      </c>
      <c r="K178" s="2">
        <v>7.052091828</v>
      </c>
      <c r="L178" s="2">
        <v>4.0542507089999997</v>
      </c>
      <c r="M178" s="2">
        <v>97.030988910000005</v>
      </c>
      <c r="N178" s="2">
        <v>0.2852100796</v>
      </c>
      <c r="O178" s="2">
        <v>2.4757759840000002</v>
      </c>
      <c r="P178" s="2">
        <v>0.20802502270000001</v>
      </c>
      <c r="Q178" s="2" t="str">
        <f t="shared" si="0"/>
        <v>Guatemala|2015</v>
      </c>
      <c r="R178" s="2">
        <f t="shared" si="1"/>
        <v>5</v>
      </c>
      <c r="T178" s="2">
        <f t="shared" si="24"/>
        <v>0.37447888400000123</v>
      </c>
      <c r="U178" s="2">
        <f t="shared" si="28"/>
        <v>0.57531472400000039</v>
      </c>
      <c r="V178" s="2">
        <f t="shared" si="2"/>
        <v>0.11743610599999954</v>
      </c>
      <c r="W178" s="2">
        <f t="shared" si="3"/>
        <v>92</v>
      </c>
      <c r="X178" s="2">
        <f t="shared" si="4"/>
        <v>87</v>
      </c>
      <c r="Y178" s="2">
        <f t="shared" si="5"/>
        <v>97</v>
      </c>
      <c r="Z178" s="2" t="str">
        <f t="shared" si="6"/>
        <v/>
      </c>
      <c r="AA178" s="2" t="str">
        <f t="shared" si="7"/>
        <v/>
      </c>
      <c r="AB178" s="2" t="str">
        <f t="shared" si="8"/>
        <v>Fully Accessible</v>
      </c>
      <c r="AC178" s="2">
        <f t="shared" si="9"/>
        <v>0.45787861800000085</v>
      </c>
      <c r="AE178" s="10" t="s">
        <v>238</v>
      </c>
      <c r="AF178" s="11" t="s">
        <v>57</v>
      </c>
      <c r="AH178" s="6" t="str">
        <f t="shared" si="10"/>
        <v>Latin America &amp; Caribbean</v>
      </c>
      <c r="AI178" s="6"/>
      <c r="AJ178" s="6"/>
      <c r="AK178" s="10">
        <f t="shared" si="26"/>
        <v>-1.0056200000008175E-4</v>
      </c>
      <c r="AL178" s="6"/>
      <c r="AM178" s="6"/>
      <c r="AN178" s="6"/>
      <c r="AO178" s="10">
        <f t="shared" si="12"/>
        <v>0</v>
      </c>
      <c r="AP178" s="6"/>
      <c r="AQ178" s="6"/>
      <c r="AR178" s="6"/>
      <c r="AS178" s="10">
        <f t="shared" si="15"/>
        <v>-1.0056200000008175E-4</v>
      </c>
      <c r="AT178" s="6"/>
      <c r="AU178" s="6"/>
      <c r="AX178" s="2">
        <f t="shared" si="18"/>
        <v>34167.99121</v>
      </c>
      <c r="AY178" s="2">
        <f t="shared" si="19"/>
        <v>101.80699921</v>
      </c>
      <c r="AZ178" s="2">
        <f t="shared" si="20"/>
        <v>34066.184210790001</v>
      </c>
      <c r="BA178" s="16"/>
    </row>
    <row r="179" spans="1:53" x14ac:dyDescent="0.25">
      <c r="A179" s="2" t="s">
        <v>150</v>
      </c>
      <c r="B179" s="2">
        <v>2020</v>
      </c>
      <c r="C179" s="2">
        <v>17915.566409999999</v>
      </c>
      <c r="D179" s="2">
        <v>51.835998539999999</v>
      </c>
      <c r="E179" s="2">
        <v>94.006428270000001</v>
      </c>
      <c r="F179" s="2">
        <v>1.034150511</v>
      </c>
      <c r="G179" s="2">
        <v>3.2159118150000001</v>
      </c>
      <c r="H179" s="2">
        <v>1.7435094040000001</v>
      </c>
      <c r="I179" s="2">
        <v>90.119329800000003</v>
      </c>
      <c r="J179" s="2">
        <v>1.8491699989999999</v>
      </c>
      <c r="K179" s="2">
        <v>4.5834386909999996</v>
      </c>
      <c r="L179" s="2">
        <v>3.4480615079999999</v>
      </c>
      <c r="M179" s="2">
        <v>97.618169440000003</v>
      </c>
      <c r="N179" s="2">
        <v>0.27686600569999997</v>
      </c>
      <c r="O179" s="2">
        <v>1.94525887</v>
      </c>
      <c r="P179" s="2">
        <v>0.15970568490000001</v>
      </c>
      <c r="Q179" s="2" t="str">
        <f t="shared" si="0"/>
        <v>Guatemala|2020</v>
      </c>
      <c r="R179" s="2" t="str">
        <f t="shared" si="1"/>
        <v xml:space="preserve"> </v>
      </c>
      <c r="T179" s="2" t="b">
        <f t="shared" si="24"/>
        <v>0</v>
      </c>
      <c r="U179" s="2" t="b">
        <f t="shared" si="28"/>
        <v>0</v>
      </c>
      <c r="V179" s="2" t="b">
        <f t="shared" si="2"/>
        <v>0</v>
      </c>
      <c r="W179" s="2">
        <f t="shared" si="3"/>
        <v>94</v>
      </c>
      <c r="X179" s="2">
        <f t="shared" si="4"/>
        <v>90</v>
      </c>
      <c r="Y179" s="2">
        <f t="shared" si="5"/>
        <v>98</v>
      </c>
      <c r="Z179" s="2" t="str">
        <f t="shared" si="6"/>
        <v/>
      </c>
      <c r="AA179" s="2" t="str">
        <f t="shared" si="7"/>
        <v/>
      </c>
      <c r="AB179" s="2" t="str">
        <f t="shared" si="8"/>
        <v/>
      </c>
      <c r="AC179" s="2">
        <f t="shared" si="9"/>
        <v>0</v>
      </c>
      <c r="AE179" s="10" t="s">
        <v>239</v>
      </c>
      <c r="AF179" s="11" t="s">
        <v>61</v>
      </c>
      <c r="AH179" s="6" t="str">
        <f t="shared" si="10"/>
        <v>North America</v>
      </c>
      <c r="AI179" s="6"/>
      <c r="AJ179" s="6"/>
      <c r="AK179" s="10">
        <f t="shared" si="26"/>
        <v>0</v>
      </c>
      <c r="AL179" s="6"/>
      <c r="AM179" s="6"/>
      <c r="AN179" s="6"/>
      <c r="AO179" s="10">
        <f t="shared" si="12"/>
        <v>0</v>
      </c>
      <c r="AP179" s="6"/>
      <c r="AQ179" s="6"/>
      <c r="AR179" s="6"/>
      <c r="AS179" s="10">
        <f t="shared" si="15"/>
        <v>0</v>
      </c>
      <c r="AT179" s="6"/>
      <c r="AU179" s="6"/>
      <c r="AX179" s="2" t="str">
        <f t="shared" si="18"/>
        <v>null</v>
      </c>
      <c r="AY179" s="2" t="str">
        <f t="shared" si="19"/>
        <v>null</v>
      </c>
      <c r="AZ179" s="2" t="str">
        <f t="shared" si="20"/>
        <v>null</v>
      </c>
      <c r="BA179" s="6"/>
    </row>
    <row r="180" spans="1:53" x14ac:dyDescent="0.25">
      <c r="A180" s="2" t="s">
        <v>152</v>
      </c>
      <c r="B180" s="2">
        <v>2015</v>
      </c>
      <c r="C180" s="2">
        <v>1737.2070309999999</v>
      </c>
      <c r="D180" s="2">
        <v>42.12299728</v>
      </c>
      <c r="E180" s="2">
        <v>58.764347620000002</v>
      </c>
      <c r="F180" s="2">
        <v>10.59149221</v>
      </c>
      <c r="G180" s="2">
        <v>29.744379070000001</v>
      </c>
      <c r="H180" s="2">
        <v>0.89978109260000005</v>
      </c>
      <c r="I180" s="2">
        <v>48.422730049999998</v>
      </c>
      <c r="J180" s="2">
        <v>7.5662803609999996</v>
      </c>
      <c r="K180" s="2">
        <v>42.58264827</v>
      </c>
      <c r="L180" s="2">
        <v>1.428341318</v>
      </c>
      <c r="M180" s="2">
        <v>72.973731220000005</v>
      </c>
      <c r="N180" s="2">
        <v>14.748133599999999</v>
      </c>
      <c r="O180" s="2">
        <v>12.104595890000001</v>
      </c>
      <c r="P180" s="2">
        <v>0.17353928900000001</v>
      </c>
      <c r="Q180" s="2" t="str">
        <f t="shared" si="0"/>
        <v>Guinea-Bissau|2015</v>
      </c>
      <c r="R180" s="2">
        <f t="shared" si="1"/>
        <v>5</v>
      </c>
      <c r="T180" s="2">
        <f t="shared" si="24"/>
        <v>5.0512917999999726E-2</v>
      </c>
      <c r="U180" s="2">
        <f t="shared" si="28"/>
        <v>0.28183505000000081</v>
      </c>
      <c r="V180" s="2">
        <f t="shared" si="2"/>
        <v>-0.47187666199999967</v>
      </c>
      <c r="W180" s="2">
        <f t="shared" si="3"/>
        <v>59</v>
      </c>
      <c r="X180" s="2">
        <f t="shared" si="4"/>
        <v>48</v>
      </c>
      <c r="Y180" s="2">
        <f t="shared" si="5"/>
        <v>73</v>
      </c>
      <c r="Z180" s="2" t="str">
        <f t="shared" si="6"/>
        <v/>
      </c>
      <c r="AA180" s="2" t="str">
        <f t="shared" si="7"/>
        <v/>
      </c>
      <c r="AB180" s="2" t="str">
        <f t="shared" si="8"/>
        <v>Fully Accessible</v>
      </c>
      <c r="AC180" s="2">
        <f t="shared" si="9"/>
        <v>0.75371171200000053</v>
      </c>
      <c r="AE180" s="10" t="s">
        <v>240</v>
      </c>
      <c r="AF180" s="11" t="s">
        <v>57</v>
      </c>
      <c r="AH180" s="6" t="str">
        <f t="shared" si="10"/>
        <v>Latin America &amp; Caribbean</v>
      </c>
      <c r="AI180" s="6"/>
      <c r="AJ180" s="6"/>
      <c r="AK180" s="10">
        <f t="shared" si="26"/>
        <v>0</v>
      </c>
      <c r="AL180" s="6"/>
      <c r="AM180" s="6"/>
      <c r="AN180" s="6"/>
      <c r="AO180" s="10">
        <f t="shared" si="12"/>
        <v>0</v>
      </c>
      <c r="AP180" s="6"/>
      <c r="AQ180" s="6"/>
      <c r="AR180" s="6"/>
      <c r="AS180" s="10">
        <f t="shared" si="15"/>
        <v>0</v>
      </c>
      <c r="AT180" s="6"/>
      <c r="AU180" s="6"/>
      <c r="AX180" s="2">
        <f t="shared" si="18"/>
        <v>3705.205078</v>
      </c>
      <c r="AY180" s="2">
        <f t="shared" si="19"/>
        <v>86.318996429999999</v>
      </c>
      <c r="AZ180" s="2">
        <f t="shared" si="20"/>
        <v>3618.88608157</v>
      </c>
      <c r="BA180" s="16"/>
    </row>
    <row r="181" spans="1:53" x14ac:dyDescent="0.25">
      <c r="A181" s="2" t="s">
        <v>152</v>
      </c>
      <c r="B181" s="2">
        <v>2020</v>
      </c>
      <c r="C181" s="2">
        <v>1967.998047</v>
      </c>
      <c r="D181" s="2">
        <v>44.195999149999999</v>
      </c>
      <c r="E181" s="2">
        <v>59.016912210000001</v>
      </c>
      <c r="F181" s="2">
        <v>14.03457137</v>
      </c>
      <c r="G181" s="2">
        <v>26.6263769</v>
      </c>
      <c r="H181" s="2">
        <v>0.3221395192</v>
      </c>
      <c r="I181" s="2">
        <v>49.831905300000003</v>
      </c>
      <c r="J181" s="2">
        <v>9.2857730259999993</v>
      </c>
      <c r="K181" s="2">
        <v>40.316451290000003</v>
      </c>
      <c r="L181" s="2">
        <v>0.56587038450000005</v>
      </c>
      <c r="M181" s="2">
        <v>70.614347910000006</v>
      </c>
      <c r="N181" s="2">
        <v>20.03063358</v>
      </c>
      <c r="O181" s="2">
        <v>9.3406252839999997</v>
      </c>
      <c r="P181" s="2">
        <v>1.4393226929999999E-2</v>
      </c>
      <c r="Q181" s="2" t="str">
        <f t="shared" si="0"/>
        <v>Guinea-Bissau|2020</v>
      </c>
      <c r="R181" s="2" t="str">
        <f t="shared" si="1"/>
        <v xml:space="preserve"> </v>
      </c>
      <c r="T181" s="2" t="b">
        <f t="shared" si="24"/>
        <v>0</v>
      </c>
      <c r="U181" s="2" t="b">
        <f t="shared" si="28"/>
        <v>0</v>
      </c>
      <c r="V181" s="2" t="b">
        <f t="shared" si="2"/>
        <v>0</v>
      </c>
      <c r="W181" s="2">
        <f t="shared" si="3"/>
        <v>59</v>
      </c>
      <c r="X181" s="2">
        <f t="shared" si="4"/>
        <v>50</v>
      </c>
      <c r="Y181" s="2">
        <f t="shared" si="5"/>
        <v>71</v>
      </c>
      <c r="Z181" s="2" t="str">
        <f t="shared" si="6"/>
        <v/>
      </c>
      <c r="AA181" s="2" t="str">
        <f t="shared" si="7"/>
        <v/>
      </c>
      <c r="AB181" s="2" t="str">
        <f t="shared" si="8"/>
        <v/>
      </c>
      <c r="AC181" s="2">
        <f t="shared" si="9"/>
        <v>0</v>
      </c>
      <c r="AE181" s="10" t="s">
        <v>241</v>
      </c>
      <c r="AF181" s="11" t="s">
        <v>51</v>
      </c>
      <c r="AH181" s="6" t="str">
        <f t="shared" si="10"/>
        <v>East Asia &amp; Pacific</v>
      </c>
      <c r="AI181" s="6"/>
      <c r="AJ181" s="6"/>
      <c r="AK181" s="10">
        <f t="shared" si="26"/>
        <v>0.10326543799999968</v>
      </c>
      <c r="AL181" s="6"/>
      <c r="AM181" s="6"/>
      <c r="AN181" s="6"/>
      <c r="AO181" s="10">
        <f t="shared" si="12"/>
        <v>7.8781444000000533E-2</v>
      </c>
      <c r="AP181" s="6"/>
      <c r="AQ181" s="6"/>
      <c r="AR181" s="6"/>
      <c r="AS181" s="10">
        <f t="shared" si="15"/>
        <v>0.21170826400000067</v>
      </c>
      <c r="AT181" s="6"/>
      <c r="AU181" s="6"/>
      <c r="AX181" s="2" t="str">
        <f t="shared" si="18"/>
        <v>null</v>
      </c>
      <c r="AY181" s="2" t="str">
        <f t="shared" si="19"/>
        <v>null</v>
      </c>
      <c r="AZ181" s="2" t="str">
        <f t="shared" si="20"/>
        <v>null</v>
      </c>
      <c r="BA181" s="16"/>
    </row>
    <row r="182" spans="1:53" x14ac:dyDescent="0.25">
      <c r="A182" s="2" t="s">
        <v>151</v>
      </c>
      <c r="B182" s="2">
        <v>2015</v>
      </c>
      <c r="C182" s="2">
        <v>11432.0957</v>
      </c>
      <c r="D182" s="2">
        <v>35.140998840000002</v>
      </c>
      <c r="E182" s="2">
        <v>63.615389540000002</v>
      </c>
      <c r="F182" s="2">
        <v>16.090256029999999</v>
      </c>
      <c r="G182" s="2">
        <v>9.7579804439999993</v>
      </c>
      <c r="H182" s="2">
        <v>10.53637399</v>
      </c>
      <c r="I182" s="2">
        <v>51.949155339999997</v>
      </c>
      <c r="J182" s="2">
        <v>18.760629779999999</v>
      </c>
      <c r="K182" s="2">
        <v>13.309717210000001</v>
      </c>
      <c r="L182" s="2">
        <v>15.980497679999999</v>
      </c>
      <c r="M182" s="2">
        <v>85.147507689999998</v>
      </c>
      <c r="N182" s="2">
        <v>11.161602630000001</v>
      </c>
      <c r="O182" s="2">
        <v>3.202620418</v>
      </c>
      <c r="P182" s="2">
        <v>0.48826926510000002</v>
      </c>
      <c r="Q182" s="2" t="str">
        <f t="shared" si="0"/>
        <v>Guinea|2015</v>
      </c>
      <c r="R182" s="2">
        <f t="shared" si="1"/>
        <v>5</v>
      </c>
      <c r="T182" s="2">
        <f t="shared" si="24"/>
        <v>6.9279840000000092E-2</v>
      </c>
      <c r="U182" s="2">
        <f t="shared" si="28"/>
        <v>-0.24019526999999954</v>
      </c>
      <c r="V182" s="2">
        <f t="shared" si="2"/>
        <v>0.28683647599999917</v>
      </c>
      <c r="W182" s="2">
        <f t="shared" si="3"/>
        <v>64</v>
      </c>
      <c r="X182" s="2">
        <f t="shared" si="4"/>
        <v>52</v>
      </c>
      <c r="Y182" s="2">
        <f t="shared" si="5"/>
        <v>85</v>
      </c>
      <c r="Z182" s="2" t="str">
        <f t="shared" si="6"/>
        <v/>
      </c>
      <c r="AA182" s="2" t="str">
        <f t="shared" si="7"/>
        <v/>
      </c>
      <c r="AB182" s="2" t="str">
        <f t="shared" si="8"/>
        <v>Fully Accessible</v>
      </c>
      <c r="AC182" s="2">
        <f t="shared" si="9"/>
        <v>-0.52703174599999869</v>
      </c>
      <c r="AE182" s="10" t="s">
        <v>242</v>
      </c>
      <c r="AF182" s="11" t="s">
        <v>53</v>
      </c>
      <c r="AH182" s="6" t="str">
        <f t="shared" si="10"/>
        <v>Europe &amp; Central Asia</v>
      </c>
      <c r="AI182" s="6"/>
      <c r="AJ182" s="6"/>
      <c r="AK182" s="10">
        <f t="shared" si="26"/>
        <v>0</v>
      </c>
      <c r="AL182" s="6"/>
      <c r="AM182" s="6"/>
      <c r="AN182" s="6"/>
      <c r="AO182" s="10">
        <f t="shared" si="12"/>
        <v>0</v>
      </c>
      <c r="AP182" s="6"/>
      <c r="AQ182" s="6"/>
      <c r="AR182" s="6"/>
      <c r="AS182" s="10">
        <f t="shared" si="15"/>
        <v>0</v>
      </c>
      <c r="AT182" s="6"/>
      <c r="AU182" s="6"/>
      <c r="AX182" s="2">
        <f t="shared" si="18"/>
        <v>24564.88769</v>
      </c>
      <c r="AY182" s="2">
        <f t="shared" si="19"/>
        <v>72.015998840000009</v>
      </c>
      <c r="AZ182" s="2">
        <f t="shared" si="20"/>
        <v>24492.871691159999</v>
      </c>
      <c r="BA182" s="6"/>
    </row>
    <row r="183" spans="1:53" x14ac:dyDescent="0.25">
      <c r="A183" s="2" t="s">
        <v>151</v>
      </c>
      <c r="B183" s="2">
        <v>2020</v>
      </c>
      <c r="C183" s="2">
        <v>13132.79199</v>
      </c>
      <c r="D183" s="2">
        <v>36.875</v>
      </c>
      <c r="E183" s="2">
        <v>63.961788740000003</v>
      </c>
      <c r="F183" s="2">
        <v>21.281591500000001</v>
      </c>
      <c r="G183" s="2">
        <v>6.2961194059999999</v>
      </c>
      <c r="H183" s="2">
        <v>8.4605003540000006</v>
      </c>
      <c r="I183" s="2">
        <v>50.74817899</v>
      </c>
      <c r="J183" s="2">
        <v>26.14432944</v>
      </c>
      <c r="K183" s="2">
        <v>9.7047191430000002</v>
      </c>
      <c r="L183" s="2">
        <v>13.402772430000001</v>
      </c>
      <c r="M183" s="2">
        <v>86.581690069999993</v>
      </c>
      <c r="N183" s="2">
        <v>12.957241529999999</v>
      </c>
      <c r="O183" s="2">
        <v>0.46106839799999999</v>
      </c>
      <c r="P183" s="2">
        <v>0</v>
      </c>
      <c r="Q183" s="2" t="str">
        <f t="shared" si="0"/>
        <v>Guinea|2020</v>
      </c>
      <c r="R183" s="2" t="str">
        <f t="shared" si="1"/>
        <v xml:space="preserve"> </v>
      </c>
      <c r="T183" s="2" t="b">
        <f t="shared" si="24"/>
        <v>0</v>
      </c>
      <c r="U183" s="2" t="b">
        <f t="shared" si="28"/>
        <v>0</v>
      </c>
      <c r="V183" s="2" t="b">
        <f t="shared" si="2"/>
        <v>0</v>
      </c>
      <c r="W183" s="2">
        <f t="shared" si="3"/>
        <v>64</v>
      </c>
      <c r="X183" s="2">
        <f t="shared" si="4"/>
        <v>51</v>
      </c>
      <c r="Y183" s="2">
        <f t="shared" si="5"/>
        <v>87</v>
      </c>
      <c r="Z183" s="2" t="str">
        <f t="shared" si="6"/>
        <v/>
      </c>
      <c r="AA183" s="2" t="str">
        <f t="shared" si="7"/>
        <v/>
      </c>
      <c r="AB183" s="2" t="str">
        <f t="shared" si="8"/>
        <v/>
      </c>
      <c r="AC183" s="2">
        <f t="shared" si="9"/>
        <v>0</v>
      </c>
      <c r="AE183" s="10" t="s">
        <v>243</v>
      </c>
      <c r="AF183" s="11" t="s">
        <v>63</v>
      </c>
      <c r="AH183" s="6" t="str">
        <f t="shared" si="10"/>
        <v>Sub-Saharan Africa</v>
      </c>
      <c r="AI183" s="6"/>
      <c r="AJ183" s="6"/>
      <c r="AK183" s="10">
        <f t="shared" si="26"/>
        <v>0.22044507399999985</v>
      </c>
      <c r="AL183" s="6"/>
      <c r="AM183" s="6"/>
      <c r="AN183" s="6"/>
      <c r="AO183" s="10">
        <f t="shared" si="12"/>
        <v>0.6035795699999994</v>
      </c>
      <c r="AP183" s="6"/>
      <c r="AQ183" s="6"/>
      <c r="AR183" s="6"/>
      <c r="AS183" s="10">
        <f t="shared" si="15"/>
        <v>-5.2996199999995495E-3</v>
      </c>
      <c r="AT183" s="6"/>
      <c r="AU183" s="6"/>
      <c r="AX183" s="2" t="str">
        <f t="shared" si="18"/>
        <v>null</v>
      </c>
      <c r="AY183" s="2" t="str">
        <f t="shared" si="19"/>
        <v>null</v>
      </c>
      <c r="AZ183" s="2" t="str">
        <f t="shared" si="20"/>
        <v>null</v>
      </c>
      <c r="BA183" s="6"/>
    </row>
    <row r="184" spans="1:53" x14ac:dyDescent="0.25">
      <c r="A184" s="2" t="s">
        <v>153</v>
      </c>
      <c r="B184" s="2">
        <v>2015</v>
      </c>
      <c r="C184" s="2">
        <v>767.43298340000001</v>
      </c>
      <c r="D184" s="2">
        <v>26.44099808</v>
      </c>
      <c r="E184" s="2">
        <v>95.161856950000001</v>
      </c>
      <c r="F184" s="2">
        <v>1.233247953</v>
      </c>
      <c r="G184" s="2">
        <v>1.344803287</v>
      </c>
      <c r="H184" s="2">
        <v>2.2600918079999999</v>
      </c>
      <c r="I184" s="2">
        <v>93.422769709999997</v>
      </c>
      <c r="J184" s="2">
        <v>1.6765425039999999</v>
      </c>
      <c r="K184" s="2">
        <v>1.82819943</v>
      </c>
      <c r="L184" s="2">
        <v>3.0724883580000002</v>
      </c>
      <c r="M184" s="2">
        <v>100</v>
      </c>
      <c r="N184" s="2">
        <v>0</v>
      </c>
      <c r="O184" s="2">
        <v>0</v>
      </c>
      <c r="P184" s="2">
        <v>0</v>
      </c>
      <c r="Q184" s="2" t="str">
        <f t="shared" si="0"/>
        <v>Guyana|2015</v>
      </c>
      <c r="R184" s="2">
        <f t="shared" si="1"/>
        <v>5</v>
      </c>
      <c r="T184" s="2">
        <f t="shared" si="24"/>
        <v>7.8589980000000989E-2</v>
      </c>
      <c r="U184" s="2">
        <f t="shared" si="28"/>
        <v>0.10114415799999961</v>
      </c>
      <c r="V184" s="2">
        <f t="shared" si="2"/>
        <v>0</v>
      </c>
      <c r="W184" s="2">
        <f t="shared" si="3"/>
        <v>95</v>
      </c>
      <c r="X184" s="2">
        <f t="shared" si="4"/>
        <v>93</v>
      </c>
      <c r="Y184" s="2">
        <f t="shared" si="5"/>
        <v>100</v>
      </c>
      <c r="Z184" s="2" t="str">
        <f t="shared" si="6"/>
        <v/>
      </c>
      <c r="AA184" s="2" t="str">
        <f t="shared" si="7"/>
        <v/>
      </c>
      <c r="AB184" s="2" t="str">
        <f t="shared" si="8"/>
        <v>Fully Accessible</v>
      </c>
      <c r="AC184" s="2">
        <f t="shared" si="9"/>
        <v>0.10114415799999961</v>
      </c>
      <c r="AE184" s="10" t="s">
        <v>244</v>
      </c>
      <c r="AF184" s="11" t="s">
        <v>53</v>
      </c>
      <c r="AH184" s="6" t="str">
        <f t="shared" si="10"/>
        <v>Europe &amp; Central Asia</v>
      </c>
      <c r="AI184" s="6"/>
      <c r="AJ184" s="6"/>
      <c r="AK184" s="10">
        <f t="shared" si="26"/>
        <v>9.0394724000000787E-2</v>
      </c>
      <c r="AL184" s="6"/>
      <c r="AM184" s="6"/>
      <c r="AN184" s="6"/>
      <c r="AO184" s="10">
        <f t="shared" si="12"/>
        <v>0</v>
      </c>
      <c r="AP184" s="6"/>
      <c r="AQ184" s="6"/>
      <c r="AR184" s="6"/>
      <c r="AS184" s="10">
        <f t="shared" si="15"/>
        <v>0</v>
      </c>
      <c r="AT184" s="6"/>
      <c r="AU184" s="6"/>
      <c r="AX184" s="2">
        <f t="shared" si="18"/>
        <v>1553.9920044</v>
      </c>
      <c r="AY184" s="2">
        <f t="shared" si="19"/>
        <v>53.22699738</v>
      </c>
      <c r="AZ184" s="2">
        <f t="shared" si="20"/>
        <v>1500.76500702</v>
      </c>
      <c r="BA184" s="6"/>
    </row>
    <row r="185" spans="1:53" x14ac:dyDescent="0.25">
      <c r="A185" s="2" t="s">
        <v>153</v>
      </c>
      <c r="B185" s="2">
        <v>2020</v>
      </c>
      <c r="C185" s="2">
        <v>786.55902100000003</v>
      </c>
      <c r="D185" s="2">
        <v>26.7859993</v>
      </c>
      <c r="E185" s="2">
        <v>95.554806850000006</v>
      </c>
      <c r="F185" s="2">
        <v>1.205244408</v>
      </c>
      <c r="G185" s="2">
        <v>1.143069849</v>
      </c>
      <c r="H185" s="2">
        <v>2.0968788969999999</v>
      </c>
      <c r="I185" s="2">
        <v>93.928490499999995</v>
      </c>
      <c r="J185" s="2">
        <v>1.6461938620000001</v>
      </c>
      <c r="K185" s="2">
        <v>1.5612748329999999</v>
      </c>
      <c r="L185" s="2">
        <v>2.864040809</v>
      </c>
      <c r="M185" s="2">
        <v>100</v>
      </c>
      <c r="N185" s="2">
        <v>0</v>
      </c>
      <c r="O185" s="2">
        <v>0</v>
      </c>
      <c r="P185" s="2">
        <v>0</v>
      </c>
      <c r="Q185" s="2" t="str">
        <f t="shared" si="0"/>
        <v>Guyana|2020</v>
      </c>
      <c r="R185" s="2" t="str">
        <f t="shared" si="1"/>
        <v xml:space="preserve"> </v>
      </c>
      <c r="T185" s="2" t="b">
        <f t="shared" si="24"/>
        <v>0</v>
      </c>
      <c r="U185" s="2" t="b">
        <f t="shared" si="28"/>
        <v>0</v>
      </c>
      <c r="V185" s="2" t="b">
        <f t="shared" si="2"/>
        <v>0</v>
      </c>
      <c r="W185" s="2">
        <f t="shared" si="3"/>
        <v>96</v>
      </c>
      <c r="X185" s="2">
        <f t="shared" si="4"/>
        <v>94</v>
      </c>
      <c r="Y185" s="2">
        <f t="shared" si="5"/>
        <v>100</v>
      </c>
      <c r="Z185" s="2" t="str">
        <f t="shared" si="6"/>
        <v/>
      </c>
      <c r="AA185" s="2" t="str">
        <f t="shared" si="7"/>
        <v/>
      </c>
      <c r="AB185" s="2" t="str">
        <f t="shared" si="8"/>
        <v/>
      </c>
      <c r="AC185" s="2">
        <f t="shared" si="9"/>
        <v>0</v>
      </c>
      <c r="AE185" s="10" t="s">
        <v>245</v>
      </c>
      <c r="AF185" s="11" t="s">
        <v>63</v>
      </c>
      <c r="AH185" s="6" t="str">
        <f t="shared" si="10"/>
        <v>Sub-Saharan Africa</v>
      </c>
      <c r="AI185" s="6"/>
      <c r="AJ185" s="6"/>
      <c r="AK185" s="10">
        <f t="shared" si="26"/>
        <v>1.2606288339999991</v>
      </c>
      <c r="AL185" s="6"/>
      <c r="AM185" s="6"/>
      <c r="AN185" s="6"/>
      <c r="AO185" s="10">
        <f t="shared" si="12"/>
        <v>1.8603453279999997</v>
      </c>
      <c r="AP185" s="6"/>
      <c r="AQ185" s="6"/>
      <c r="AR185" s="6"/>
      <c r="AS185" s="10">
        <f t="shared" si="15"/>
        <v>0.35480063599999878</v>
      </c>
      <c r="AT185" s="6"/>
      <c r="AU185" s="6"/>
      <c r="AX185" s="2" t="str">
        <f t="shared" si="18"/>
        <v>null</v>
      </c>
      <c r="AY185" s="2" t="str">
        <f t="shared" si="19"/>
        <v>null</v>
      </c>
      <c r="AZ185" s="2" t="str">
        <f t="shared" si="20"/>
        <v>null</v>
      </c>
      <c r="BA185" s="6"/>
    </row>
    <row r="186" spans="1:53" x14ac:dyDescent="0.25">
      <c r="A186" s="2" t="s">
        <v>154</v>
      </c>
      <c r="B186" s="2">
        <v>2015</v>
      </c>
      <c r="C186" s="2">
        <v>10695.54004</v>
      </c>
      <c r="D186" s="2">
        <v>52.426998140000002</v>
      </c>
      <c r="E186" s="2">
        <v>64.567485939999997</v>
      </c>
      <c r="F186" s="2">
        <v>9.2184870100000005</v>
      </c>
      <c r="G186" s="2">
        <v>25.477839450000001</v>
      </c>
      <c r="H186" s="2">
        <v>0.73618759609999995</v>
      </c>
      <c r="I186" s="2">
        <v>42.416418049999997</v>
      </c>
      <c r="J186" s="2">
        <v>12.228897890000001</v>
      </c>
      <c r="K186" s="2">
        <v>43.807193750000003</v>
      </c>
      <c r="L186" s="2">
        <v>1.5474903170000001</v>
      </c>
      <c r="M186" s="2">
        <v>84.667679129999996</v>
      </c>
      <c r="N186" s="2">
        <v>6.4867974830000001</v>
      </c>
      <c r="O186" s="2">
        <v>8.8455233880000002</v>
      </c>
      <c r="P186" s="2">
        <v>0</v>
      </c>
      <c r="Q186" s="2" t="str">
        <f t="shared" si="0"/>
        <v>Haiti|2015</v>
      </c>
      <c r="R186" s="2">
        <f t="shared" si="1"/>
        <v>5</v>
      </c>
      <c r="T186" s="2">
        <f t="shared" si="24"/>
        <v>0.4255644920000009</v>
      </c>
      <c r="U186" s="2">
        <f t="shared" si="28"/>
        <v>8.5856410000000952E-2</v>
      </c>
      <c r="V186" s="2">
        <f t="shared" si="2"/>
        <v>-9.0115679999996697E-3</v>
      </c>
      <c r="W186" s="2">
        <f t="shared" si="3"/>
        <v>65</v>
      </c>
      <c r="X186" s="2">
        <f t="shared" si="4"/>
        <v>42</v>
      </c>
      <c r="Y186" s="2">
        <f t="shared" si="5"/>
        <v>85</v>
      </c>
      <c r="Z186" s="2" t="str">
        <f t="shared" si="6"/>
        <v/>
      </c>
      <c r="AA186" s="2" t="str">
        <f t="shared" si="7"/>
        <v/>
      </c>
      <c r="AB186" s="2" t="str">
        <f t="shared" si="8"/>
        <v>Fully Accessible</v>
      </c>
      <c r="AC186" s="2">
        <f t="shared" si="9"/>
        <v>9.4867978000000616E-2</v>
      </c>
      <c r="AE186" s="10" t="s">
        <v>246</v>
      </c>
      <c r="AF186" s="11" t="s">
        <v>53</v>
      </c>
      <c r="AH186" s="6" t="str">
        <f t="shared" si="10"/>
        <v>Europe &amp; Central Asia</v>
      </c>
      <c r="AI186" s="6"/>
      <c r="AJ186" s="6"/>
      <c r="AK186" s="10">
        <f t="shared" si="26"/>
        <v>0.38181440399999927</v>
      </c>
      <c r="AL186" s="6"/>
      <c r="AM186" s="6"/>
      <c r="AN186" s="6"/>
      <c r="AO186" s="10">
        <f t="shared" si="12"/>
        <v>0.22428914000000191</v>
      </c>
      <c r="AP186" s="6"/>
      <c r="AQ186" s="6"/>
      <c r="AR186" s="6"/>
      <c r="AS186" s="10">
        <f t="shared" si="15"/>
        <v>0.50974023999999929</v>
      </c>
      <c r="AT186" s="6"/>
      <c r="AU186" s="6"/>
      <c r="AX186" s="2">
        <f t="shared" si="18"/>
        <v>22098.073239999998</v>
      </c>
      <c r="AY186" s="2">
        <f t="shared" si="19"/>
        <v>109.51499558</v>
      </c>
      <c r="AZ186" s="2">
        <f t="shared" si="20"/>
        <v>21988.558244419997</v>
      </c>
      <c r="BA186" s="16"/>
    </row>
    <row r="187" spans="1:53" x14ac:dyDescent="0.25">
      <c r="A187" s="2" t="s">
        <v>154</v>
      </c>
      <c r="B187" s="2">
        <v>2020</v>
      </c>
      <c r="C187" s="2">
        <v>11402.5332</v>
      </c>
      <c r="D187" s="2">
        <v>57.087997440000002</v>
      </c>
      <c r="E187" s="2">
        <v>66.695308400000002</v>
      </c>
      <c r="F187" s="2">
        <v>9.8145436519999993</v>
      </c>
      <c r="G187" s="2">
        <v>23.490147950000001</v>
      </c>
      <c r="H187" s="2">
        <v>0</v>
      </c>
      <c r="I187" s="2">
        <v>42.845700100000002</v>
      </c>
      <c r="J187" s="2">
        <v>13.25598695</v>
      </c>
      <c r="K187" s="2">
        <v>43.898312949999998</v>
      </c>
      <c r="L187" s="2">
        <v>0</v>
      </c>
      <c r="M187" s="2">
        <v>84.622621289999998</v>
      </c>
      <c r="N187" s="2">
        <v>7.2276738790000001</v>
      </c>
      <c r="O187" s="2">
        <v>8.1497048349999996</v>
      </c>
      <c r="P187" s="2">
        <v>0</v>
      </c>
      <c r="Q187" s="2" t="str">
        <f t="shared" si="0"/>
        <v>Haiti|2020</v>
      </c>
      <c r="R187" s="2" t="str">
        <f t="shared" si="1"/>
        <v xml:space="preserve"> </v>
      </c>
      <c r="T187" s="2" t="b">
        <f t="shared" si="24"/>
        <v>0</v>
      </c>
      <c r="U187" s="2" t="b">
        <f t="shared" si="28"/>
        <v>0</v>
      </c>
      <c r="V187" s="2" t="b">
        <f t="shared" si="2"/>
        <v>0</v>
      </c>
      <c r="W187" s="2">
        <f t="shared" si="3"/>
        <v>67</v>
      </c>
      <c r="X187" s="2">
        <f t="shared" si="4"/>
        <v>43</v>
      </c>
      <c r="Y187" s="2">
        <f t="shared" si="5"/>
        <v>85</v>
      </c>
      <c r="Z187" s="2" t="str">
        <f t="shared" si="6"/>
        <v/>
      </c>
      <c r="AA187" s="2" t="str">
        <f t="shared" si="7"/>
        <v/>
      </c>
      <c r="AB187" s="2" t="str">
        <f t="shared" si="8"/>
        <v/>
      </c>
      <c r="AC187" s="2">
        <f t="shared" si="9"/>
        <v>0</v>
      </c>
      <c r="AE187" s="10" t="s">
        <v>247</v>
      </c>
      <c r="AF187" s="11" t="s">
        <v>51</v>
      </c>
      <c r="AH187" s="6" t="str">
        <f t="shared" si="10"/>
        <v>East Asia &amp; Pacific</v>
      </c>
      <c r="AI187" s="6"/>
      <c r="AJ187" s="6"/>
      <c r="AK187" s="10">
        <f t="shared" si="26"/>
        <v>0.15021384750000166</v>
      </c>
      <c r="AL187" s="6"/>
      <c r="AM187" s="6"/>
      <c r="AN187" s="6"/>
      <c r="AO187" s="10">
        <f t="shared" si="12"/>
        <v>0</v>
      </c>
      <c r="AP187" s="6"/>
      <c r="AQ187" s="6"/>
      <c r="AR187" s="6"/>
      <c r="AS187" s="10">
        <f t="shared" si="15"/>
        <v>0</v>
      </c>
      <c r="AT187" s="6"/>
      <c r="AU187" s="6"/>
      <c r="AX187" s="2" t="str">
        <f t="shared" si="18"/>
        <v>null</v>
      </c>
      <c r="AY187" s="2" t="str">
        <f t="shared" si="19"/>
        <v>null</v>
      </c>
      <c r="AZ187" s="2" t="str">
        <f t="shared" si="20"/>
        <v>null</v>
      </c>
      <c r="BA187" s="6"/>
    </row>
    <row r="188" spans="1:53" x14ac:dyDescent="0.25">
      <c r="A188" s="2" t="s">
        <v>155</v>
      </c>
      <c r="B188" s="2">
        <v>2015</v>
      </c>
      <c r="C188" s="2">
        <v>9112.9042969999991</v>
      </c>
      <c r="D188" s="2">
        <v>55.164997100000001</v>
      </c>
      <c r="E188" s="2">
        <v>93.254410710000002</v>
      </c>
      <c r="F188" s="2">
        <v>0.43175410669999997</v>
      </c>
      <c r="G188" s="2">
        <v>6.0221561560000003</v>
      </c>
      <c r="H188" s="2">
        <v>0.29167902839999998</v>
      </c>
      <c r="I188" s="2">
        <v>86.437073749999996</v>
      </c>
      <c r="J188" s="2">
        <v>0.77584410459999997</v>
      </c>
      <c r="K188" s="2">
        <v>12.14597638</v>
      </c>
      <c r="L188" s="2">
        <v>0.6411057671</v>
      </c>
      <c r="M188" s="2">
        <v>98.795162680000004</v>
      </c>
      <c r="N188" s="2">
        <v>0.15209716100000001</v>
      </c>
      <c r="O188" s="2">
        <v>1.04505549</v>
      </c>
      <c r="P188" s="2">
        <v>7.6846736400000004E-3</v>
      </c>
      <c r="Q188" s="2" t="str">
        <f t="shared" si="0"/>
        <v>Honduras|2015</v>
      </c>
      <c r="R188" s="2">
        <f t="shared" si="1"/>
        <v>5</v>
      </c>
      <c r="T188" s="2">
        <f t="shared" si="24"/>
        <v>0.48696208400000102</v>
      </c>
      <c r="U188" s="2">
        <f t="shared" si="28"/>
        <v>0.68774516000000008</v>
      </c>
      <c r="V188" s="2">
        <f t="shared" si="2"/>
        <v>0.20842402600000015</v>
      </c>
      <c r="W188" s="2">
        <f t="shared" si="3"/>
        <v>93</v>
      </c>
      <c r="X188" s="2">
        <f t="shared" si="4"/>
        <v>86</v>
      </c>
      <c r="Y188" s="2">
        <f t="shared" si="5"/>
        <v>99</v>
      </c>
      <c r="Z188" s="2" t="str">
        <f t="shared" si="6"/>
        <v/>
      </c>
      <c r="AA188" s="2" t="str">
        <f t="shared" si="7"/>
        <v/>
      </c>
      <c r="AB188" s="2" t="str">
        <f t="shared" si="8"/>
        <v>Fully Accessible</v>
      </c>
      <c r="AC188" s="2">
        <f t="shared" si="9"/>
        <v>0.47932113399999993</v>
      </c>
      <c r="AE188" s="10" t="s">
        <v>248</v>
      </c>
      <c r="AF188" s="11" t="s">
        <v>63</v>
      </c>
      <c r="AH188" s="6" t="str">
        <f t="shared" si="10"/>
        <v>Sub-Saharan Africa</v>
      </c>
      <c r="AI188" s="6"/>
      <c r="AJ188" s="6"/>
      <c r="AK188" s="10">
        <f t="shared" si="26"/>
        <v>1.1837640919999999</v>
      </c>
      <c r="AL188" s="6"/>
      <c r="AM188" s="6"/>
      <c r="AN188" s="6"/>
      <c r="AO188" s="10">
        <f t="shared" si="12"/>
        <v>1.4445977659999998</v>
      </c>
      <c r="AP188" s="6"/>
      <c r="AQ188" s="6"/>
      <c r="AR188" s="6"/>
      <c r="AS188" s="10">
        <f t="shared" si="15"/>
        <v>0.54256001599999881</v>
      </c>
      <c r="AT188" s="6"/>
      <c r="AU188" s="6"/>
      <c r="AX188" s="2">
        <f t="shared" si="18"/>
        <v>19017.512694999998</v>
      </c>
      <c r="AY188" s="2">
        <f t="shared" si="19"/>
        <v>113.52399444</v>
      </c>
      <c r="AZ188" s="2">
        <f t="shared" si="20"/>
        <v>18903.988700559999</v>
      </c>
      <c r="BA188" s="16"/>
    </row>
    <row r="189" spans="1:53" x14ac:dyDescent="0.25">
      <c r="A189" s="2" t="s">
        <v>155</v>
      </c>
      <c r="B189" s="2">
        <v>2020</v>
      </c>
      <c r="C189" s="2">
        <v>9904.6083980000003</v>
      </c>
      <c r="D189" s="2">
        <v>58.358997340000002</v>
      </c>
      <c r="E189" s="2">
        <v>95.689221130000007</v>
      </c>
      <c r="F189" s="2">
        <v>0.4256206085</v>
      </c>
      <c r="G189" s="2">
        <v>3.8851582640000002</v>
      </c>
      <c r="H189" s="2">
        <v>0</v>
      </c>
      <c r="I189" s="2">
        <v>89.875799549999996</v>
      </c>
      <c r="J189" s="2">
        <v>0.80670950789999996</v>
      </c>
      <c r="K189" s="2">
        <v>9.3174909459999995</v>
      </c>
      <c r="L189" s="2">
        <v>0</v>
      </c>
      <c r="M189" s="2">
        <v>99.837282810000005</v>
      </c>
      <c r="N189" s="2">
        <v>0.15370152619999999</v>
      </c>
      <c r="O189" s="2">
        <v>9.0156632960000007E-3</v>
      </c>
      <c r="P189" s="2">
        <v>0</v>
      </c>
      <c r="Q189" s="2" t="str">
        <f t="shared" si="0"/>
        <v>Honduras|2020</v>
      </c>
      <c r="R189" s="2" t="str">
        <f t="shared" si="1"/>
        <v xml:space="preserve"> </v>
      </c>
      <c r="T189" s="2" t="b">
        <f t="shared" si="24"/>
        <v>0</v>
      </c>
      <c r="U189" s="2" t="b">
        <f t="shared" si="28"/>
        <v>0</v>
      </c>
      <c r="V189" s="2" t="b">
        <f t="shared" si="2"/>
        <v>0</v>
      </c>
      <c r="W189" s="2">
        <f t="shared" si="3"/>
        <v>96</v>
      </c>
      <c r="X189" s="2">
        <f t="shared" si="4"/>
        <v>90</v>
      </c>
      <c r="Y189" s="2">
        <f t="shared" si="5"/>
        <v>100</v>
      </c>
      <c r="Z189" s="2" t="str">
        <f t="shared" si="6"/>
        <v/>
      </c>
      <c r="AA189" s="2" t="str">
        <f t="shared" si="7"/>
        <v/>
      </c>
      <c r="AB189" s="2" t="str">
        <f t="shared" si="8"/>
        <v/>
      </c>
      <c r="AC189" s="2">
        <f t="shared" si="9"/>
        <v>0</v>
      </c>
      <c r="AE189" s="10" t="s">
        <v>249</v>
      </c>
      <c r="AF189" s="11" t="s">
        <v>51</v>
      </c>
      <c r="AH189" s="6" t="str">
        <f t="shared" si="10"/>
        <v>East Asia &amp; Pacific</v>
      </c>
      <c r="AI189" s="6"/>
      <c r="AJ189" s="6"/>
      <c r="AK189" s="10">
        <f t="shared" si="26"/>
        <v>0</v>
      </c>
      <c r="AL189" s="6"/>
      <c r="AM189" s="6"/>
      <c r="AN189" s="6"/>
      <c r="AO189" s="10">
        <f t="shared" si="12"/>
        <v>0</v>
      </c>
      <c r="AP189" s="6"/>
      <c r="AQ189" s="6"/>
      <c r="AR189" s="6"/>
      <c r="AS189" s="10">
        <f t="shared" si="15"/>
        <v>0</v>
      </c>
      <c r="AT189" s="6"/>
      <c r="AU189" s="6"/>
      <c r="AX189" s="2" t="str">
        <f t="shared" si="18"/>
        <v>null</v>
      </c>
      <c r="AY189" s="2" t="str">
        <f t="shared" si="19"/>
        <v>null</v>
      </c>
      <c r="AZ189" s="2" t="str">
        <f t="shared" si="20"/>
        <v>null</v>
      </c>
      <c r="BA189" s="16"/>
    </row>
    <row r="190" spans="1:53" x14ac:dyDescent="0.25">
      <c r="A190" s="2" t="s">
        <v>156</v>
      </c>
      <c r="B190" s="2">
        <v>2015</v>
      </c>
      <c r="C190" s="2">
        <v>9777.9248050000006</v>
      </c>
      <c r="D190" s="2">
        <v>70.5</v>
      </c>
      <c r="E190" s="2">
        <v>99.970528959999996</v>
      </c>
      <c r="F190" s="2">
        <v>0</v>
      </c>
      <c r="G190" s="2">
        <v>2.9471039399999999E-2</v>
      </c>
      <c r="H190" s="2">
        <v>0</v>
      </c>
      <c r="I190" s="2">
        <v>99.900089719999997</v>
      </c>
      <c r="J190" s="2">
        <v>0</v>
      </c>
      <c r="K190" s="2">
        <v>9.9910284789999998E-2</v>
      </c>
      <c r="L190" s="2">
        <v>0</v>
      </c>
      <c r="M190" s="2">
        <v>100</v>
      </c>
      <c r="N190" s="2">
        <v>0</v>
      </c>
      <c r="O190" s="2">
        <v>0</v>
      </c>
      <c r="P190" s="2">
        <v>0</v>
      </c>
      <c r="Q190" s="2" t="str">
        <f t="shared" si="0"/>
        <v>Hungary|2015</v>
      </c>
      <c r="R190" s="2">
        <f t="shared" si="1"/>
        <v>5</v>
      </c>
      <c r="T190" s="2">
        <f t="shared" si="24"/>
        <v>5.8937020000001897E-3</v>
      </c>
      <c r="U190" s="2">
        <f t="shared" si="28"/>
        <v>1.9982056000000626E-2</v>
      </c>
      <c r="V190" s="2">
        <f t="shared" si="2"/>
        <v>0</v>
      </c>
      <c r="W190" s="2">
        <f t="shared" si="3"/>
        <v>100</v>
      </c>
      <c r="X190" s="2">
        <f t="shared" si="4"/>
        <v>100</v>
      </c>
      <c r="Y190" s="2">
        <f t="shared" si="5"/>
        <v>100</v>
      </c>
      <c r="Z190" s="2" t="str">
        <f t="shared" si="6"/>
        <v/>
      </c>
      <c r="AA190" s="2" t="str">
        <f t="shared" si="7"/>
        <v/>
      </c>
      <c r="AB190" s="2" t="str">
        <f t="shared" si="8"/>
        <v>Fully Accessible</v>
      </c>
      <c r="AC190" s="2">
        <f t="shared" si="9"/>
        <v>1.9982056000000626E-2</v>
      </c>
      <c r="AE190" s="10" t="s">
        <v>250</v>
      </c>
      <c r="AF190" s="11" t="s">
        <v>57</v>
      </c>
      <c r="AH190" s="6" t="str">
        <f t="shared" si="10"/>
        <v>Latin America &amp; Caribbean</v>
      </c>
      <c r="AI190" s="6"/>
      <c r="AJ190" s="6"/>
      <c r="AK190" s="10">
        <f t="shared" si="26"/>
        <v>0</v>
      </c>
      <c r="AL190" s="6"/>
      <c r="AM190" s="6"/>
      <c r="AN190" s="6"/>
      <c r="AO190" s="10">
        <f t="shared" si="12"/>
        <v>0</v>
      </c>
      <c r="AP190" s="6"/>
      <c r="AQ190" s="6"/>
      <c r="AR190" s="6"/>
      <c r="AS190" s="10">
        <f t="shared" si="15"/>
        <v>0</v>
      </c>
      <c r="AT190" s="6"/>
      <c r="AU190" s="6"/>
      <c r="AX190" s="2">
        <f t="shared" si="18"/>
        <v>19438.274414</v>
      </c>
      <c r="AY190" s="2">
        <f t="shared" si="19"/>
        <v>142.44200133999999</v>
      </c>
      <c r="AZ190" s="2">
        <f t="shared" si="20"/>
        <v>19295.832412659998</v>
      </c>
      <c r="BA190" s="6"/>
    </row>
    <row r="191" spans="1:53" x14ac:dyDescent="0.25">
      <c r="A191" s="2" t="s">
        <v>156</v>
      </c>
      <c r="B191" s="2">
        <v>2020</v>
      </c>
      <c r="C191" s="2">
        <v>9660.3496090000008</v>
      </c>
      <c r="D191" s="2">
        <v>71.942001340000004</v>
      </c>
      <c r="E191" s="2">
        <v>99.999997469999997</v>
      </c>
      <c r="F191" s="2">
        <v>0</v>
      </c>
      <c r="G191" s="2">
        <v>2.5272441919999999E-6</v>
      </c>
      <c r="H191" s="2">
        <v>0</v>
      </c>
      <c r="I191" s="2">
        <v>100</v>
      </c>
      <c r="J191" s="2">
        <v>0</v>
      </c>
      <c r="K191" s="2">
        <v>0</v>
      </c>
      <c r="L191" s="2">
        <v>0</v>
      </c>
      <c r="M191" s="2">
        <v>100</v>
      </c>
      <c r="N191" s="2">
        <v>0</v>
      </c>
      <c r="O191" s="2">
        <v>0</v>
      </c>
      <c r="P191" s="2">
        <v>0</v>
      </c>
      <c r="Q191" s="2" t="str">
        <f t="shared" si="0"/>
        <v>Hungary|2020</v>
      </c>
      <c r="R191" s="2" t="str">
        <f t="shared" si="1"/>
        <v xml:space="preserve"> </v>
      </c>
      <c r="T191" s="2" t="b">
        <f t="shared" si="24"/>
        <v>0</v>
      </c>
      <c r="U191" s="2" t="b">
        <f t="shared" si="28"/>
        <v>0</v>
      </c>
      <c r="V191" s="2" t="b">
        <f t="shared" si="2"/>
        <v>0</v>
      </c>
      <c r="W191" s="2">
        <f t="shared" si="3"/>
        <v>100</v>
      </c>
      <c r="X191" s="2">
        <f t="shared" si="4"/>
        <v>100</v>
      </c>
      <c r="Y191" s="2">
        <f t="shared" si="5"/>
        <v>100</v>
      </c>
      <c r="Z191" s="2" t="str">
        <f t="shared" si="6"/>
        <v/>
      </c>
      <c r="AA191" s="2" t="str">
        <f t="shared" si="7"/>
        <v/>
      </c>
      <c r="AB191" s="2" t="str">
        <f t="shared" si="8"/>
        <v/>
      </c>
      <c r="AC191" s="2">
        <f t="shared" si="9"/>
        <v>0</v>
      </c>
      <c r="AE191" s="10" t="s">
        <v>251</v>
      </c>
      <c r="AF191" s="11" t="s">
        <v>53</v>
      </c>
      <c r="AH191" s="6" t="str">
        <f t="shared" si="10"/>
        <v>Europe &amp; Central Asia</v>
      </c>
      <c r="AI191" s="6"/>
      <c r="AJ191" s="6"/>
      <c r="AK191" s="10">
        <f t="shared" si="26"/>
        <v>1.018899999991163E-4</v>
      </c>
      <c r="AL191" s="6"/>
      <c r="AM191" s="6"/>
      <c r="AN191" s="6"/>
      <c r="AO191" s="10">
        <f t="shared" si="12"/>
        <v>0</v>
      </c>
      <c r="AP191" s="6"/>
      <c r="AQ191" s="6"/>
      <c r="AR191" s="6"/>
      <c r="AS191" s="10">
        <f t="shared" si="15"/>
        <v>0</v>
      </c>
      <c r="AT191" s="6"/>
      <c r="AU191" s="6"/>
      <c r="AX191" s="2" t="str">
        <f t="shared" si="18"/>
        <v>null</v>
      </c>
      <c r="AY191" s="2" t="str">
        <f t="shared" si="19"/>
        <v>null</v>
      </c>
      <c r="AZ191" s="2" t="str">
        <f t="shared" si="20"/>
        <v>null</v>
      </c>
      <c r="BA191" s="6"/>
    </row>
    <row r="192" spans="1:53" x14ac:dyDescent="0.25">
      <c r="A192" s="2" t="s">
        <v>157</v>
      </c>
      <c r="B192" s="2">
        <v>2015</v>
      </c>
      <c r="C192" s="2">
        <v>330.23699950000002</v>
      </c>
      <c r="D192" s="2">
        <v>93.699996949999999</v>
      </c>
      <c r="E192" s="2">
        <v>100.00000230000001</v>
      </c>
      <c r="F192" s="2">
        <v>0</v>
      </c>
      <c r="G192" s="2">
        <v>0</v>
      </c>
      <c r="H192" s="2">
        <v>0</v>
      </c>
      <c r="I192" s="2">
        <v>100</v>
      </c>
      <c r="J192" s="2">
        <v>0</v>
      </c>
      <c r="K192" s="2">
        <v>0</v>
      </c>
      <c r="L192" s="2">
        <v>0</v>
      </c>
      <c r="M192" s="2">
        <v>100</v>
      </c>
      <c r="N192" s="2">
        <v>0</v>
      </c>
      <c r="O192" s="2">
        <v>0</v>
      </c>
      <c r="P192" s="2">
        <v>0</v>
      </c>
      <c r="Q192" s="2" t="str">
        <f t="shared" si="0"/>
        <v>Iceland|2015</v>
      </c>
      <c r="R192" s="2">
        <f t="shared" si="1"/>
        <v>5</v>
      </c>
      <c r="T192" s="2">
        <f t="shared" si="24"/>
        <v>-1.0180000003856548E-6</v>
      </c>
      <c r="U192" s="2">
        <f t="shared" si="28"/>
        <v>0</v>
      </c>
      <c r="V192" s="2">
        <f t="shared" si="2"/>
        <v>0</v>
      </c>
      <c r="W192" s="2">
        <f t="shared" si="3"/>
        <v>100</v>
      </c>
      <c r="X192" s="2">
        <f t="shared" si="4"/>
        <v>100</v>
      </c>
      <c r="Y192" s="2">
        <f t="shared" si="5"/>
        <v>100</v>
      </c>
      <c r="Z192" s="2" t="str">
        <f t="shared" si="6"/>
        <v/>
      </c>
      <c r="AA192" s="2" t="str">
        <f t="shared" si="7"/>
        <v/>
      </c>
      <c r="AB192" s="2" t="str">
        <f t="shared" si="8"/>
        <v>Fully Accessible</v>
      </c>
      <c r="AC192" s="2">
        <f t="shared" si="9"/>
        <v>0</v>
      </c>
      <c r="AE192" s="10" t="s">
        <v>252</v>
      </c>
      <c r="AF192" s="11" t="s">
        <v>53</v>
      </c>
      <c r="AH192" s="6" t="str">
        <f t="shared" si="10"/>
        <v>Europe &amp; Central Asia</v>
      </c>
      <c r="AI192" s="6"/>
      <c r="AJ192" s="6"/>
      <c r="AK192" s="10">
        <f t="shared" si="26"/>
        <v>0</v>
      </c>
      <c r="AL192" s="6"/>
      <c r="AM192" s="6"/>
      <c r="AN192" s="6"/>
      <c r="AO192" s="10">
        <f t="shared" si="12"/>
        <v>0</v>
      </c>
      <c r="AP192" s="6"/>
      <c r="AQ192" s="6"/>
      <c r="AR192" s="6"/>
      <c r="AS192" s="10">
        <f t="shared" si="15"/>
        <v>0</v>
      </c>
      <c r="AT192" s="6"/>
      <c r="AU192" s="6"/>
      <c r="AX192" s="2">
        <f t="shared" si="18"/>
        <v>671.48699950000002</v>
      </c>
      <c r="AY192" s="2">
        <f t="shared" si="19"/>
        <v>187.59799194999999</v>
      </c>
      <c r="AZ192" s="2">
        <f t="shared" si="20"/>
        <v>483.88900755000003</v>
      </c>
      <c r="BA192" s="6"/>
    </row>
    <row r="193" spans="1:53" x14ac:dyDescent="0.25">
      <c r="A193" s="2" t="s">
        <v>157</v>
      </c>
      <c r="B193" s="2">
        <v>2020</v>
      </c>
      <c r="C193" s="2">
        <v>341.25</v>
      </c>
      <c r="D193" s="2">
        <v>93.897994999999995</v>
      </c>
      <c r="E193" s="2">
        <v>99.999997210000004</v>
      </c>
      <c r="F193" s="2">
        <v>0</v>
      </c>
      <c r="G193" s="2">
        <v>2.7946500150000002E-6</v>
      </c>
      <c r="H193" s="2">
        <v>0</v>
      </c>
      <c r="I193" s="2">
        <v>100</v>
      </c>
      <c r="J193" s="2">
        <v>0</v>
      </c>
      <c r="K193" s="2">
        <v>0</v>
      </c>
      <c r="L193" s="2">
        <v>0</v>
      </c>
      <c r="M193" s="2">
        <v>100</v>
      </c>
      <c r="N193" s="2">
        <v>0</v>
      </c>
      <c r="O193" s="2">
        <v>0</v>
      </c>
      <c r="P193" s="2">
        <v>0</v>
      </c>
      <c r="Q193" s="2" t="str">
        <f t="shared" si="0"/>
        <v>Iceland|2020</v>
      </c>
      <c r="R193" s="2" t="str">
        <f t="shared" si="1"/>
        <v xml:space="preserve"> </v>
      </c>
      <c r="T193" s="2" t="b">
        <f t="shared" si="24"/>
        <v>0</v>
      </c>
      <c r="U193" s="2" t="b">
        <f t="shared" si="28"/>
        <v>0</v>
      </c>
      <c r="V193" s="2" t="b">
        <f t="shared" si="2"/>
        <v>0</v>
      </c>
      <c r="W193" s="2">
        <f t="shared" si="3"/>
        <v>100</v>
      </c>
      <c r="X193" s="2">
        <f t="shared" si="4"/>
        <v>100</v>
      </c>
      <c r="Y193" s="2">
        <f t="shared" si="5"/>
        <v>100</v>
      </c>
      <c r="Z193" s="2" t="str">
        <f t="shared" si="6"/>
        <v/>
      </c>
      <c r="AA193" s="2" t="str">
        <f t="shared" si="7"/>
        <v/>
      </c>
      <c r="AB193" s="2" t="str">
        <f t="shared" si="8"/>
        <v/>
      </c>
      <c r="AC193" s="2">
        <f t="shared" si="9"/>
        <v>0</v>
      </c>
      <c r="AE193" s="10" t="s">
        <v>253</v>
      </c>
      <c r="AF193" s="11" t="s">
        <v>51</v>
      </c>
      <c r="AH193" s="6" t="str">
        <f t="shared" si="10"/>
        <v>East Asia &amp; Pacific</v>
      </c>
      <c r="AI193" s="6"/>
      <c r="AJ193" s="6"/>
      <c r="AK193" s="10">
        <f t="shared" si="26"/>
        <v>-0.40577867000000084</v>
      </c>
      <c r="AL193" s="6"/>
      <c r="AM193" s="6"/>
      <c r="AN193" s="6"/>
      <c r="AO193" s="10">
        <f t="shared" si="12"/>
        <v>-0.72137414000000033</v>
      </c>
      <c r="AP193" s="6"/>
      <c r="AQ193" s="6"/>
      <c r="AR193" s="6"/>
      <c r="AS193" s="10">
        <f t="shared" si="15"/>
        <v>2.8760967999997434E-2</v>
      </c>
      <c r="AT193" s="6"/>
      <c r="AU193" s="6"/>
      <c r="AX193" s="2" t="str">
        <f t="shared" si="18"/>
        <v>null</v>
      </c>
      <c r="AY193" s="2" t="str">
        <f t="shared" si="19"/>
        <v>null</v>
      </c>
      <c r="AZ193" s="2" t="str">
        <f t="shared" si="20"/>
        <v>null</v>
      </c>
      <c r="BA193" s="6"/>
    </row>
    <row r="194" spans="1:53" x14ac:dyDescent="0.25">
      <c r="A194" s="2" t="s">
        <v>158</v>
      </c>
      <c r="B194" s="2">
        <v>2015</v>
      </c>
      <c r="C194" s="2">
        <v>1310152.375</v>
      </c>
      <c r="D194" s="2">
        <v>32.777000430000001</v>
      </c>
      <c r="E194" s="2">
        <v>88.138132630000001</v>
      </c>
      <c r="F194" s="2">
        <v>4.6925990149999999</v>
      </c>
      <c r="G194" s="2">
        <v>6.4124515520000003</v>
      </c>
      <c r="H194" s="2">
        <v>0.75681680389999995</v>
      </c>
      <c r="I194" s="2">
        <v>85.572000349999996</v>
      </c>
      <c r="J194" s="2">
        <v>5.5421338929999999</v>
      </c>
      <c r="K194" s="2">
        <v>7.8808700040000002</v>
      </c>
      <c r="L194" s="2">
        <v>1.004995751</v>
      </c>
      <c r="M194" s="2">
        <v>93.401064610000006</v>
      </c>
      <c r="N194" s="2">
        <v>2.9502709540000001</v>
      </c>
      <c r="O194" s="2">
        <v>3.4008427999999999</v>
      </c>
      <c r="P194" s="2">
        <v>0.2478216409</v>
      </c>
      <c r="Q194" s="2" t="str">
        <f t="shared" si="0"/>
        <v>India|2015</v>
      </c>
      <c r="R194" s="2">
        <f t="shared" si="1"/>
        <v>5</v>
      </c>
      <c r="T194" s="2">
        <f t="shared" si="24"/>
        <v>0.47027847999999894</v>
      </c>
      <c r="U194" s="2">
        <f t="shared" si="28"/>
        <v>0.64210055599999971</v>
      </c>
      <c r="V194" s="2">
        <f t="shared" si="2"/>
        <v>5.379433800000015E-2</v>
      </c>
      <c r="W194" s="2">
        <f t="shared" si="3"/>
        <v>88</v>
      </c>
      <c r="X194" s="2">
        <f t="shared" si="4"/>
        <v>86</v>
      </c>
      <c r="Y194" s="2">
        <f t="shared" si="5"/>
        <v>93</v>
      </c>
      <c r="Z194" s="2" t="str">
        <f t="shared" si="6"/>
        <v/>
      </c>
      <c r="AA194" s="2" t="str">
        <f t="shared" si="7"/>
        <v/>
      </c>
      <c r="AB194" s="2" t="str">
        <f t="shared" si="8"/>
        <v>Fully Accessible</v>
      </c>
      <c r="AC194" s="2">
        <f t="shared" si="9"/>
        <v>0.5883062179999996</v>
      </c>
      <c r="AE194" s="10" t="s">
        <v>254</v>
      </c>
      <c r="AF194" s="11" t="s">
        <v>63</v>
      </c>
      <c r="AH194" s="6" t="str">
        <f t="shared" si="10"/>
        <v>Sub-Saharan Africa</v>
      </c>
      <c r="AI194" s="6"/>
      <c r="AJ194" s="6"/>
      <c r="AK194" s="10">
        <f t="shared" si="26"/>
        <v>1.553163941999999</v>
      </c>
      <c r="AL194" s="6"/>
      <c r="AM194" s="6"/>
      <c r="AN194" s="6"/>
      <c r="AO194" s="10">
        <f t="shared" si="12"/>
        <v>1.5695340439999996</v>
      </c>
      <c r="AP194" s="6"/>
      <c r="AQ194" s="6"/>
      <c r="AR194" s="6"/>
      <c r="AS194" s="10">
        <f t="shared" si="15"/>
        <v>0.96851942000000124</v>
      </c>
      <c r="AT194" s="6"/>
      <c r="AU194" s="6"/>
      <c r="AX194" s="2">
        <f t="shared" si="18"/>
        <v>2690156.75</v>
      </c>
      <c r="AY194" s="2">
        <f t="shared" si="19"/>
        <v>67.703002929999997</v>
      </c>
      <c r="AZ194" s="2">
        <f t="shared" si="20"/>
        <v>2690089.0469970698</v>
      </c>
      <c r="BA194" s="16"/>
    </row>
    <row r="195" spans="1:53" x14ac:dyDescent="0.25">
      <c r="A195" s="2" t="s">
        <v>158</v>
      </c>
      <c r="B195" s="2">
        <v>2020</v>
      </c>
      <c r="C195" s="2">
        <v>1380004.375</v>
      </c>
      <c r="D195" s="2">
        <v>34.926002500000003</v>
      </c>
      <c r="E195" s="2">
        <v>90.489525029999996</v>
      </c>
      <c r="F195" s="2">
        <v>4.9836025619999997</v>
      </c>
      <c r="G195" s="2">
        <v>3.9631539450000002</v>
      </c>
      <c r="H195" s="2">
        <v>0.56371846260000003</v>
      </c>
      <c r="I195" s="2">
        <v>88.782503129999995</v>
      </c>
      <c r="J195" s="2">
        <v>5.9022100540000002</v>
      </c>
      <c r="K195" s="2">
        <v>4.5763757299999996</v>
      </c>
      <c r="L195" s="2">
        <v>0.73891108559999996</v>
      </c>
      <c r="M195" s="2">
        <v>93.670036300000007</v>
      </c>
      <c r="N195" s="2">
        <v>3.2720560270000001</v>
      </c>
      <c r="O195" s="2">
        <v>2.8206075230000001</v>
      </c>
      <c r="P195" s="2">
        <v>0.2373001538</v>
      </c>
      <c r="Q195" s="2" t="str">
        <f t="shared" si="0"/>
        <v>India|2020</v>
      </c>
      <c r="R195" s="2" t="str">
        <f t="shared" si="1"/>
        <v xml:space="preserve"> </v>
      </c>
      <c r="T195" s="2" t="b">
        <f t="shared" si="24"/>
        <v>0</v>
      </c>
      <c r="U195" s="2" t="b">
        <f t="shared" si="28"/>
        <v>0</v>
      </c>
      <c r="V195" s="2" t="b">
        <f t="shared" si="2"/>
        <v>0</v>
      </c>
      <c r="W195" s="2">
        <f t="shared" si="3"/>
        <v>90</v>
      </c>
      <c r="X195" s="2">
        <f t="shared" si="4"/>
        <v>89</v>
      </c>
      <c r="Y195" s="2">
        <f t="shared" si="5"/>
        <v>94</v>
      </c>
      <c r="Z195" s="2" t="str">
        <f t="shared" si="6"/>
        <v/>
      </c>
      <c r="AA195" s="2" t="str">
        <f t="shared" si="7"/>
        <v/>
      </c>
      <c r="AB195" s="2" t="str">
        <f t="shared" si="8"/>
        <v/>
      </c>
      <c r="AC195" s="2">
        <f t="shared" si="9"/>
        <v>0</v>
      </c>
      <c r="AE195" s="10" t="s">
        <v>255</v>
      </c>
      <c r="AF195" s="11" t="s">
        <v>63</v>
      </c>
      <c r="AH195" s="6" t="str">
        <f t="shared" si="10"/>
        <v>Sub-Saharan Africa</v>
      </c>
      <c r="AI195" s="6"/>
      <c r="AJ195" s="6"/>
      <c r="AK195" s="10">
        <f t="shared" si="26"/>
        <v>0.4017427139999995</v>
      </c>
      <c r="AL195" s="6"/>
      <c r="AM195" s="6"/>
      <c r="AN195" s="6"/>
      <c r="AO195" s="10">
        <f t="shared" si="12"/>
        <v>0.85914853000000169</v>
      </c>
      <c r="AP195" s="6"/>
      <c r="AQ195" s="6"/>
      <c r="AR195" s="6"/>
      <c r="AS195" s="10">
        <f t="shared" si="15"/>
        <v>3.1450277999999797E-2</v>
      </c>
      <c r="AT195" s="6"/>
      <c r="AU195" s="6"/>
      <c r="AX195" s="2" t="str">
        <f t="shared" si="18"/>
        <v>null</v>
      </c>
      <c r="AY195" s="2" t="str">
        <f t="shared" si="19"/>
        <v>null</v>
      </c>
      <c r="AZ195" s="2" t="str">
        <f t="shared" si="20"/>
        <v>null</v>
      </c>
      <c r="BA195" s="6"/>
    </row>
    <row r="196" spans="1:53" x14ac:dyDescent="0.25">
      <c r="A196" s="2" t="s">
        <v>159</v>
      </c>
      <c r="B196" s="2">
        <v>2015</v>
      </c>
      <c r="C196" s="2">
        <v>258383.25</v>
      </c>
      <c r="D196" s="2">
        <v>53.312999730000001</v>
      </c>
      <c r="E196" s="2">
        <v>88.527352960000002</v>
      </c>
      <c r="F196" s="2">
        <v>0.79413052260000006</v>
      </c>
      <c r="G196" s="2">
        <v>8.9438595640000003</v>
      </c>
      <c r="H196" s="2">
        <v>1.7346569540000001</v>
      </c>
      <c r="I196" s="2">
        <v>80.630791189999997</v>
      </c>
      <c r="J196" s="2">
        <v>0.97404573149999996</v>
      </c>
      <c r="K196" s="2">
        <v>14.98518808</v>
      </c>
      <c r="L196" s="2">
        <v>3.4099750009999998</v>
      </c>
      <c r="M196" s="2">
        <v>95.442491759999996</v>
      </c>
      <c r="N196" s="2">
        <v>0.63657604779999999</v>
      </c>
      <c r="O196" s="2">
        <v>3.6533766409999999</v>
      </c>
      <c r="P196" s="2">
        <v>0.26755555320000002</v>
      </c>
      <c r="Q196" s="2" t="str">
        <f t="shared" si="0"/>
        <v>Indonesia|2015</v>
      </c>
      <c r="R196" s="2">
        <f t="shared" si="1"/>
        <v>5</v>
      </c>
      <c r="T196" s="2">
        <f t="shared" si="24"/>
        <v>0.77759933000000103</v>
      </c>
      <c r="U196" s="2">
        <f t="shared" si="28"/>
        <v>1.0074342380000019</v>
      </c>
      <c r="V196" s="2">
        <f t="shared" si="2"/>
        <v>0.42760406200000034</v>
      </c>
      <c r="W196" s="2">
        <f t="shared" si="3"/>
        <v>89</v>
      </c>
      <c r="X196" s="2">
        <f t="shared" si="4"/>
        <v>81</v>
      </c>
      <c r="Y196" s="2">
        <f t="shared" si="5"/>
        <v>95</v>
      </c>
      <c r="Z196" s="2" t="str">
        <f t="shared" si="6"/>
        <v/>
      </c>
      <c r="AA196" s="2" t="str">
        <f t="shared" si="7"/>
        <v/>
      </c>
      <c r="AB196" s="2" t="str">
        <f t="shared" si="8"/>
        <v>Fully Accessible</v>
      </c>
      <c r="AC196" s="2">
        <f t="shared" si="9"/>
        <v>0.57983017600000153</v>
      </c>
      <c r="AE196" s="10" t="s">
        <v>256</v>
      </c>
      <c r="AF196" s="11" t="s">
        <v>63</v>
      </c>
      <c r="AH196" s="6" t="str">
        <f t="shared" si="10"/>
        <v>Sub-Saharan Africa</v>
      </c>
      <c r="AI196" s="6"/>
      <c r="AJ196" s="6"/>
      <c r="AK196" s="10">
        <f t="shared" si="26"/>
        <v>-5.9316458000000696E-2</v>
      </c>
      <c r="AL196" s="6"/>
      <c r="AM196" s="6"/>
      <c r="AN196" s="6"/>
      <c r="AO196" s="10">
        <f t="shared" si="12"/>
        <v>-0.6266301839999997</v>
      </c>
      <c r="AP196" s="6"/>
      <c r="AQ196" s="6"/>
      <c r="AR196" s="6"/>
      <c r="AS196" s="10">
        <f t="shared" si="15"/>
        <v>1.8621654179999994</v>
      </c>
      <c r="AT196" s="6"/>
      <c r="AU196" s="6"/>
      <c r="AX196" s="2">
        <f t="shared" si="18"/>
        <v>531906.875</v>
      </c>
      <c r="AY196" s="2">
        <f t="shared" si="19"/>
        <v>109.95399857000001</v>
      </c>
      <c r="AZ196" s="2">
        <f t="shared" si="20"/>
        <v>531796.92100143002</v>
      </c>
      <c r="BA196" s="16"/>
    </row>
    <row r="197" spans="1:53" x14ac:dyDescent="0.25">
      <c r="A197" s="2" t="s">
        <v>159</v>
      </c>
      <c r="B197" s="2">
        <v>2020</v>
      </c>
      <c r="C197" s="2">
        <v>273523.625</v>
      </c>
      <c r="D197" s="2">
        <v>56.640998840000002</v>
      </c>
      <c r="E197" s="2">
        <v>92.415349610000007</v>
      </c>
      <c r="F197" s="2">
        <v>0.85547463349999997</v>
      </c>
      <c r="G197" s="2">
        <v>5.553871666</v>
      </c>
      <c r="H197" s="2">
        <v>1.175304087</v>
      </c>
      <c r="I197" s="2">
        <v>85.667962380000006</v>
      </c>
      <c r="J197" s="2">
        <v>1.1780912299999999</v>
      </c>
      <c r="K197" s="2">
        <v>10.61491462</v>
      </c>
      <c r="L197" s="2">
        <v>2.539031772</v>
      </c>
      <c r="M197" s="2">
        <v>97.580512069999997</v>
      </c>
      <c r="N197" s="2">
        <v>0.60850983449999996</v>
      </c>
      <c r="O197" s="2">
        <v>1.679615139</v>
      </c>
      <c r="P197" s="2">
        <v>0.13136295880000001</v>
      </c>
      <c r="Q197" s="2" t="str">
        <f t="shared" si="0"/>
        <v>Indonesia|2020</v>
      </c>
      <c r="R197" s="2" t="str">
        <f t="shared" si="1"/>
        <v xml:space="preserve"> </v>
      </c>
      <c r="T197" s="2" t="b">
        <f t="shared" si="24"/>
        <v>0</v>
      </c>
      <c r="U197" s="2" t="b">
        <f t="shared" si="28"/>
        <v>0</v>
      </c>
      <c r="V197" s="2" t="b">
        <f t="shared" si="2"/>
        <v>0</v>
      </c>
      <c r="W197" s="2">
        <f t="shared" si="3"/>
        <v>92</v>
      </c>
      <c r="X197" s="2">
        <f t="shared" si="4"/>
        <v>86</v>
      </c>
      <c r="Y197" s="2">
        <f t="shared" si="5"/>
        <v>98</v>
      </c>
      <c r="Z197" s="2" t="str">
        <f t="shared" si="6"/>
        <v/>
      </c>
      <c r="AA197" s="2" t="str">
        <f t="shared" si="7"/>
        <v/>
      </c>
      <c r="AB197" s="2" t="str">
        <f t="shared" si="8"/>
        <v/>
      </c>
      <c r="AC197" s="2">
        <f t="shared" si="9"/>
        <v>0</v>
      </c>
      <c r="AE197" s="10" t="s">
        <v>257</v>
      </c>
      <c r="AF197" s="11" t="s">
        <v>53</v>
      </c>
      <c r="AH197" s="6" t="str">
        <f t="shared" si="10"/>
        <v>Europe &amp; Central Asia</v>
      </c>
      <c r="AI197" s="6"/>
      <c r="AJ197" s="6"/>
      <c r="AK197" s="10">
        <f t="shared" si="26"/>
        <v>-2.2156999999936033E-4</v>
      </c>
      <c r="AL197" s="6"/>
      <c r="AM197" s="6"/>
      <c r="AN197" s="6"/>
      <c r="AO197" s="10">
        <f t="shared" si="12"/>
        <v>0</v>
      </c>
      <c r="AP197" s="6"/>
      <c r="AQ197" s="6"/>
      <c r="AR197" s="6"/>
      <c r="AS197" s="10">
        <f t="shared" si="15"/>
        <v>0</v>
      </c>
      <c r="AT197" s="6"/>
      <c r="AU197" s="6"/>
      <c r="AX197" s="2" t="str">
        <f t="shared" si="18"/>
        <v>null</v>
      </c>
      <c r="AY197" s="2" t="str">
        <f t="shared" si="19"/>
        <v>null</v>
      </c>
      <c r="AZ197" s="2" t="str">
        <f t="shared" si="20"/>
        <v>null</v>
      </c>
      <c r="BA197" s="16"/>
    </row>
    <row r="198" spans="1:53" x14ac:dyDescent="0.25">
      <c r="A198" s="2" t="s">
        <v>160</v>
      </c>
      <c r="B198" s="2">
        <v>2015</v>
      </c>
      <c r="C198" s="2">
        <v>78492.210940000004</v>
      </c>
      <c r="D198" s="2">
        <v>73.358001709999996</v>
      </c>
      <c r="E198" s="2">
        <v>96.806987079999999</v>
      </c>
      <c r="F198" s="2">
        <v>1.9948915730000001</v>
      </c>
      <c r="G198" s="2">
        <v>1.126061081</v>
      </c>
      <c r="H198" s="2">
        <v>7.2060265609999993E-2</v>
      </c>
      <c r="I198" s="2">
        <v>92.162502649999993</v>
      </c>
      <c r="J198" s="2">
        <v>4.221624781</v>
      </c>
      <c r="K198" s="2">
        <v>3.3453963830000002</v>
      </c>
      <c r="L198" s="2">
        <v>0.27047619049999999</v>
      </c>
      <c r="M198" s="2">
        <v>98.493760870000003</v>
      </c>
      <c r="N198" s="2">
        <v>1.186191432</v>
      </c>
      <c r="O198" s="2">
        <v>0.3200476961</v>
      </c>
      <c r="P198" s="2">
        <v>0</v>
      </c>
      <c r="Q198" s="2" t="str">
        <f t="shared" si="0"/>
        <v>Iran (Islamic Republic of)|2015</v>
      </c>
      <c r="R198" s="2">
        <f t="shared" si="1"/>
        <v>5</v>
      </c>
      <c r="T198" s="2">
        <f t="shared" si="24"/>
        <v>0.13512985000000127</v>
      </c>
      <c r="U198" s="2">
        <f t="shared" si="28"/>
        <v>0.33324654600000087</v>
      </c>
      <c r="V198" s="2">
        <f t="shared" si="2"/>
        <v>3.014517000000012E-2</v>
      </c>
      <c r="W198" s="2">
        <f t="shared" si="3"/>
        <v>97</v>
      </c>
      <c r="X198" s="2">
        <f t="shared" si="4"/>
        <v>92</v>
      </c>
      <c r="Y198" s="2">
        <f t="shared" si="5"/>
        <v>98</v>
      </c>
      <c r="Z198" s="2" t="str">
        <f t="shared" si="6"/>
        <v/>
      </c>
      <c r="AA198" s="2" t="str">
        <f t="shared" si="7"/>
        <v/>
      </c>
      <c r="AB198" s="2" t="str">
        <f t="shared" si="8"/>
        <v>Fully Accessible</v>
      </c>
      <c r="AC198" s="2">
        <f t="shared" si="9"/>
        <v>0.30310137600000076</v>
      </c>
      <c r="AE198" s="10" t="s">
        <v>258</v>
      </c>
      <c r="AF198" s="11" t="s">
        <v>50</v>
      </c>
      <c r="AH198" s="6" t="str">
        <f t="shared" si="10"/>
        <v>South Asia</v>
      </c>
      <c r="AI198" s="6"/>
      <c r="AJ198" s="6"/>
      <c r="AK198" s="10">
        <f t="shared" si="26"/>
        <v>0.42331015999999977</v>
      </c>
      <c r="AL198" s="6"/>
      <c r="AM198" s="6"/>
      <c r="AN198" s="6"/>
      <c r="AO198" s="10">
        <f t="shared" si="12"/>
        <v>0.45606591199999968</v>
      </c>
      <c r="AP198" s="6"/>
      <c r="AQ198" s="6"/>
      <c r="AR198" s="6"/>
      <c r="AS198" s="10">
        <f t="shared" si="15"/>
        <v>0.23142673400000149</v>
      </c>
      <c r="AT198" s="6"/>
      <c r="AU198" s="6"/>
      <c r="AX198" s="2">
        <f t="shared" si="18"/>
        <v>162485.16407</v>
      </c>
      <c r="AY198" s="2">
        <f t="shared" si="19"/>
        <v>149.23200226</v>
      </c>
      <c r="AZ198" s="2">
        <f t="shared" si="20"/>
        <v>162335.93206774001</v>
      </c>
      <c r="BA198" s="6"/>
    </row>
    <row r="199" spans="1:53" x14ac:dyDescent="0.25">
      <c r="A199" s="2" t="s">
        <v>160</v>
      </c>
      <c r="B199" s="2">
        <v>2020</v>
      </c>
      <c r="C199" s="2">
        <v>83992.953129999994</v>
      </c>
      <c r="D199" s="2">
        <v>75.874000550000005</v>
      </c>
      <c r="E199" s="2">
        <v>97.482636330000005</v>
      </c>
      <c r="F199" s="2">
        <v>1.938311229</v>
      </c>
      <c r="G199" s="2">
        <v>0.51379736310000002</v>
      </c>
      <c r="H199" s="2">
        <v>6.5255081849999994E-2</v>
      </c>
      <c r="I199" s="2">
        <v>93.828735379999998</v>
      </c>
      <c r="J199" s="2">
        <v>4.2979487650000001</v>
      </c>
      <c r="K199" s="2">
        <v>1.602839669</v>
      </c>
      <c r="L199" s="2">
        <v>0.27047619049999999</v>
      </c>
      <c r="M199" s="2">
        <v>98.644486720000003</v>
      </c>
      <c r="N199" s="2">
        <v>1.1880066709999999</v>
      </c>
      <c r="O199" s="2">
        <v>0.1675066077</v>
      </c>
      <c r="P199" s="2">
        <v>0</v>
      </c>
      <c r="Q199" s="2" t="str">
        <f t="shared" si="0"/>
        <v>Iran (Islamic Republic of)|2020</v>
      </c>
      <c r="R199" s="2" t="str">
        <f t="shared" si="1"/>
        <v xml:space="preserve"> </v>
      </c>
      <c r="T199" s="2" t="b">
        <f t="shared" si="24"/>
        <v>0</v>
      </c>
      <c r="U199" s="2" t="b">
        <f t="shared" si="28"/>
        <v>0</v>
      </c>
      <c r="V199" s="2" t="b">
        <f t="shared" si="2"/>
        <v>0</v>
      </c>
      <c r="W199" s="2">
        <f t="shared" si="3"/>
        <v>97</v>
      </c>
      <c r="X199" s="2">
        <f t="shared" si="4"/>
        <v>94</v>
      </c>
      <c r="Y199" s="2">
        <f t="shared" si="5"/>
        <v>99</v>
      </c>
      <c r="Z199" s="2" t="str">
        <f t="shared" si="6"/>
        <v/>
      </c>
      <c r="AA199" s="2" t="str">
        <f t="shared" si="7"/>
        <v/>
      </c>
      <c r="AB199" s="2" t="str">
        <f t="shared" si="8"/>
        <v/>
      </c>
      <c r="AC199" s="2">
        <f t="shared" si="9"/>
        <v>0</v>
      </c>
      <c r="AE199" s="10" t="s">
        <v>259</v>
      </c>
      <c r="AF199" s="11" t="s">
        <v>56</v>
      </c>
      <c r="AH199" s="6" t="str">
        <f t="shared" si="10"/>
        <v>Middle East &amp; North Africa</v>
      </c>
      <c r="AI199" s="6"/>
      <c r="AJ199" s="6"/>
      <c r="AK199" s="10">
        <f t="shared" si="26"/>
        <v>0.29968445599999993</v>
      </c>
      <c r="AL199" s="6"/>
      <c r="AM199" s="6"/>
      <c r="AN199" s="6"/>
      <c r="AO199" s="10">
        <f t="shared" si="12"/>
        <v>0.29831786799999949</v>
      </c>
      <c r="AP199" s="6"/>
      <c r="AQ199" s="6"/>
      <c r="AR199" s="6"/>
      <c r="AS199" s="10">
        <f t="shared" si="15"/>
        <v>0.13744039799999824</v>
      </c>
      <c r="AT199" s="6"/>
      <c r="AU199" s="6"/>
      <c r="AX199" s="2" t="str">
        <f t="shared" si="18"/>
        <v>null</v>
      </c>
      <c r="AY199" s="2" t="str">
        <f t="shared" si="19"/>
        <v>null</v>
      </c>
      <c r="AZ199" s="2" t="str">
        <f t="shared" si="20"/>
        <v>null</v>
      </c>
      <c r="BA199" s="6"/>
    </row>
    <row r="200" spans="1:53" x14ac:dyDescent="0.25">
      <c r="A200" s="2" t="s">
        <v>161</v>
      </c>
      <c r="B200" s="2">
        <v>2015</v>
      </c>
      <c r="C200" s="2">
        <v>35572.269529999998</v>
      </c>
      <c r="D200" s="2">
        <v>69.920997619999994</v>
      </c>
      <c r="E200" s="2">
        <v>94.247593300000005</v>
      </c>
      <c r="F200" s="2">
        <v>1.056676215</v>
      </c>
      <c r="G200" s="2">
        <v>1.7379110360000001</v>
      </c>
      <c r="H200" s="2">
        <v>2.9578194500000001</v>
      </c>
      <c r="I200" s="2">
        <v>84.76271011</v>
      </c>
      <c r="J200" s="2">
        <v>2.8306169350000001</v>
      </c>
      <c r="K200" s="2">
        <v>2.77640479</v>
      </c>
      <c r="L200" s="2">
        <v>9.630268161</v>
      </c>
      <c r="M200" s="2">
        <v>98.3278526</v>
      </c>
      <c r="N200" s="2">
        <v>0.29355262310000002</v>
      </c>
      <c r="O200" s="2">
        <v>1.2911660709999999</v>
      </c>
      <c r="P200" s="2">
        <v>8.74287017E-2</v>
      </c>
      <c r="Q200" s="2" t="str">
        <f t="shared" si="0"/>
        <v>Iraq|2015</v>
      </c>
      <c r="R200" s="2">
        <f t="shared" si="1"/>
        <v>5</v>
      </c>
      <c r="T200" s="2">
        <f t="shared" si="24"/>
        <v>0.82246198999999931</v>
      </c>
      <c r="U200" s="2">
        <f t="shared" si="28"/>
        <v>2.0136873339999992</v>
      </c>
      <c r="V200" s="2">
        <f t="shared" si="2"/>
        <v>0.29617568600000083</v>
      </c>
      <c r="W200" s="2">
        <f t="shared" si="3"/>
        <v>94</v>
      </c>
      <c r="X200" s="2">
        <f t="shared" si="4"/>
        <v>85</v>
      </c>
      <c r="Y200" s="2">
        <f t="shared" si="5"/>
        <v>98</v>
      </c>
      <c r="Z200" s="2" t="str">
        <f t="shared" si="6"/>
        <v/>
      </c>
      <c r="AA200" s="2" t="str">
        <f t="shared" si="7"/>
        <v/>
      </c>
      <c r="AB200" s="2" t="str">
        <f t="shared" si="8"/>
        <v>Fully Accessible</v>
      </c>
      <c r="AC200" s="2">
        <f t="shared" si="9"/>
        <v>1.7175116479999983</v>
      </c>
      <c r="AE200" s="10" t="s">
        <v>260</v>
      </c>
      <c r="AF200" s="11" t="s">
        <v>57</v>
      </c>
      <c r="AH200" s="6" t="str">
        <f t="shared" si="10"/>
        <v>Latin America &amp; Caribbean</v>
      </c>
      <c r="AI200" s="6"/>
      <c r="AJ200" s="6"/>
      <c r="AK200" s="10">
        <f t="shared" si="26"/>
        <v>0.44838790000000017</v>
      </c>
      <c r="AL200" s="6"/>
      <c r="AM200" s="6"/>
      <c r="AN200" s="6"/>
      <c r="AO200" s="10">
        <f t="shared" si="12"/>
        <v>1.1989592619999996</v>
      </c>
      <c r="AP200" s="6"/>
      <c r="AQ200" s="6"/>
      <c r="AR200" s="6"/>
      <c r="AS200" s="10">
        <f t="shared" si="15"/>
        <v>6.209083399999997E-2</v>
      </c>
      <c r="AT200" s="6"/>
      <c r="AU200" s="6"/>
      <c r="AX200" s="2">
        <f t="shared" si="18"/>
        <v>75794.77343999999</v>
      </c>
      <c r="AY200" s="2">
        <f t="shared" si="19"/>
        <v>140.81399535999998</v>
      </c>
      <c r="AZ200" s="2">
        <f t="shared" si="20"/>
        <v>75653.959444639986</v>
      </c>
      <c r="BA200" s="6"/>
    </row>
    <row r="201" spans="1:53" x14ac:dyDescent="0.25">
      <c r="A201" s="2" t="s">
        <v>161</v>
      </c>
      <c r="B201" s="2">
        <v>2020</v>
      </c>
      <c r="C201" s="2">
        <v>40222.503909999999</v>
      </c>
      <c r="D201" s="2">
        <v>70.892997739999998</v>
      </c>
      <c r="E201" s="2">
        <v>98.359903250000002</v>
      </c>
      <c r="F201" s="2">
        <v>0.89216034950000001</v>
      </c>
      <c r="G201" s="2">
        <v>2.427900808E-6</v>
      </c>
      <c r="H201" s="2">
        <v>0.74793397129999994</v>
      </c>
      <c r="I201" s="2">
        <v>94.831146779999997</v>
      </c>
      <c r="J201" s="2">
        <v>2.5992513389999998</v>
      </c>
      <c r="K201" s="2">
        <v>0</v>
      </c>
      <c r="L201" s="2">
        <v>2.5696018770000002</v>
      </c>
      <c r="M201" s="2">
        <v>99.808731030000004</v>
      </c>
      <c r="N201" s="2">
        <v>0.19126897000000001</v>
      </c>
      <c r="O201" s="2">
        <v>0</v>
      </c>
      <c r="P201" s="2">
        <v>0</v>
      </c>
      <c r="Q201" s="2" t="str">
        <f t="shared" si="0"/>
        <v>Iraq|2020</v>
      </c>
      <c r="R201" s="2" t="str">
        <f t="shared" si="1"/>
        <v xml:space="preserve"> </v>
      </c>
      <c r="T201" s="2" t="b">
        <f t="shared" si="24"/>
        <v>0</v>
      </c>
      <c r="U201" s="2" t="b">
        <f t="shared" si="28"/>
        <v>0</v>
      </c>
      <c r="V201" s="2" t="b">
        <f t="shared" si="2"/>
        <v>0</v>
      </c>
      <c r="W201" s="2">
        <f t="shared" si="3"/>
        <v>98</v>
      </c>
      <c r="X201" s="2">
        <f t="shared" si="4"/>
        <v>95</v>
      </c>
      <c r="Y201" s="2">
        <f t="shared" si="5"/>
        <v>100</v>
      </c>
      <c r="Z201" s="2" t="str">
        <f t="shared" si="6"/>
        <v/>
      </c>
      <c r="AA201" s="2" t="str">
        <f t="shared" si="7"/>
        <v/>
      </c>
      <c r="AB201" s="2" t="str">
        <f t="shared" si="8"/>
        <v/>
      </c>
      <c r="AC201" s="2">
        <f t="shared" si="9"/>
        <v>0</v>
      </c>
      <c r="AE201" s="10" t="s">
        <v>261</v>
      </c>
      <c r="AF201" s="11" t="s">
        <v>53</v>
      </c>
      <c r="AH201" s="6" t="str">
        <f t="shared" si="10"/>
        <v>Europe &amp; Central Asia</v>
      </c>
      <c r="AI201" s="6"/>
      <c r="AJ201" s="6"/>
      <c r="AK201" s="10">
        <f t="shared" si="26"/>
        <v>9.1273199999989171E-3</v>
      </c>
      <c r="AL201" s="6"/>
      <c r="AM201" s="6"/>
      <c r="AN201" s="6"/>
      <c r="AO201" s="10">
        <f t="shared" si="12"/>
        <v>3.387764200000163E-2</v>
      </c>
      <c r="AP201" s="6"/>
      <c r="AQ201" s="6"/>
      <c r="AR201" s="6"/>
      <c r="AS201" s="10">
        <f t="shared" si="15"/>
        <v>4.8794579999992035E-3</v>
      </c>
      <c r="AT201" s="6"/>
      <c r="AU201" s="6"/>
      <c r="AX201" s="2" t="str">
        <f t="shared" si="18"/>
        <v>null</v>
      </c>
      <c r="AY201" s="2" t="str">
        <f t="shared" si="19"/>
        <v>null</v>
      </c>
      <c r="AZ201" s="2" t="str">
        <f t="shared" si="20"/>
        <v>null</v>
      </c>
      <c r="BA201" s="6"/>
    </row>
    <row r="202" spans="1:53" x14ac:dyDescent="0.25">
      <c r="A202" s="2" t="s">
        <v>162</v>
      </c>
      <c r="B202" s="2">
        <v>2015</v>
      </c>
      <c r="C202" s="2">
        <v>4652.419922</v>
      </c>
      <c r="D202" s="2">
        <v>62.537998199999997</v>
      </c>
      <c r="E202" s="2">
        <v>97.372127989999996</v>
      </c>
      <c r="F202" s="2">
        <v>0</v>
      </c>
      <c r="G202" s="2">
        <v>2.6278720080000002</v>
      </c>
      <c r="H202" s="2">
        <v>0</v>
      </c>
      <c r="I202" s="2">
        <v>98.01681619</v>
      </c>
      <c r="J202" s="2">
        <v>0</v>
      </c>
      <c r="K202" s="2">
        <v>1.983183812</v>
      </c>
      <c r="L202" s="2">
        <v>0</v>
      </c>
      <c r="M202" s="2">
        <v>96.98594181</v>
      </c>
      <c r="N202" s="2">
        <v>0</v>
      </c>
      <c r="O202" s="2">
        <v>3.014058189</v>
      </c>
      <c r="P202" s="2">
        <v>0</v>
      </c>
      <c r="Q202" s="2" t="str">
        <f t="shared" si="0"/>
        <v>Ireland|2015</v>
      </c>
      <c r="R202" s="2">
        <f t="shared" si="1"/>
        <v>5</v>
      </c>
      <c r="T202" s="2">
        <f t="shared" si="24"/>
        <v>5.5157040000011646E-3</v>
      </c>
      <c r="U202" s="2">
        <f t="shared" si="28"/>
        <v>2.3620912000001226E-2</v>
      </c>
      <c r="V202" s="2">
        <f t="shared" si="2"/>
        <v>-1.2111559999993915E-3</v>
      </c>
      <c r="W202" s="2">
        <f t="shared" si="3"/>
        <v>97</v>
      </c>
      <c r="X202" s="2">
        <f t="shared" si="4"/>
        <v>98</v>
      </c>
      <c r="Y202" s="2">
        <f t="shared" si="5"/>
        <v>97</v>
      </c>
      <c r="Z202" s="2" t="str">
        <f t="shared" si="6"/>
        <v/>
      </c>
      <c r="AA202" s="2" t="str">
        <f t="shared" si="7"/>
        <v/>
      </c>
      <c r="AB202" s="2" t="str">
        <f t="shared" si="8"/>
        <v>Fully Accessible</v>
      </c>
      <c r="AC202" s="2">
        <f t="shared" si="9"/>
        <v>2.4832068000000616E-2</v>
      </c>
      <c r="AE202" s="10" t="s">
        <v>262</v>
      </c>
      <c r="AF202" s="11" t="s">
        <v>53</v>
      </c>
      <c r="AH202" s="6" t="str">
        <f t="shared" si="10"/>
        <v>Europe &amp; Central Asia</v>
      </c>
      <c r="AI202" s="6"/>
      <c r="AJ202" s="6"/>
      <c r="AK202" s="10">
        <f t="shared" si="26"/>
        <v>5.6000000085987263E-7</v>
      </c>
      <c r="AL202" s="6"/>
      <c r="AM202" s="6"/>
      <c r="AN202" s="6"/>
      <c r="AO202" s="10">
        <f t="shared" si="12"/>
        <v>0</v>
      </c>
      <c r="AP202" s="6"/>
      <c r="AQ202" s="6"/>
      <c r="AR202" s="6"/>
      <c r="AS202" s="10">
        <f t="shared" si="15"/>
        <v>0</v>
      </c>
      <c r="AT202" s="6"/>
      <c r="AU202" s="6"/>
      <c r="AX202" s="2">
        <f t="shared" si="18"/>
        <v>9590.2158200000013</v>
      </c>
      <c r="AY202" s="2">
        <f t="shared" si="19"/>
        <v>126.19099808</v>
      </c>
      <c r="AZ202" s="2">
        <f t="shared" si="20"/>
        <v>9464.0248219200021</v>
      </c>
      <c r="BA202" s="16"/>
    </row>
    <row r="203" spans="1:53" x14ac:dyDescent="0.25">
      <c r="A203" s="2" t="s">
        <v>162</v>
      </c>
      <c r="B203" s="2">
        <v>2020</v>
      </c>
      <c r="C203" s="2">
        <v>4937.7958980000003</v>
      </c>
      <c r="D203" s="2">
        <v>63.652999880000003</v>
      </c>
      <c r="E203" s="2">
        <v>97.399706510000001</v>
      </c>
      <c r="F203" s="2">
        <v>0</v>
      </c>
      <c r="G203" s="2">
        <v>2.6002934849999999</v>
      </c>
      <c r="H203" s="2">
        <v>0</v>
      </c>
      <c r="I203" s="2">
        <v>98.134920750000006</v>
      </c>
      <c r="J203" s="2">
        <v>0</v>
      </c>
      <c r="K203" s="2">
        <v>1.8650792469999999</v>
      </c>
      <c r="L203" s="2">
        <v>0</v>
      </c>
      <c r="M203" s="2">
        <v>96.979886030000003</v>
      </c>
      <c r="N203" s="2">
        <v>0</v>
      </c>
      <c r="O203" s="2">
        <v>3.0201139659999998</v>
      </c>
      <c r="P203" s="2">
        <v>0</v>
      </c>
      <c r="Q203" s="2" t="str">
        <f t="shared" si="0"/>
        <v>Ireland|2020</v>
      </c>
      <c r="R203" s="2" t="str">
        <f t="shared" si="1"/>
        <v xml:space="preserve"> </v>
      </c>
      <c r="T203" s="2" t="b">
        <f t="shared" si="24"/>
        <v>0</v>
      </c>
      <c r="U203" s="2" t="b">
        <f t="shared" si="28"/>
        <v>0</v>
      </c>
      <c r="V203" s="2" t="b">
        <f t="shared" si="2"/>
        <v>0</v>
      </c>
      <c r="W203" s="2">
        <f t="shared" si="3"/>
        <v>97</v>
      </c>
      <c r="X203" s="2">
        <f t="shared" si="4"/>
        <v>98</v>
      </c>
      <c r="Y203" s="2">
        <f t="shared" si="5"/>
        <v>97</v>
      </c>
      <c r="Z203" s="2" t="str">
        <f t="shared" si="6"/>
        <v/>
      </c>
      <c r="AA203" s="2" t="str">
        <f t="shared" si="7"/>
        <v/>
      </c>
      <c r="AB203" s="2" t="str">
        <f t="shared" si="8"/>
        <v/>
      </c>
      <c r="AC203" s="2">
        <f t="shared" si="9"/>
        <v>0</v>
      </c>
      <c r="AE203" s="10" t="s">
        <v>263</v>
      </c>
      <c r="AF203" s="11" t="s">
        <v>56</v>
      </c>
      <c r="AH203" s="6" t="str">
        <f t="shared" si="10"/>
        <v>Middle East &amp; North Africa</v>
      </c>
      <c r="AI203" s="6"/>
      <c r="AJ203" s="6"/>
      <c r="AK203" s="10">
        <f t="shared" si="26"/>
        <v>8.3249139999998084E-2</v>
      </c>
      <c r="AL203" s="6"/>
      <c r="AM203" s="6"/>
      <c r="AN203" s="6"/>
      <c r="AO203" s="10">
        <f t="shared" si="12"/>
        <v>0.13940798000000143</v>
      </c>
      <c r="AP203" s="6"/>
      <c r="AQ203" s="6"/>
      <c r="AR203" s="6"/>
      <c r="AS203" s="10">
        <f t="shared" si="15"/>
        <v>-1.0364566000001218E-2</v>
      </c>
      <c r="AT203" s="6"/>
      <c r="AU203" s="6"/>
      <c r="AX203" s="2" t="str">
        <f t="shared" si="18"/>
        <v>null</v>
      </c>
      <c r="AY203" s="2" t="str">
        <f t="shared" si="19"/>
        <v>null</v>
      </c>
      <c r="AZ203" s="2" t="str">
        <f t="shared" si="20"/>
        <v>null</v>
      </c>
      <c r="BA203" s="6"/>
    </row>
    <row r="204" spans="1:53" x14ac:dyDescent="0.25">
      <c r="A204" s="2" t="s">
        <v>163</v>
      </c>
      <c r="B204" s="2">
        <v>2015</v>
      </c>
      <c r="C204" s="2">
        <v>83.232002260000002</v>
      </c>
      <c r="D204" s="2">
        <v>52.244998930000001</v>
      </c>
      <c r="E204" s="2">
        <v>99.075000000000003</v>
      </c>
      <c r="F204" s="2">
        <v>0</v>
      </c>
      <c r="G204" s="2">
        <v>0.92500000000000004</v>
      </c>
      <c r="H204" s="2">
        <v>0</v>
      </c>
      <c r="I204" s="2" t="s">
        <v>64</v>
      </c>
      <c r="J204" s="2" t="s">
        <v>64</v>
      </c>
      <c r="K204" s="2" t="s">
        <v>64</v>
      </c>
      <c r="L204" s="2" t="s">
        <v>64</v>
      </c>
      <c r="M204" s="2" t="s">
        <v>64</v>
      </c>
      <c r="N204" s="2" t="s">
        <v>64</v>
      </c>
      <c r="O204" s="2" t="s">
        <v>64</v>
      </c>
      <c r="P204" s="2" t="s">
        <v>64</v>
      </c>
      <c r="Q204" s="2" t="str">
        <f t="shared" si="0"/>
        <v>Isle of Man|2015</v>
      </c>
      <c r="R204" s="2">
        <f t="shared" si="1"/>
        <v>5</v>
      </c>
      <c r="T204" s="2">
        <f t="shared" si="24"/>
        <v>0</v>
      </c>
      <c r="U204" s="2" t="str">
        <f t="shared" si="28"/>
        <v>null</v>
      </c>
      <c r="V204" s="2" t="str">
        <f t="shared" si="2"/>
        <v>null</v>
      </c>
      <c r="W204" s="2">
        <f t="shared" si="3"/>
        <v>99</v>
      </c>
      <c r="X204" s="2" t="b">
        <f t="shared" si="4"/>
        <v>0</v>
      </c>
      <c r="Y204" s="2" t="b">
        <f t="shared" si="5"/>
        <v>0</v>
      </c>
      <c r="Z204" s="2" t="str">
        <f t="shared" si="6"/>
        <v/>
      </c>
      <c r="AA204" s="2" t="str">
        <f t="shared" si="7"/>
        <v>Fully Accessible</v>
      </c>
      <c r="AB204" s="2" t="str">
        <f t="shared" si="8"/>
        <v>Fully Accessible</v>
      </c>
      <c r="AC204" s="2" t="b">
        <f t="shared" si="9"/>
        <v>0</v>
      </c>
      <c r="AE204" s="10" t="s">
        <v>264</v>
      </c>
      <c r="AF204" s="11" t="s">
        <v>53</v>
      </c>
      <c r="AH204" s="6" t="str">
        <f t="shared" si="10"/>
        <v>Europe &amp; Central Asia</v>
      </c>
      <c r="AI204" s="6"/>
      <c r="AJ204" s="6"/>
      <c r="AK204" s="10">
        <f t="shared" si="26"/>
        <v>1.1225839019999995</v>
      </c>
      <c r="AL204" s="6"/>
      <c r="AM204" s="6"/>
      <c r="AN204" s="6"/>
      <c r="AO204" s="10">
        <f t="shared" si="12"/>
        <v>1.4182834279999981</v>
      </c>
      <c r="AP204" s="6"/>
      <c r="AQ204" s="6"/>
      <c r="AR204" s="6"/>
      <c r="AS204" s="10">
        <f t="shared" si="15"/>
        <v>0.20433369400000173</v>
      </c>
      <c r="AT204" s="6"/>
      <c r="AU204" s="6"/>
      <c r="AX204" s="2">
        <f t="shared" si="18"/>
        <v>168.26399994000002</v>
      </c>
      <c r="AY204" s="2">
        <f t="shared" si="19"/>
        <v>105.14300155000001</v>
      </c>
      <c r="AZ204" s="2">
        <f t="shared" si="20"/>
        <v>63.120998390000011</v>
      </c>
      <c r="BA204" s="16"/>
    </row>
    <row r="205" spans="1:53" x14ac:dyDescent="0.25">
      <c r="A205" s="2" t="s">
        <v>163</v>
      </c>
      <c r="B205" s="2">
        <v>2020</v>
      </c>
      <c r="C205" s="2">
        <v>85.031997680000003</v>
      </c>
      <c r="D205" s="2">
        <v>52.89800262</v>
      </c>
      <c r="E205" s="2">
        <v>99.075000000000003</v>
      </c>
      <c r="F205" s="2">
        <v>0</v>
      </c>
      <c r="G205" s="2">
        <v>0.92500000000000004</v>
      </c>
      <c r="H205" s="2">
        <v>0</v>
      </c>
      <c r="I205" s="2" t="s">
        <v>64</v>
      </c>
      <c r="J205" s="2" t="s">
        <v>64</v>
      </c>
      <c r="K205" s="2" t="s">
        <v>64</v>
      </c>
      <c r="L205" s="2" t="s">
        <v>64</v>
      </c>
      <c r="M205" s="2" t="s">
        <v>64</v>
      </c>
      <c r="N205" s="2" t="s">
        <v>64</v>
      </c>
      <c r="O205" s="2" t="s">
        <v>64</v>
      </c>
      <c r="P205" s="2" t="s">
        <v>64</v>
      </c>
      <c r="Q205" s="2" t="str">
        <f t="shared" si="0"/>
        <v>Isle of Man|2020</v>
      </c>
      <c r="R205" s="2" t="str">
        <f t="shared" si="1"/>
        <v xml:space="preserve"> </v>
      </c>
      <c r="T205" s="2" t="b">
        <f t="shared" si="24"/>
        <v>0</v>
      </c>
      <c r="U205" s="2" t="b">
        <f t="shared" si="28"/>
        <v>0</v>
      </c>
      <c r="V205" s="2" t="b">
        <f t="shared" si="2"/>
        <v>0</v>
      </c>
      <c r="W205" s="2">
        <f t="shared" si="3"/>
        <v>99</v>
      </c>
      <c r="X205" s="2" t="b">
        <f t="shared" si="4"/>
        <v>0</v>
      </c>
      <c r="Y205" s="2" t="b">
        <f t="shared" si="5"/>
        <v>0</v>
      </c>
      <c r="Z205" s="2" t="str">
        <f t="shared" si="6"/>
        <v/>
      </c>
      <c r="AA205" s="2" t="str">
        <f t="shared" si="7"/>
        <v/>
      </c>
      <c r="AB205" s="2" t="str">
        <f t="shared" si="8"/>
        <v/>
      </c>
      <c r="AC205" s="2">
        <f t="shared" si="9"/>
        <v>0</v>
      </c>
      <c r="AE205" s="10" t="s">
        <v>265</v>
      </c>
      <c r="AF205" s="11" t="s">
        <v>51</v>
      </c>
      <c r="AH205" s="6" t="str">
        <f t="shared" si="10"/>
        <v>East Asia &amp; Pacific</v>
      </c>
      <c r="AI205" s="6"/>
      <c r="AJ205" s="6"/>
      <c r="AK205" s="10">
        <f t="shared" si="26"/>
        <v>0.14816588399999944</v>
      </c>
      <c r="AL205" s="6"/>
      <c r="AM205" s="6"/>
      <c r="AN205" s="6"/>
      <c r="AO205" s="10">
        <f t="shared" si="12"/>
        <v>0.22409665799999914</v>
      </c>
      <c r="AP205" s="6"/>
      <c r="AQ205" s="6"/>
      <c r="AR205" s="6"/>
      <c r="AS205" s="10">
        <f t="shared" si="15"/>
        <v>6.4892631999998687E-2</v>
      </c>
      <c r="AT205" s="6"/>
      <c r="AU205" s="6"/>
      <c r="AX205" s="2" t="str">
        <f t="shared" si="18"/>
        <v>null</v>
      </c>
      <c r="AY205" s="2" t="str">
        <f t="shared" si="19"/>
        <v>null</v>
      </c>
      <c r="AZ205" s="2" t="str">
        <f t="shared" si="20"/>
        <v>null</v>
      </c>
      <c r="BA205" s="16"/>
    </row>
    <row r="206" spans="1:53" x14ac:dyDescent="0.25">
      <c r="A206" s="2" t="s">
        <v>164</v>
      </c>
      <c r="B206" s="2">
        <v>2015</v>
      </c>
      <c r="C206" s="2">
        <v>7978.4960940000001</v>
      </c>
      <c r="D206" s="2">
        <v>92.179000849999994</v>
      </c>
      <c r="E206" s="2">
        <v>100.0000015</v>
      </c>
      <c r="F206" s="2">
        <v>0</v>
      </c>
      <c r="G206" s="2">
        <v>0</v>
      </c>
      <c r="H206" s="2">
        <v>0</v>
      </c>
      <c r="I206" s="2">
        <v>100</v>
      </c>
      <c r="J206" s="2">
        <v>0</v>
      </c>
      <c r="K206" s="2">
        <v>0</v>
      </c>
      <c r="L206" s="2">
        <v>0</v>
      </c>
      <c r="M206" s="2">
        <v>100</v>
      </c>
      <c r="N206" s="2">
        <v>0</v>
      </c>
      <c r="O206" s="2">
        <v>0</v>
      </c>
      <c r="P206" s="2">
        <v>0</v>
      </c>
      <c r="Q206" s="2" t="str">
        <f t="shared" si="0"/>
        <v>Israel|2015</v>
      </c>
      <c r="R206" s="2">
        <f t="shared" si="1"/>
        <v>5</v>
      </c>
      <c r="T206" s="2">
        <f t="shared" si="24"/>
        <v>-2.999999992425728E-7</v>
      </c>
      <c r="U206" s="2">
        <f t="shared" si="28"/>
        <v>0</v>
      </c>
      <c r="V206" s="2">
        <f t="shared" si="2"/>
        <v>0</v>
      </c>
      <c r="W206" s="2">
        <f t="shared" si="3"/>
        <v>100</v>
      </c>
      <c r="X206" s="2">
        <f t="shared" si="4"/>
        <v>100</v>
      </c>
      <c r="Y206" s="2">
        <f t="shared" si="5"/>
        <v>100</v>
      </c>
      <c r="Z206" s="2" t="str">
        <f t="shared" si="6"/>
        <v/>
      </c>
      <c r="AA206" s="2" t="str">
        <f t="shared" si="7"/>
        <v/>
      </c>
      <c r="AB206" s="2" t="str">
        <f t="shared" si="8"/>
        <v>Fully Accessible</v>
      </c>
      <c r="AC206" s="2">
        <f t="shared" si="9"/>
        <v>0</v>
      </c>
      <c r="AE206" s="10" t="s">
        <v>266</v>
      </c>
      <c r="AF206" s="11" t="s">
        <v>51</v>
      </c>
      <c r="AH206" s="6" t="str">
        <f t="shared" si="10"/>
        <v>East Asia &amp; Pacific</v>
      </c>
      <c r="AI206" s="6"/>
      <c r="AJ206" s="6"/>
      <c r="AK206" s="10">
        <f t="shared" si="26"/>
        <v>2.0490994979999981</v>
      </c>
      <c r="AL206" s="6"/>
      <c r="AM206" s="6"/>
      <c r="AN206" s="6"/>
      <c r="AO206" s="10">
        <f t="shared" si="12"/>
        <v>2.3056811740000001</v>
      </c>
      <c r="AP206" s="6"/>
      <c r="AQ206" s="6"/>
      <c r="AR206" s="6"/>
      <c r="AS206" s="10">
        <f t="shared" si="15"/>
        <v>1.2371753380000001</v>
      </c>
      <c r="AT206" s="6"/>
      <c r="AU206" s="6"/>
      <c r="AX206" s="2">
        <f t="shared" si="18"/>
        <v>16634.037109999997</v>
      </c>
      <c r="AY206" s="2">
        <f t="shared" si="19"/>
        <v>184.76599884000001</v>
      </c>
      <c r="AZ206" s="2">
        <f t="shared" si="20"/>
        <v>16449.271111159997</v>
      </c>
      <c r="BA206" s="6"/>
    </row>
    <row r="207" spans="1:53" x14ac:dyDescent="0.25">
      <c r="A207" s="2" t="s">
        <v>164</v>
      </c>
      <c r="B207" s="2">
        <v>2020</v>
      </c>
      <c r="C207" s="2">
        <v>8655.5410159999992</v>
      </c>
      <c r="D207" s="2">
        <v>92.58699799</v>
      </c>
      <c r="E207" s="2">
        <v>100</v>
      </c>
      <c r="F207" s="2">
        <v>0</v>
      </c>
      <c r="G207" s="2">
        <v>0</v>
      </c>
      <c r="H207" s="2">
        <v>0</v>
      </c>
      <c r="I207" s="2">
        <v>100</v>
      </c>
      <c r="J207" s="2">
        <v>0</v>
      </c>
      <c r="K207" s="2">
        <v>0</v>
      </c>
      <c r="L207" s="2">
        <v>0</v>
      </c>
      <c r="M207" s="2">
        <v>100</v>
      </c>
      <c r="N207" s="2">
        <v>0</v>
      </c>
      <c r="O207" s="2">
        <v>0</v>
      </c>
      <c r="P207" s="2">
        <v>0</v>
      </c>
      <c r="Q207" s="2" t="str">
        <f t="shared" si="0"/>
        <v>Israel|2020</v>
      </c>
      <c r="R207" s="2" t="str">
        <f t="shared" si="1"/>
        <v xml:space="preserve"> </v>
      </c>
      <c r="T207" s="2" t="b">
        <f t="shared" si="24"/>
        <v>0</v>
      </c>
      <c r="U207" s="2" t="b">
        <f t="shared" si="28"/>
        <v>0</v>
      </c>
      <c r="V207" s="2" t="b">
        <f t="shared" si="2"/>
        <v>0</v>
      </c>
      <c r="W207" s="2">
        <f t="shared" si="3"/>
        <v>100</v>
      </c>
      <c r="X207" s="2">
        <f t="shared" si="4"/>
        <v>100</v>
      </c>
      <c r="Y207" s="2">
        <f t="shared" si="5"/>
        <v>100</v>
      </c>
      <c r="Z207" s="2" t="str">
        <f t="shared" si="6"/>
        <v/>
      </c>
      <c r="AA207" s="2" t="str">
        <f t="shared" si="7"/>
        <v/>
      </c>
      <c r="AB207" s="2" t="str">
        <f t="shared" si="8"/>
        <v/>
      </c>
      <c r="AC207" s="2">
        <f t="shared" si="9"/>
        <v>0</v>
      </c>
      <c r="AE207" s="10" t="s">
        <v>267</v>
      </c>
      <c r="AF207" s="11" t="s">
        <v>63</v>
      </c>
      <c r="AH207" s="6" t="str">
        <f t="shared" si="10"/>
        <v>Sub-Saharan Africa</v>
      </c>
      <c r="AI207" s="6"/>
      <c r="AJ207" s="6"/>
      <c r="AK207" s="10">
        <f t="shared" si="26"/>
        <v>0.98931874799999941</v>
      </c>
      <c r="AL207" s="6"/>
      <c r="AM207" s="6"/>
      <c r="AN207" s="6"/>
      <c r="AO207" s="10">
        <f t="shared" si="12"/>
        <v>0.97507389400000055</v>
      </c>
      <c r="AP207" s="6"/>
      <c r="AQ207" s="6"/>
      <c r="AR207" s="6"/>
      <c r="AS207" s="10">
        <f t="shared" si="15"/>
        <v>0.49251606199999853</v>
      </c>
      <c r="AT207" s="6"/>
      <c r="AU207" s="6"/>
      <c r="AX207" s="2" t="str">
        <f t="shared" si="18"/>
        <v>null</v>
      </c>
      <c r="AY207" s="2" t="str">
        <f t="shared" si="19"/>
        <v>null</v>
      </c>
      <c r="AZ207" s="2" t="str">
        <f t="shared" si="20"/>
        <v>null</v>
      </c>
      <c r="BA207" s="6"/>
    </row>
    <row r="208" spans="1:53" x14ac:dyDescent="0.25">
      <c r="A208" s="2" t="s">
        <v>165</v>
      </c>
      <c r="B208" s="2">
        <v>2015</v>
      </c>
      <c r="C208" s="2">
        <v>60578.488279999998</v>
      </c>
      <c r="D208" s="2">
        <v>69.565002440000001</v>
      </c>
      <c r="E208" s="2">
        <v>99.91703407</v>
      </c>
      <c r="F208" s="2">
        <v>0</v>
      </c>
      <c r="G208" s="2">
        <v>8.2965925910000002E-2</v>
      </c>
      <c r="H208" s="2">
        <v>0</v>
      </c>
      <c r="I208" s="2" t="s">
        <v>64</v>
      </c>
      <c r="J208" s="2" t="s">
        <v>64</v>
      </c>
      <c r="K208" s="2" t="s">
        <v>64</v>
      </c>
      <c r="L208" s="2" t="s">
        <v>64</v>
      </c>
      <c r="M208" s="2" t="s">
        <v>64</v>
      </c>
      <c r="N208" s="2" t="s">
        <v>64</v>
      </c>
      <c r="O208" s="2" t="s">
        <v>64</v>
      </c>
      <c r="P208" s="2" t="s">
        <v>64</v>
      </c>
      <c r="Q208" s="2" t="str">
        <f t="shared" si="0"/>
        <v>Italy|2015</v>
      </c>
      <c r="R208" s="2">
        <f t="shared" si="1"/>
        <v>5</v>
      </c>
      <c r="T208" s="2">
        <f t="shared" si="24"/>
        <v>0</v>
      </c>
      <c r="U208" s="2" t="str">
        <f t="shared" si="28"/>
        <v>null</v>
      </c>
      <c r="V208" s="2" t="str">
        <f t="shared" si="2"/>
        <v>null</v>
      </c>
      <c r="W208" s="2">
        <f t="shared" si="3"/>
        <v>100</v>
      </c>
      <c r="X208" s="2" t="b">
        <f t="shared" si="4"/>
        <v>0</v>
      </c>
      <c r="Y208" s="2" t="b">
        <f t="shared" si="5"/>
        <v>0</v>
      </c>
      <c r="Z208" s="2" t="str">
        <f t="shared" si="6"/>
        <v/>
      </c>
      <c r="AA208" s="2" t="str">
        <f t="shared" si="7"/>
        <v>Fully Accessible</v>
      </c>
      <c r="AB208" s="2" t="str">
        <f t="shared" si="8"/>
        <v>Fully Accessible</v>
      </c>
      <c r="AC208" s="2" t="b">
        <f t="shared" si="9"/>
        <v>0</v>
      </c>
      <c r="AE208" s="10" t="s">
        <v>268</v>
      </c>
      <c r="AF208" s="11" t="s">
        <v>51</v>
      </c>
      <c r="AH208" s="6" t="str">
        <f t="shared" si="10"/>
        <v>East Asia &amp; Pacific</v>
      </c>
      <c r="AI208" s="6"/>
      <c r="AJ208" s="6"/>
      <c r="AK208" s="10">
        <f t="shared" si="26"/>
        <v>5.0056129999998686E-2</v>
      </c>
      <c r="AL208" s="6"/>
      <c r="AM208" s="6"/>
      <c r="AN208" s="6"/>
      <c r="AO208" s="10">
        <f t="shared" si="12"/>
        <v>5.0056129999998686E-2</v>
      </c>
      <c r="AP208" s="6"/>
      <c r="AQ208" s="6"/>
      <c r="AR208" s="6"/>
      <c r="AS208" s="10">
        <f t="shared" si="15"/>
        <v>0</v>
      </c>
      <c r="AT208" s="6"/>
      <c r="AU208" s="6"/>
      <c r="AX208" s="2">
        <f t="shared" si="18"/>
        <v>121040.31641</v>
      </c>
      <c r="AY208" s="2">
        <f t="shared" si="19"/>
        <v>140.60399627999999</v>
      </c>
      <c r="AZ208" s="2">
        <f t="shared" si="20"/>
        <v>120899.71241372</v>
      </c>
      <c r="BA208" s="6"/>
    </row>
    <row r="209" spans="1:53" x14ac:dyDescent="0.25">
      <c r="A209" s="2" t="s">
        <v>165</v>
      </c>
      <c r="B209" s="2">
        <v>2020</v>
      </c>
      <c r="C209" s="2">
        <v>60461.828130000002</v>
      </c>
      <c r="D209" s="2">
        <v>71.038993840000003</v>
      </c>
      <c r="E209" s="2">
        <v>99.91703407</v>
      </c>
      <c r="F209" s="2">
        <v>0</v>
      </c>
      <c r="G209" s="2">
        <v>8.2965925910000002E-2</v>
      </c>
      <c r="H209" s="2">
        <v>0</v>
      </c>
      <c r="I209" s="2" t="s">
        <v>64</v>
      </c>
      <c r="J209" s="2" t="s">
        <v>64</v>
      </c>
      <c r="K209" s="2" t="s">
        <v>64</v>
      </c>
      <c r="L209" s="2" t="s">
        <v>64</v>
      </c>
      <c r="M209" s="2" t="s">
        <v>64</v>
      </c>
      <c r="N209" s="2" t="s">
        <v>64</v>
      </c>
      <c r="O209" s="2" t="s">
        <v>64</v>
      </c>
      <c r="P209" s="2" t="s">
        <v>64</v>
      </c>
      <c r="Q209" s="2" t="str">
        <f t="shared" si="0"/>
        <v>Italy|2020</v>
      </c>
      <c r="R209" s="2" t="str">
        <f t="shared" si="1"/>
        <v xml:space="preserve"> </v>
      </c>
      <c r="T209" s="2" t="b">
        <f t="shared" si="24"/>
        <v>0</v>
      </c>
      <c r="U209" s="2" t="b">
        <f t="shared" si="28"/>
        <v>0</v>
      </c>
      <c r="V209" s="2" t="b">
        <f t="shared" si="2"/>
        <v>0</v>
      </c>
      <c r="W209" s="2">
        <f t="shared" si="3"/>
        <v>100</v>
      </c>
      <c r="X209" s="2" t="b">
        <f t="shared" si="4"/>
        <v>0</v>
      </c>
      <c r="Y209" s="2" t="b">
        <f t="shared" si="5"/>
        <v>0</v>
      </c>
      <c r="Z209" s="2" t="str">
        <f t="shared" si="6"/>
        <v/>
      </c>
      <c r="AA209" s="2" t="str">
        <f t="shared" si="7"/>
        <v/>
      </c>
      <c r="AB209" s="2" t="str">
        <f t="shared" si="8"/>
        <v/>
      </c>
      <c r="AC209" s="2">
        <f t="shared" si="9"/>
        <v>0</v>
      </c>
      <c r="AE209" s="10" t="s">
        <v>269</v>
      </c>
      <c r="AF209" s="11" t="s">
        <v>51</v>
      </c>
      <c r="AH209" s="6" t="str">
        <f t="shared" si="10"/>
        <v>East Asia &amp; Pacific</v>
      </c>
      <c r="AI209" s="6"/>
      <c r="AJ209" s="6"/>
      <c r="AK209" s="10">
        <f t="shared" si="26"/>
        <v>3.6275095999999965E-2</v>
      </c>
      <c r="AL209" s="6"/>
      <c r="AM209" s="6"/>
      <c r="AN209" s="6"/>
      <c r="AO209" s="10">
        <f t="shared" si="12"/>
        <v>1.5006061999997655E-2</v>
      </c>
      <c r="AP209" s="6"/>
      <c r="AQ209" s="6"/>
      <c r="AR209" s="6"/>
      <c r="AS209" s="10">
        <f t="shared" si="15"/>
        <v>0.1081095260000012</v>
      </c>
      <c r="AT209" s="6"/>
      <c r="AU209" s="6"/>
      <c r="AX209" s="2" t="str">
        <f t="shared" si="18"/>
        <v>null</v>
      </c>
      <c r="AY209" s="2" t="str">
        <f t="shared" si="19"/>
        <v>null</v>
      </c>
      <c r="AZ209" s="2" t="str">
        <f t="shared" si="20"/>
        <v>null</v>
      </c>
      <c r="BA209" s="6"/>
    </row>
    <row r="210" spans="1:53" x14ac:dyDescent="0.25">
      <c r="A210" s="2" t="s">
        <v>166</v>
      </c>
      <c r="B210" s="2">
        <v>2015</v>
      </c>
      <c r="C210" s="2">
        <v>2891.0239259999998</v>
      </c>
      <c r="D210" s="2">
        <v>54.833004000000003</v>
      </c>
      <c r="E210" s="2">
        <v>90.416796289999994</v>
      </c>
      <c r="F210" s="2">
        <v>5.4073366030000001</v>
      </c>
      <c r="G210" s="2">
        <v>2.169821217</v>
      </c>
      <c r="H210" s="2">
        <v>2.006045893</v>
      </c>
      <c r="I210" s="2">
        <v>84.500709900000004</v>
      </c>
      <c r="J210" s="2">
        <v>8.4013357529999997</v>
      </c>
      <c r="K210" s="2">
        <v>3.055395678</v>
      </c>
      <c r="L210" s="2">
        <v>4.0425586710000001</v>
      </c>
      <c r="M210" s="2">
        <v>95.289990239999995</v>
      </c>
      <c r="N210" s="2">
        <v>2.9411220149999999</v>
      </c>
      <c r="O210" s="2">
        <v>1.440356529</v>
      </c>
      <c r="P210" s="2">
        <v>0.32853121530000001</v>
      </c>
      <c r="Q210" s="2" t="str">
        <f t="shared" si="0"/>
        <v>Jamaica|2015</v>
      </c>
      <c r="R210" s="2">
        <f t="shared" si="1"/>
        <v>5</v>
      </c>
      <c r="T210" s="2">
        <f t="shared" si="24"/>
        <v>0.12262964200000112</v>
      </c>
      <c r="U210" s="2">
        <f t="shared" si="28"/>
        <v>0.17984045199999912</v>
      </c>
      <c r="V210" s="2">
        <f t="shared" si="2"/>
        <v>2.1605134000000702E-2</v>
      </c>
      <c r="W210" s="2">
        <f t="shared" si="3"/>
        <v>90</v>
      </c>
      <c r="X210" s="2">
        <f t="shared" si="4"/>
        <v>85</v>
      </c>
      <c r="Y210" s="2">
        <f t="shared" si="5"/>
        <v>95</v>
      </c>
      <c r="Z210" s="2" t="str">
        <f t="shared" si="6"/>
        <v/>
      </c>
      <c r="AA210" s="2" t="str">
        <f t="shared" si="7"/>
        <v/>
      </c>
      <c r="AB210" s="2" t="str">
        <f t="shared" si="8"/>
        <v>Fully Accessible</v>
      </c>
      <c r="AC210" s="2">
        <f t="shared" si="9"/>
        <v>0.15823531799999843</v>
      </c>
      <c r="AE210" s="10" t="s">
        <v>270</v>
      </c>
      <c r="AF210" s="11" t="s">
        <v>57</v>
      </c>
      <c r="AH210" s="6" t="str">
        <f t="shared" si="10"/>
        <v>Latin America &amp; Caribbean</v>
      </c>
      <c r="AI210" s="6"/>
      <c r="AJ210" s="6"/>
      <c r="AK210" s="10">
        <f t="shared" si="26"/>
        <v>0.14779862400000071</v>
      </c>
      <c r="AL210" s="6"/>
      <c r="AM210" s="6"/>
      <c r="AN210" s="6"/>
      <c r="AO210" s="10">
        <f t="shared" si="12"/>
        <v>0</v>
      </c>
      <c r="AP210" s="6"/>
      <c r="AQ210" s="6"/>
      <c r="AR210" s="6"/>
      <c r="AS210" s="10">
        <f t="shared" si="15"/>
        <v>0</v>
      </c>
      <c r="AT210" s="6"/>
      <c r="AU210" s="6"/>
      <c r="AX210" s="2">
        <f t="shared" si="18"/>
        <v>5852.1848150000005</v>
      </c>
      <c r="AY210" s="2">
        <f t="shared" si="19"/>
        <v>111.14400481999999</v>
      </c>
      <c r="AZ210" s="2">
        <f t="shared" si="20"/>
        <v>5741.0408101800003</v>
      </c>
      <c r="BA210" s="16"/>
    </row>
    <row r="211" spans="1:53" x14ac:dyDescent="0.25">
      <c r="A211" s="2" t="s">
        <v>166</v>
      </c>
      <c r="B211" s="2">
        <v>2020</v>
      </c>
      <c r="C211" s="2">
        <v>2961.1608890000002</v>
      </c>
      <c r="D211" s="2">
        <v>56.311000819999997</v>
      </c>
      <c r="E211" s="2">
        <v>91.029944499999999</v>
      </c>
      <c r="F211" s="2">
        <v>5.3675709139999999</v>
      </c>
      <c r="G211" s="2">
        <v>1.8640102030000001</v>
      </c>
      <c r="H211" s="2">
        <v>1.7384743789999999</v>
      </c>
      <c r="I211" s="2">
        <v>85.39991216</v>
      </c>
      <c r="J211" s="2">
        <v>8.4907373709999998</v>
      </c>
      <c r="K211" s="2">
        <v>2.5689718949999998</v>
      </c>
      <c r="L211" s="2">
        <v>3.540378574</v>
      </c>
      <c r="M211" s="2">
        <v>95.398015909999998</v>
      </c>
      <c r="N211" s="2">
        <v>2.944456223</v>
      </c>
      <c r="O211" s="2">
        <v>1.317064322</v>
      </c>
      <c r="P211" s="2">
        <v>0.34046355</v>
      </c>
      <c r="Q211" s="2" t="str">
        <f t="shared" si="0"/>
        <v>Jamaica|2020</v>
      </c>
      <c r="R211" s="2" t="str">
        <f t="shared" si="1"/>
        <v xml:space="preserve"> </v>
      </c>
      <c r="T211" s="2" t="b">
        <f t="shared" si="24"/>
        <v>0</v>
      </c>
      <c r="U211" s="2" t="b">
        <f t="shared" si="28"/>
        <v>0</v>
      </c>
      <c r="V211" s="2" t="b">
        <f t="shared" si="2"/>
        <v>0</v>
      </c>
      <c r="W211" s="2">
        <f t="shared" si="3"/>
        <v>91</v>
      </c>
      <c r="X211" s="2">
        <f t="shared" si="4"/>
        <v>85</v>
      </c>
      <c r="Y211" s="2">
        <f t="shared" si="5"/>
        <v>95</v>
      </c>
      <c r="Z211" s="2" t="str">
        <f t="shared" si="6"/>
        <v/>
      </c>
      <c r="AA211" s="2" t="str">
        <f t="shared" si="7"/>
        <v/>
      </c>
      <c r="AB211" s="2" t="str">
        <f t="shared" si="8"/>
        <v/>
      </c>
      <c r="AC211" s="2">
        <f t="shared" si="9"/>
        <v>0</v>
      </c>
      <c r="AE211" s="10" t="s">
        <v>271</v>
      </c>
      <c r="AF211" s="11" t="s">
        <v>63</v>
      </c>
      <c r="AH211" s="6" t="str">
        <f t="shared" si="10"/>
        <v>Sub-Saharan Africa</v>
      </c>
      <c r="AI211" s="6"/>
      <c r="AJ211" s="6"/>
      <c r="AK211" s="10">
        <f t="shared" si="26"/>
        <v>0.53957077800000097</v>
      </c>
      <c r="AL211" s="6"/>
      <c r="AM211" s="6"/>
      <c r="AN211" s="6"/>
      <c r="AO211" s="10">
        <f t="shared" si="12"/>
        <v>1.6691117920000011</v>
      </c>
      <c r="AP211" s="6"/>
      <c r="AQ211" s="6"/>
      <c r="AR211" s="6"/>
      <c r="AS211" s="10">
        <f t="shared" si="15"/>
        <v>-1.3650061999999252E-2</v>
      </c>
      <c r="AT211" s="6"/>
      <c r="AU211" s="6"/>
      <c r="AX211" s="2" t="str">
        <f t="shared" si="18"/>
        <v>null</v>
      </c>
      <c r="AY211" s="2" t="str">
        <f t="shared" si="19"/>
        <v>null</v>
      </c>
      <c r="AZ211" s="2" t="str">
        <f t="shared" si="20"/>
        <v>null</v>
      </c>
      <c r="BA211" s="6"/>
    </row>
    <row r="212" spans="1:53" x14ac:dyDescent="0.25">
      <c r="A212" s="2" t="s">
        <v>167</v>
      </c>
      <c r="B212" s="2">
        <v>2015</v>
      </c>
      <c r="C212" s="2">
        <v>127985.1406</v>
      </c>
      <c r="D212" s="2">
        <v>91.380996699999997</v>
      </c>
      <c r="E212" s="2">
        <v>98.922805479999994</v>
      </c>
      <c r="F212" s="2">
        <v>0</v>
      </c>
      <c r="G212" s="2">
        <v>1.0771945169999999</v>
      </c>
      <c r="H212" s="2">
        <v>0</v>
      </c>
      <c r="I212" s="2" t="s">
        <v>64</v>
      </c>
      <c r="J212" s="2" t="s">
        <v>64</v>
      </c>
      <c r="K212" s="2" t="s">
        <v>64</v>
      </c>
      <c r="L212" s="2" t="s">
        <v>64</v>
      </c>
      <c r="M212" s="2" t="s">
        <v>64</v>
      </c>
      <c r="N212" s="2" t="s">
        <v>64</v>
      </c>
      <c r="O212" s="2" t="s">
        <v>64</v>
      </c>
      <c r="P212" s="2" t="s">
        <v>64</v>
      </c>
      <c r="Q212" s="2" t="str">
        <f t="shared" si="0"/>
        <v>Japan|2015</v>
      </c>
      <c r="R212" s="2">
        <f t="shared" si="1"/>
        <v>5</v>
      </c>
      <c r="T212" s="2">
        <f t="shared" si="24"/>
        <v>3.1221394000002078E-2</v>
      </c>
      <c r="U212" s="2" t="str">
        <f t="shared" si="28"/>
        <v>null</v>
      </c>
      <c r="V212" s="2" t="str">
        <f t="shared" si="2"/>
        <v>null</v>
      </c>
      <c r="W212" s="2">
        <f t="shared" si="3"/>
        <v>99</v>
      </c>
      <c r="X212" s="2" t="b">
        <f t="shared" si="4"/>
        <v>0</v>
      </c>
      <c r="Y212" s="2" t="b">
        <f t="shared" si="5"/>
        <v>0</v>
      </c>
      <c r="Z212" s="2" t="str">
        <f t="shared" si="6"/>
        <v/>
      </c>
      <c r="AA212" s="2" t="str">
        <f t="shared" si="7"/>
        <v>Fully Accessible</v>
      </c>
      <c r="AB212" s="2" t="str">
        <f t="shared" si="8"/>
        <v>Fully Accessible</v>
      </c>
      <c r="AC212" s="2" t="b">
        <f t="shared" si="9"/>
        <v>0</v>
      </c>
      <c r="AE212" s="10" t="s">
        <v>272</v>
      </c>
      <c r="AF212" s="11" t="s">
        <v>53</v>
      </c>
      <c r="AH212" s="6" t="str">
        <f t="shared" si="10"/>
        <v>Europe &amp; Central Asia</v>
      </c>
      <c r="AI212" s="6"/>
      <c r="AJ212" s="6"/>
      <c r="AK212" s="10">
        <f t="shared" si="26"/>
        <v>0.15162200799999823</v>
      </c>
      <c r="AL212" s="6"/>
      <c r="AM212" s="6"/>
      <c r="AN212" s="6"/>
      <c r="AO212" s="10">
        <f t="shared" si="12"/>
        <v>0.36425735600000164</v>
      </c>
      <c r="AP212" s="6"/>
      <c r="AQ212" s="6"/>
      <c r="AR212" s="6"/>
      <c r="AS212" s="10">
        <f t="shared" si="15"/>
        <v>6.6586558000000198E-2</v>
      </c>
      <c r="AT212" s="6"/>
      <c r="AU212" s="6"/>
      <c r="AX212" s="2">
        <f t="shared" si="18"/>
        <v>254461.60149999999</v>
      </c>
      <c r="AY212" s="2">
        <f t="shared" si="19"/>
        <v>183.16299437999999</v>
      </c>
      <c r="AZ212" s="2">
        <f t="shared" si="20"/>
        <v>254278.43850562</v>
      </c>
      <c r="BA212" s="16"/>
    </row>
    <row r="213" spans="1:53" x14ac:dyDescent="0.25">
      <c r="A213" s="2" t="s">
        <v>167</v>
      </c>
      <c r="B213" s="2">
        <v>2020</v>
      </c>
      <c r="C213" s="2">
        <v>126476.46090000001</v>
      </c>
      <c r="D213" s="2">
        <v>91.781997680000003</v>
      </c>
      <c r="E213" s="2">
        <v>99.078912450000004</v>
      </c>
      <c r="F213" s="2">
        <v>0</v>
      </c>
      <c r="G213" s="2">
        <v>0.92108754670000004</v>
      </c>
      <c r="H213" s="2">
        <v>0</v>
      </c>
      <c r="I213" s="2" t="s">
        <v>64</v>
      </c>
      <c r="J213" s="2" t="s">
        <v>64</v>
      </c>
      <c r="K213" s="2" t="s">
        <v>64</v>
      </c>
      <c r="L213" s="2" t="s">
        <v>64</v>
      </c>
      <c r="M213" s="2" t="s">
        <v>64</v>
      </c>
      <c r="N213" s="2" t="s">
        <v>64</v>
      </c>
      <c r="O213" s="2" t="s">
        <v>64</v>
      </c>
      <c r="P213" s="2" t="s">
        <v>64</v>
      </c>
      <c r="Q213" s="2" t="str">
        <f t="shared" si="0"/>
        <v>Japan|2020</v>
      </c>
      <c r="R213" s="2" t="str">
        <f t="shared" si="1"/>
        <v xml:space="preserve"> </v>
      </c>
      <c r="T213" s="2" t="b">
        <f t="shared" si="24"/>
        <v>0</v>
      </c>
      <c r="U213" s="2" t="b">
        <f t="shared" si="28"/>
        <v>0</v>
      </c>
      <c r="V213" s="2" t="b">
        <f t="shared" si="2"/>
        <v>0</v>
      </c>
      <c r="W213" s="2">
        <f t="shared" si="3"/>
        <v>99</v>
      </c>
      <c r="X213" s="2" t="b">
        <f t="shared" si="4"/>
        <v>0</v>
      </c>
      <c r="Y213" s="2" t="b">
        <f t="shared" si="5"/>
        <v>0</v>
      </c>
      <c r="Z213" s="2" t="str">
        <f t="shared" si="6"/>
        <v/>
      </c>
      <c r="AA213" s="2" t="str">
        <f t="shared" si="7"/>
        <v/>
      </c>
      <c r="AB213" s="2" t="str">
        <f t="shared" si="8"/>
        <v/>
      </c>
      <c r="AC213" s="2">
        <f t="shared" si="9"/>
        <v>0</v>
      </c>
      <c r="AE213" s="10" t="s">
        <v>273</v>
      </c>
      <c r="AF213" s="11" t="s">
        <v>53</v>
      </c>
      <c r="AH213" s="6" t="str">
        <f t="shared" si="10"/>
        <v>Europe &amp; Central Asia</v>
      </c>
      <c r="AI213" s="6"/>
      <c r="AJ213" s="6"/>
      <c r="AK213" s="10">
        <f t="shared" si="26"/>
        <v>0.46821113800000091</v>
      </c>
      <c r="AL213" s="6"/>
      <c r="AM213" s="6"/>
      <c r="AN213" s="6"/>
      <c r="AO213" s="10">
        <f t="shared" si="12"/>
        <v>0.75604336799999883</v>
      </c>
      <c r="AP213" s="6"/>
      <c r="AQ213" s="6"/>
      <c r="AR213" s="6"/>
      <c r="AS213" s="10">
        <f t="shared" si="15"/>
        <v>0.18400565599999935</v>
      </c>
      <c r="AT213" s="6"/>
      <c r="AU213" s="6"/>
      <c r="AX213" s="2" t="str">
        <f t="shared" si="18"/>
        <v>null</v>
      </c>
      <c r="AY213" s="2" t="str">
        <f t="shared" si="19"/>
        <v>null</v>
      </c>
      <c r="AZ213" s="2" t="str">
        <f t="shared" si="20"/>
        <v>null</v>
      </c>
      <c r="BA213" s="16"/>
    </row>
    <row r="214" spans="1:53" x14ac:dyDescent="0.25">
      <c r="A214" s="2" t="s">
        <v>168</v>
      </c>
      <c r="B214" s="2">
        <v>2015</v>
      </c>
      <c r="C214" s="2">
        <v>9266.5732420000004</v>
      </c>
      <c r="D214" s="2">
        <v>90.256004329999996</v>
      </c>
      <c r="E214" s="2">
        <v>99.006784909999993</v>
      </c>
      <c r="F214" s="2">
        <v>0.15240298360000001</v>
      </c>
      <c r="G214" s="2">
        <v>0.78123116479999999</v>
      </c>
      <c r="H214" s="2">
        <v>5.958093834E-2</v>
      </c>
      <c r="I214" s="2">
        <v>97.362315390000006</v>
      </c>
      <c r="J214" s="2">
        <v>0.62427255179999996</v>
      </c>
      <c r="K214" s="2">
        <v>1.973552059</v>
      </c>
      <c r="L214" s="2">
        <v>3.986E-2</v>
      </c>
      <c r="M214" s="2">
        <v>99.184316820000006</v>
      </c>
      <c r="N214" s="2">
        <v>0.10146013550000001</v>
      </c>
      <c r="O214" s="2">
        <v>0.65251304369999996</v>
      </c>
      <c r="P214" s="2">
        <v>6.1710000000000001E-2</v>
      </c>
      <c r="Q214" s="2" t="str">
        <f t="shared" si="0"/>
        <v>Jordan|2015</v>
      </c>
      <c r="R214" s="2">
        <f t="shared" si="1"/>
        <v>5</v>
      </c>
      <c r="T214" s="2">
        <f t="shared" si="24"/>
        <v>-1.3296389999999292E-2</v>
      </c>
      <c r="U214" s="2">
        <f t="shared" si="28"/>
        <v>-1.0167340000000991E-2</v>
      </c>
      <c r="V214" s="2">
        <f t="shared" si="2"/>
        <v>-1.8220846000002667E-2</v>
      </c>
      <c r="W214" s="2">
        <f t="shared" si="3"/>
        <v>99</v>
      </c>
      <c r="X214" s="2">
        <f t="shared" si="4"/>
        <v>97</v>
      </c>
      <c r="Y214" s="2">
        <f t="shared" si="5"/>
        <v>99</v>
      </c>
      <c r="Z214" s="2" t="str">
        <f t="shared" si="6"/>
        <v/>
      </c>
      <c r="AA214" s="2" t="str">
        <f t="shared" si="7"/>
        <v/>
      </c>
      <c r="AB214" s="2" t="str">
        <f t="shared" si="8"/>
        <v>Fully Accessible</v>
      </c>
      <c r="AC214" s="2">
        <f t="shared" si="9"/>
        <v>8.0535060000016759E-3</v>
      </c>
      <c r="AE214" s="10" t="s">
        <v>274</v>
      </c>
      <c r="AF214" s="11" t="s">
        <v>57</v>
      </c>
      <c r="AH214" s="6" t="str">
        <f t="shared" si="10"/>
        <v>Latin America &amp; Caribbean</v>
      </c>
      <c r="AI214" s="6"/>
      <c r="AJ214" s="6"/>
      <c r="AK214" s="10">
        <f t="shared" si="26"/>
        <v>0</v>
      </c>
      <c r="AL214" s="6"/>
      <c r="AM214" s="6"/>
      <c r="AN214" s="6"/>
      <c r="AO214" s="10">
        <f t="shared" si="12"/>
        <v>0</v>
      </c>
      <c r="AP214" s="6"/>
      <c r="AQ214" s="6"/>
      <c r="AR214" s="6"/>
      <c r="AS214" s="10">
        <f t="shared" si="15"/>
        <v>0</v>
      </c>
      <c r="AT214" s="6"/>
      <c r="AU214" s="6"/>
      <c r="AX214" s="2">
        <f t="shared" si="18"/>
        <v>19469.712892</v>
      </c>
      <c r="AY214" s="2">
        <f t="shared" si="19"/>
        <v>181.67400359999999</v>
      </c>
      <c r="AZ214" s="2">
        <f t="shared" si="20"/>
        <v>19288.038888399999</v>
      </c>
      <c r="BA214" s="6"/>
    </row>
    <row r="215" spans="1:53" x14ac:dyDescent="0.25">
      <c r="A215" s="2" t="s">
        <v>168</v>
      </c>
      <c r="B215" s="2">
        <v>2020</v>
      </c>
      <c r="C215" s="2">
        <v>10203.139649999999</v>
      </c>
      <c r="D215" s="2">
        <v>91.417999269999996</v>
      </c>
      <c r="E215" s="2">
        <v>98.940302959999997</v>
      </c>
      <c r="F215" s="2">
        <v>0.1462147369</v>
      </c>
      <c r="G215" s="2">
        <v>0.8536474704</v>
      </c>
      <c r="H215" s="2">
        <v>5.9834831790000001E-2</v>
      </c>
      <c r="I215" s="2">
        <v>97.311478690000001</v>
      </c>
      <c r="J215" s="2">
        <v>0.62394659450000001</v>
      </c>
      <c r="K215" s="2">
        <v>2.0247147160000001</v>
      </c>
      <c r="L215" s="2">
        <v>3.986E-2</v>
      </c>
      <c r="M215" s="2">
        <v>99.093212589999993</v>
      </c>
      <c r="N215" s="2">
        <v>0.1013669408</v>
      </c>
      <c r="O215" s="2">
        <v>0.74371047069999996</v>
      </c>
      <c r="P215" s="2">
        <v>6.1710000000000001E-2</v>
      </c>
      <c r="Q215" s="2" t="str">
        <f t="shared" si="0"/>
        <v>Jordan|2020</v>
      </c>
      <c r="R215" s="2" t="str">
        <f t="shared" si="1"/>
        <v xml:space="preserve"> </v>
      </c>
      <c r="T215" s="2" t="b">
        <f t="shared" si="24"/>
        <v>0</v>
      </c>
      <c r="U215" s="2" t="b">
        <f t="shared" si="28"/>
        <v>0</v>
      </c>
      <c r="V215" s="2" t="b">
        <f t="shared" si="2"/>
        <v>0</v>
      </c>
      <c r="W215" s="2">
        <f t="shared" si="3"/>
        <v>99</v>
      </c>
      <c r="X215" s="2">
        <f t="shared" si="4"/>
        <v>97</v>
      </c>
      <c r="Y215" s="2">
        <f t="shared" si="5"/>
        <v>99</v>
      </c>
      <c r="Z215" s="2" t="str">
        <f t="shared" si="6"/>
        <v/>
      </c>
      <c r="AA215" s="2" t="str">
        <f t="shared" si="7"/>
        <v/>
      </c>
      <c r="AB215" s="2" t="str">
        <f t="shared" si="8"/>
        <v/>
      </c>
      <c r="AC215" s="2">
        <f t="shared" si="9"/>
        <v>0</v>
      </c>
      <c r="AE215" s="10" t="s">
        <v>275</v>
      </c>
      <c r="AF215" s="11" t="s">
        <v>51</v>
      </c>
      <c r="AH215" s="6" t="str">
        <f t="shared" si="10"/>
        <v>East Asia &amp; Pacific</v>
      </c>
      <c r="AI215" s="6"/>
      <c r="AJ215" s="6"/>
      <c r="AK215" s="10">
        <f t="shared" si="26"/>
        <v>0</v>
      </c>
      <c r="AL215" s="6"/>
      <c r="AM215" s="6"/>
      <c r="AN215" s="6"/>
      <c r="AO215" s="10">
        <f t="shared" si="12"/>
        <v>0</v>
      </c>
      <c r="AP215" s="6"/>
      <c r="AQ215" s="6"/>
      <c r="AR215" s="6"/>
      <c r="AS215" s="10">
        <f t="shared" si="15"/>
        <v>0</v>
      </c>
      <c r="AT215" s="6"/>
      <c r="AU215" s="6"/>
      <c r="AX215" s="2" t="str">
        <f t="shared" si="18"/>
        <v>null</v>
      </c>
      <c r="AY215" s="2" t="str">
        <f t="shared" si="19"/>
        <v>null</v>
      </c>
      <c r="AZ215" s="2" t="str">
        <f t="shared" si="20"/>
        <v>null</v>
      </c>
      <c r="BA215" s="6"/>
    </row>
    <row r="216" spans="1:53" x14ac:dyDescent="0.25">
      <c r="A216" s="2" t="s">
        <v>169</v>
      </c>
      <c r="B216" s="2">
        <v>2015</v>
      </c>
      <c r="C216" s="2">
        <v>17572.009770000001</v>
      </c>
      <c r="D216" s="2">
        <v>57.191001890000003</v>
      </c>
      <c r="E216" s="2">
        <v>95.025334409999999</v>
      </c>
      <c r="F216" s="2">
        <v>1.812908425</v>
      </c>
      <c r="G216" s="2">
        <v>2.9043926519999999</v>
      </c>
      <c r="H216" s="2">
        <v>0.25736451110000003</v>
      </c>
      <c r="I216" s="2">
        <v>90.747497839999994</v>
      </c>
      <c r="J216" s="2">
        <v>1.8667718499999999</v>
      </c>
      <c r="K216" s="2">
        <v>6.7845377490000001</v>
      </c>
      <c r="L216" s="2">
        <v>0.60119255559999996</v>
      </c>
      <c r="M216" s="2">
        <v>98.227409789999996</v>
      </c>
      <c r="N216" s="2">
        <v>1.7725902060000001</v>
      </c>
      <c r="O216" s="2">
        <v>0</v>
      </c>
      <c r="P216" s="2">
        <v>0</v>
      </c>
      <c r="Q216" s="2" t="str">
        <f t="shared" si="0"/>
        <v>Kazakhstan|2015</v>
      </c>
      <c r="R216" s="2">
        <f t="shared" si="1"/>
        <v>5</v>
      </c>
      <c r="T216" s="2">
        <f t="shared" si="24"/>
        <v>8.1927182000001153E-2</v>
      </c>
      <c r="U216" s="2">
        <f t="shared" si="28"/>
        <v>0.23835090000000037</v>
      </c>
      <c r="V216" s="2">
        <f t="shared" si="2"/>
        <v>-4.5335692000000448E-2</v>
      </c>
      <c r="W216" s="2">
        <f t="shared" si="3"/>
        <v>95</v>
      </c>
      <c r="X216" s="2">
        <f t="shared" si="4"/>
        <v>91</v>
      </c>
      <c r="Y216" s="2">
        <f t="shared" si="5"/>
        <v>98</v>
      </c>
      <c r="Z216" s="2" t="str">
        <f t="shared" si="6"/>
        <v/>
      </c>
      <c r="AA216" s="2" t="str">
        <f t="shared" si="7"/>
        <v/>
      </c>
      <c r="AB216" s="2" t="str">
        <f t="shared" si="8"/>
        <v>Fully Accessible</v>
      </c>
      <c r="AC216" s="2">
        <f t="shared" si="9"/>
        <v>0.28368659200000079</v>
      </c>
      <c r="AE216" s="10" t="s">
        <v>276</v>
      </c>
      <c r="AF216" s="11" t="s">
        <v>63</v>
      </c>
      <c r="AH216" s="6" t="str">
        <f t="shared" si="10"/>
        <v>Sub-Saharan Africa</v>
      </c>
      <c r="AI216" s="6"/>
      <c r="AJ216" s="6"/>
      <c r="AK216" s="10">
        <f t="shared" si="26"/>
        <v>1.6026981699999994</v>
      </c>
      <c r="AL216" s="6"/>
      <c r="AM216" s="6"/>
      <c r="AN216" s="6"/>
      <c r="AO216" s="10">
        <f t="shared" si="12"/>
        <v>1.7028372899999993</v>
      </c>
      <c r="AP216" s="6"/>
      <c r="AQ216" s="6"/>
      <c r="AR216" s="6"/>
      <c r="AS216" s="10">
        <f t="shared" si="15"/>
        <v>0.44729914199999998</v>
      </c>
      <c r="AT216" s="6"/>
      <c r="AU216" s="6"/>
      <c r="AX216" s="2">
        <f t="shared" si="18"/>
        <v>36348.716800000002</v>
      </c>
      <c r="AY216" s="2">
        <f t="shared" si="19"/>
        <v>114.86200332</v>
      </c>
      <c r="AZ216" s="2">
        <f t="shared" si="20"/>
        <v>36233.854796680003</v>
      </c>
      <c r="BA216" s="6"/>
    </row>
    <row r="217" spans="1:53" x14ac:dyDescent="0.25">
      <c r="A217" s="2" t="s">
        <v>169</v>
      </c>
      <c r="B217" s="2">
        <v>2020</v>
      </c>
      <c r="C217" s="2">
        <v>18776.707030000001</v>
      </c>
      <c r="D217" s="2">
        <v>57.671001429999997</v>
      </c>
      <c r="E217" s="2">
        <v>95.434970320000005</v>
      </c>
      <c r="F217" s="2">
        <v>1.9414250390000001</v>
      </c>
      <c r="G217" s="2">
        <v>2.5459569339999999</v>
      </c>
      <c r="H217" s="2">
        <v>7.7647704710000001E-2</v>
      </c>
      <c r="I217" s="2">
        <v>91.939252339999996</v>
      </c>
      <c r="J217" s="2">
        <v>1.862616064</v>
      </c>
      <c r="K217" s="2">
        <v>6.0146930489999999</v>
      </c>
      <c r="L217" s="2">
        <v>0.18343854379999999</v>
      </c>
      <c r="M217" s="2">
        <v>98.000731329999994</v>
      </c>
      <c r="N217" s="2">
        <v>1.999268673</v>
      </c>
      <c r="O217" s="2">
        <v>0</v>
      </c>
      <c r="P217" s="2">
        <v>0</v>
      </c>
      <c r="Q217" s="2" t="str">
        <f t="shared" si="0"/>
        <v>Kazakhstan|2020</v>
      </c>
      <c r="R217" s="2" t="str">
        <f t="shared" si="1"/>
        <v xml:space="preserve"> </v>
      </c>
      <c r="T217" s="2" t="b">
        <f t="shared" si="24"/>
        <v>0</v>
      </c>
      <c r="U217" s="2" t="b">
        <f t="shared" si="28"/>
        <v>0</v>
      </c>
      <c r="V217" s="2" t="b">
        <f t="shared" si="2"/>
        <v>0</v>
      </c>
      <c r="W217" s="2">
        <f t="shared" si="3"/>
        <v>95</v>
      </c>
      <c r="X217" s="2">
        <f t="shared" si="4"/>
        <v>92</v>
      </c>
      <c r="Y217" s="2">
        <f t="shared" si="5"/>
        <v>98</v>
      </c>
      <c r="Z217" s="2" t="str">
        <f t="shared" si="6"/>
        <v/>
      </c>
      <c r="AA217" s="2" t="str">
        <f t="shared" si="7"/>
        <v/>
      </c>
      <c r="AB217" s="2" t="str">
        <f t="shared" si="8"/>
        <v/>
      </c>
      <c r="AC217" s="2">
        <f t="shared" si="9"/>
        <v>0</v>
      </c>
      <c r="AE217" s="10" t="s">
        <v>277</v>
      </c>
      <c r="AF217" s="11" t="s">
        <v>53</v>
      </c>
      <c r="AH217" s="6" t="str">
        <f t="shared" si="10"/>
        <v>Europe &amp; Central Asia</v>
      </c>
      <c r="AI217" s="6"/>
      <c r="AJ217" s="6"/>
      <c r="AK217" s="10">
        <f t="shared" si="26"/>
        <v>5.4275051999999845E-2</v>
      </c>
      <c r="AL217" s="6"/>
      <c r="AM217" s="6"/>
      <c r="AN217" s="6"/>
      <c r="AO217" s="10">
        <f t="shared" si="12"/>
        <v>0.2313776780000012</v>
      </c>
      <c r="AP217" s="6"/>
      <c r="AQ217" s="6"/>
      <c r="AR217" s="6"/>
      <c r="AS217" s="10">
        <f t="shared" si="15"/>
        <v>-1.1247683999999935E-2</v>
      </c>
      <c r="AT217" s="6"/>
      <c r="AU217" s="6"/>
      <c r="AX217" s="2" t="str">
        <f t="shared" si="18"/>
        <v>null</v>
      </c>
      <c r="AY217" s="2" t="str">
        <f t="shared" si="19"/>
        <v>null</v>
      </c>
      <c r="AZ217" s="2" t="str">
        <f t="shared" si="20"/>
        <v>null</v>
      </c>
      <c r="BA217" s="6"/>
    </row>
    <row r="218" spans="1:53" x14ac:dyDescent="0.25">
      <c r="A218" s="2" t="s">
        <v>170</v>
      </c>
      <c r="B218" s="2">
        <v>2015</v>
      </c>
      <c r="C218" s="2">
        <v>47878.339840000001</v>
      </c>
      <c r="D218" s="2">
        <v>25.65799904</v>
      </c>
      <c r="E218" s="2">
        <v>58.196927979999998</v>
      </c>
      <c r="F218" s="2">
        <v>8.7967539769999998</v>
      </c>
      <c r="G218" s="2">
        <v>11.522918349999999</v>
      </c>
      <c r="H218" s="2">
        <v>21.483399689999999</v>
      </c>
      <c r="I218" s="2">
        <v>48.272161910000001</v>
      </c>
      <c r="J218" s="2">
        <v>10.37313934</v>
      </c>
      <c r="K218" s="2">
        <v>14.21683468</v>
      </c>
      <c r="L218" s="2">
        <v>27.13786408</v>
      </c>
      <c r="M218" s="2">
        <v>86.953147920000006</v>
      </c>
      <c r="N218" s="2">
        <v>4.2293042700000001</v>
      </c>
      <c r="O218" s="2">
        <v>3.7175043830000001</v>
      </c>
      <c r="P218" s="2">
        <v>5.1000434290000003</v>
      </c>
      <c r="Q218" s="2" t="str">
        <f t="shared" si="0"/>
        <v>Kenya|2015</v>
      </c>
      <c r="R218" s="2">
        <f t="shared" si="1"/>
        <v>5</v>
      </c>
      <c r="T218" s="2">
        <f t="shared" si="24"/>
        <v>0.6871927200000002</v>
      </c>
      <c r="U218" s="2">
        <f t="shared" si="28"/>
        <v>0.7015634039999995</v>
      </c>
      <c r="V218" s="2">
        <f t="shared" si="2"/>
        <v>4.4167059999978163E-3</v>
      </c>
      <c r="W218" s="2">
        <f t="shared" si="3"/>
        <v>58</v>
      </c>
      <c r="X218" s="2">
        <f t="shared" si="4"/>
        <v>48</v>
      </c>
      <c r="Y218" s="2">
        <f t="shared" si="5"/>
        <v>87</v>
      </c>
      <c r="Z218" s="2" t="str">
        <f t="shared" si="6"/>
        <v/>
      </c>
      <c r="AA218" s="2" t="str">
        <f t="shared" si="7"/>
        <v/>
      </c>
      <c r="AB218" s="2" t="str">
        <f t="shared" si="8"/>
        <v>Fully Accessible</v>
      </c>
      <c r="AC218" s="2">
        <f t="shared" si="9"/>
        <v>0.69714669800000173</v>
      </c>
      <c r="AE218" s="10" t="s">
        <v>278</v>
      </c>
      <c r="AF218" s="11" t="s">
        <v>53</v>
      </c>
      <c r="AH218" s="6" t="str">
        <f t="shared" si="10"/>
        <v>Europe &amp; Central Asia</v>
      </c>
      <c r="AI218" s="6"/>
      <c r="AJ218" s="6"/>
      <c r="AK218" s="10">
        <f t="shared" si="26"/>
        <v>-1.1472939999976005E-3</v>
      </c>
      <c r="AL218" s="6"/>
      <c r="AM218" s="6"/>
      <c r="AN218" s="6"/>
      <c r="AO218" s="10">
        <f t="shared" si="12"/>
        <v>0</v>
      </c>
      <c r="AP218" s="6"/>
      <c r="AQ218" s="6"/>
      <c r="AR218" s="6"/>
      <c r="AS218" s="10">
        <f t="shared" si="15"/>
        <v>0</v>
      </c>
      <c r="AT218" s="6"/>
      <c r="AU218" s="6"/>
      <c r="AX218" s="2">
        <f t="shared" si="18"/>
        <v>101649.64061999999</v>
      </c>
      <c r="AY218" s="2">
        <f t="shared" si="19"/>
        <v>53.652997970000001</v>
      </c>
      <c r="AZ218" s="2">
        <f t="shared" si="20"/>
        <v>101595.98762202999</v>
      </c>
      <c r="BA218" s="16"/>
    </row>
    <row r="219" spans="1:53" x14ac:dyDescent="0.25">
      <c r="A219" s="2" t="s">
        <v>170</v>
      </c>
      <c r="B219" s="2">
        <v>2020</v>
      </c>
      <c r="C219" s="2">
        <v>53771.300779999998</v>
      </c>
      <c r="D219" s="2">
        <v>27.994998930000001</v>
      </c>
      <c r="E219" s="2">
        <v>61.632891579999999</v>
      </c>
      <c r="F219" s="2">
        <v>9.54187005</v>
      </c>
      <c r="G219" s="2">
        <v>9.7800875240000007</v>
      </c>
      <c r="H219" s="2">
        <v>19.045150840000002</v>
      </c>
      <c r="I219" s="2">
        <v>51.779978929999999</v>
      </c>
      <c r="J219" s="2">
        <v>11.569004189999999</v>
      </c>
      <c r="K219" s="2">
        <v>12.519113219999999</v>
      </c>
      <c r="L219" s="2">
        <v>24.131903659999999</v>
      </c>
      <c r="M219" s="2">
        <v>86.975231449999995</v>
      </c>
      <c r="N219" s="2">
        <v>4.327944725</v>
      </c>
      <c r="O219" s="2">
        <v>2.7351426299999999</v>
      </c>
      <c r="P219" s="2">
        <v>5.9616811930000004</v>
      </c>
      <c r="Q219" s="2" t="str">
        <f t="shared" si="0"/>
        <v>Kenya|2020</v>
      </c>
      <c r="R219" s="2" t="str">
        <f t="shared" si="1"/>
        <v xml:space="preserve"> </v>
      </c>
      <c r="T219" s="2" t="b">
        <f t="shared" si="24"/>
        <v>0</v>
      </c>
      <c r="U219" s="2" t="b">
        <f t="shared" si="28"/>
        <v>0</v>
      </c>
      <c r="V219" s="2" t="b">
        <f t="shared" si="2"/>
        <v>0</v>
      </c>
      <c r="W219" s="2">
        <f t="shared" si="3"/>
        <v>62</v>
      </c>
      <c r="X219" s="2">
        <f t="shared" si="4"/>
        <v>52</v>
      </c>
      <c r="Y219" s="2">
        <f t="shared" si="5"/>
        <v>87</v>
      </c>
      <c r="Z219" s="2" t="str">
        <f t="shared" si="6"/>
        <v/>
      </c>
      <c r="AA219" s="2" t="str">
        <f t="shared" si="7"/>
        <v/>
      </c>
      <c r="AB219" s="2" t="str">
        <f t="shared" si="8"/>
        <v/>
      </c>
      <c r="AC219" s="2">
        <f t="shared" si="9"/>
        <v>0</v>
      </c>
      <c r="AE219" s="10" t="s">
        <v>279</v>
      </c>
      <c r="AF219" s="11" t="s">
        <v>53</v>
      </c>
      <c r="AH219" s="6" t="str">
        <f t="shared" si="10"/>
        <v>Europe &amp; Central Asia</v>
      </c>
      <c r="AI219" s="6"/>
      <c r="AJ219" s="6"/>
      <c r="AK219" s="10">
        <f t="shared" si="26"/>
        <v>-5.8800000033443214E-7</v>
      </c>
      <c r="AL219" s="6"/>
      <c r="AM219" s="6"/>
      <c r="AN219" s="6"/>
      <c r="AO219" s="10">
        <f t="shared" si="12"/>
        <v>0</v>
      </c>
      <c r="AP219" s="6"/>
      <c r="AQ219" s="6"/>
      <c r="AR219" s="6"/>
      <c r="AS219" s="10">
        <f t="shared" si="15"/>
        <v>0</v>
      </c>
      <c r="AT219" s="6"/>
      <c r="AU219" s="6"/>
      <c r="AX219" s="2" t="str">
        <f t="shared" si="18"/>
        <v>null</v>
      </c>
      <c r="AY219" s="2" t="str">
        <f t="shared" si="19"/>
        <v>null</v>
      </c>
      <c r="AZ219" s="2" t="str">
        <f t="shared" si="20"/>
        <v>null</v>
      </c>
      <c r="BA219" s="6"/>
    </row>
    <row r="220" spans="1:53" x14ac:dyDescent="0.25">
      <c r="A220" s="2" t="s">
        <v>171</v>
      </c>
      <c r="B220" s="2">
        <v>2015</v>
      </c>
      <c r="C220" s="2">
        <v>110.927002</v>
      </c>
      <c r="D220" s="2">
        <v>51.618999479999999</v>
      </c>
      <c r="E220" s="2">
        <v>73.848096589999997</v>
      </c>
      <c r="F220" s="2">
        <v>2.3408915690000001</v>
      </c>
      <c r="G220" s="2">
        <v>23.811011839999999</v>
      </c>
      <c r="H220" s="2">
        <v>0</v>
      </c>
      <c r="I220" s="2">
        <v>57.922252589999999</v>
      </c>
      <c r="J220" s="2">
        <v>1.6395879280000001</v>
      </c>
      <c r="K220" s="2">
        <v>40.438159480000003</v>
      </c>
      <c r="L220" s="2">
        <v>0</v>
      </c>
      <c r="M220" s="2">
        <v>88.774932000000007</v>
      </c>
      <c r="N220" s="2">
        <v>2.9982032959999998</v>
      </c>
      <c r="O220" s="2">
        <v>8.2268647060000006</v>
      </c>
      <c r="P220" s="2">
        <v>0</v>
      </c>
      <c r="Q220" s="2" t="str">
        <f t="shared" si="0"/>
        <v>Kiribati|2015</v>
      </c>
      <c r="R220" s="2">
        <f t="shared" si="1"/>
        <v>5</v>
      </c>
      <c r="T220" s="2">
        <f t="shared" si="24"/>
        <v>0.82456485200000029</v>
      </c>
      <c r="U220" s="2">
        <f t="shared" si="28"/>
        <v>0.61438646000000008</v>
      </c>
      <c r="V220" s="2">
        <f t="shared" si="2"/>
        <v>0.55124856999999849</v>
      </c>
      <c r="W220" s="2">
        <f t="shared" si="3"/>
        <v>74</v>
      </c>
      <c r="X220" s="2">
        <f t="shared" si="4"/>
        <v>58</v>
      </c>
      <c r="Y220" s="2">
        <f t="shared" si="5"/>
        <v>89</v>
      </c>
      <c r="Z220" s="2" t="str">
        <f t="shared" si="6"/>
        <v/>
      </c>
      <c r="AA220" s="2" t="str">
        <f t="shared" si="7"/>
        <v/>
      </c>
      <c r="AB220" s="2" t="str">
        <f t="shared" si="8"/>
        <v>Fully Accessible</v>
      </c>
      <c r="AC220" s="2">
        <f t="shared" si="9"/>
        <v>6.3137890000001584E-2</v>
      </c>
      <c r="AE220" s="10" t="s">
        <v>280</v>
      </c>
      <c r="AF220" s="11" t="s">
        <v>63</v>
      </c>
      <c r="AH220" s="6" t="str">
        <f t="shared" si="10"/>
        <v>Sub-Saharan Africa</v>
      </c>
      <c r="AI220" s="6"/>
      <c r="AJ220" s="6"/>
      <c r="AK220" s="10">
        <f t="shared" si="26"/>
        <v>1.5506005999999999</v>
      </c>
      <c r="AL220" s="6"/>
      <c r="AM220" s="6"/>
      <c r="AN220" s="6"/>
      <c r="AO220" s="10">
        <f t="shared" si="12"/>
        <v>1.316708156</v>
      </c>
      <c r="AP220" s="6"/>
      <c r="AQ220" s="6"/>
      <c r="AR220" s="6"/>
      <c r="AS220" s="10">
        <f t="shared" si="15"/>
        <v>1.0666138999999988</v>
      </c>
      <c r="AT220" s="6"/>
      <c r="AU220" s="6"/>
      <c r="AX220" s="2">
        <f t="shared" si="18"/>
        <v>230.37300110000001</v>
      </c>
      <c r="AY220" s="2">
        <f t="shared" si="19"/>
        <v>107.21299744000001</v>
      </c>
      <c r="AZ220" s="2">
        <f t="shared" si="20"/>
        <v>123.16000366</v>
      </c>
      <c r="BA220" s="16"/>
    </row>
    <row r="221" spans="1:53" x14ac:dyDescent="0.25">
      <c r="A221" s="2" t="s">
        <v>171</v>
      </c>
      <c r="B221" s="2">
        <v>2020</v>
      </c>
      <c r="C221" s="2">
        <v>119.44599909999999</v>
      </c>
      <c r="D221" s="2">
        <v>55.593997960000003</v>
      </c>
      <c r="E221" s="2">
        <v>77.970920849999999</v>
      </c>
      <c r="F221" s="2">
        <v>4.0768996250000002</v>
      </c>
      <c r="G221" s="2">
        <v>17.952179529999999</v>
      </c>
      <c r="H221" s="2">
        <v>0</v>
      </c>
      <c r="I221" s="2">
        <v>60.99418489</v>
      </c>
      <c r="J221" s="2">
        <v>2.0966097989999999</v>
      </c>
      <c r="K221" s="2">
        <v>36.909205319999998</v>
      </c>
      <c r="L221" s="2">
        <v>0</v>
      </c>
      <c r="M221" s="2">
        <v>91.531174849999999</v>
      </c>
      <c r="N221" s="2">
        <v>5.6586664610000001</v>
      </c>
      <c r="O221" s="2">
        <v>2.8101586909999998</v>
      </c>
      <c r="P221" s="2">
        <v>0</v>
      </c>
      <c r="Q221" s="2" t="str">
        <f t="shared" si="0"/>
        <v>Kiribati|2020</v>
      </c>
      <c r="R221" s="2" t="str">
        <f t="shared" si="1"/>
        <v xml:space="preserve"> </v>
      </c>
      <c r="T221" s="2" t="b">
        <f t="shared" si="24"/>
        <v>0</v>
      </c>
      <c r="U221" s="2" t="b">
        <f t="shared" si="28"/>
        <v>0</v>
      </c>
      <c r="V221" s="2" t="b">
        <f t="shared" si="2"/>
        <v>0</v>
      </c>
      <c r="W221" s="2">
        <f t="shared" si="3"/>
        <v>78</v>
      </c>
      <c r="X221" s="2">
        <f t="shared" si="4"/>
        <v>61</v>
      </c>
      <c r="Y221" s="2">
        <f t="shared" si="5"/>
        <v>92</v>
      </c>
      <c r="Z221" s="2" t="str">
        <f t="shared" si="6"/>
        <v/>
      </c>
      <c r="AA221" s="2" t="str">
        <f t="shared" si="7"/>
        <v/>
      </c>
      <c r="AB221" s="2" t="str">
        <f t="shared" si="8"/>
        <v/>
      </c>
      <c r="AC221" s="2">
        <f t="shared" si="9"/>
        <v>0</v>
      </c>
      <c r="AE221" s="10" t="s">
        <v>281</v>
      </c>
      <c r="AF221" s="11" t="s">
        <v>61</v>
      </c>
      <c r="AH221" s="6" t="str">
        <f t="shared" si="10"/>
        <v>North America</v>
      </c>
      <c r="AI221" s="6"/>
      <c r="AJ221" s="6"/>
      <c r="AK221" s="10">
        <f t="shared" si="26"/>
        <v>0</v>
      </c>
      <c r="AL221" s="6"/>
      <c r="AM221" s="6"/>
      <c r="AN221" s="6"/>
      <c r="AO221" s="10">
        <f t="shared" si="12"/>
        <v>0</v>
      </c>
      <c r="AP221" s="6"/>
      <c r="AQ221" s="6"/>
      <c r="AR221" s="6"/>
      <c r="AS221" s="10">
        <f t="shared" si="15"/>
        <v>0</v>
      </c>
      <c r="AT221" s="6"/>
      <c r="AU221" s="6"/>
      <c r="AX221" s="2" t="str">
        <f t="shared" si="18"/>
        <v>null</v>
      </c>
      <c r="AY221" s="2" t="str">
        <f t="shared" si="19"/>
        <v>null</v>
      </c>
      <c r="AZ221" s="2" t="str">
        <f t="shared" si="20"/>
        <v>null</v>
      </c>
      <c r="BA221" s="16"/>
    </row>
    <row r="222" spans="1:53" x14ac:dyDescent="0.25">
      <c r="A222" s="2" t="s">
        <v>172</v>
      </c>
      <c r="B222" s="2">
        <v>2015</v>
      </c>
      <c r="C222" s="2">
        <v>3835.5878910000001</v>
      </c>
      <c r="D222" s="2">
        <v>100</v>
      </c>
      <c r="E222" s="2">
        <v>100</v>
      </c>
      <c r="F222" s="2">
        <v>0</v>
      </c>
      <c r="G222" s="2">
        <v>0</v>
      </c>
      <c r="H222" s="2">
        <v>0</v>
      </c>
      <c r="I222" s="2" t="s">
        <v>64</v>
      </c>
      <c r="J222" s="2" t="s">
        <v>64</v>
      </c>
      <c r="K222" s="2" t="s">
        <v>64</v>
      </c>
      <c r="L222" s="2" t="s">
        <v>64</v>
      </c>
      <c r="M222" s="2" t="s">
        <v>64</v>
      </c>
      <c r="N222" s="2" t="s">
        <v>64</v>
      </c>
      <c r="O222" s="2" t="s">
        <v>64</v>
      </c>
      <c r="P222" s="2" t="s">
        <v>64</v>
      </c>
      <c r="Q222" s="2" t="str">
        <f t="shared" si="0"/>
        <v>Kuwait|2015</v>
      </c>
      <c r="R222" s="2">
        <f t="shared" si="1"/>
        <v>5</v>
      </c>
      <c r="T222" s="2">
        <f t="shared" si="24"/>
        <v>0</v>
      </c>
      <c r="U222" s="2" t="str">
        <f t="shared" si="28"/>
        <v>null</v>
      </c>
      <c r="V222" s="2" t="str">
        <f t="shared" si="2"/>
        <v>null</v>
      </c>
      <c r="W222" s="2">
        <f t="shared" si="3"/>
        <v>100</v>
      </c>
      <c r="X222" s="2" t="b">
        <f t="shared" si="4"/>
        <v>0</v>
      </c>
      <c r="Y222" s="2" t="b">
        <f t="shared" si="5"/>
        <v>0</v>
      </c>
      <c r="Z222" s="2" t="str">
        <f t="shared" si="6"/>
        <v/>
      </c>
      <c r="AA222" s="2" t="str">
        <f t="shared" si="7"/>
        <v>Fully Accessible</v>
      </c>
      <c r="AB222" s="2" t="str">
        <f t="shared" si="8"/>
        <v>Fully Accessible</v>
      </c>
      <c r="AC222" s="2" t="b">
        <f t="shared" si="9"/>
        <v>0</v>
      </c>
      <c r="AE222" s="10" t="s">
        <v>282</v>
      </c>
      <c r="AF222" s="11" t="s">
        <v>61</v>
      </c>
      <c r="AH222" s="6" t="str">
        <f t="shared" si="10"/>
        <v>North America</v>
      </c>
      <c r="AI222" s="6"/>
      <c r="AJ222" s="6"/>
      <c r="AK222" s="10">
        <f t="shared" si="26"/>
        <v>8.7273784000001339E-2</v>
      </c>
      <c r="AL222" s="6"/>
      <c r="AM222" s="6"/>
      <c r="AN222" s="6"/>
      <c r="AO222" s="10">
        <f t="shared" si="12"/>
        <v>0.37813376600000198</v>
      </c>
      <c r="AP222" s="6"/>
      <c r="AQ222" s="6"/>
      <c r="AR222" s="6"/>
      <c r="AS222" s="10">
        <f t="shared" si="15"/>
        <v>2.1372932000002721E-2</v>
      </c>
      <c r="AT222" s="6"/>
      <c r="AU222" s="6"/>
      <c r="AX222" s="2">
        <f t="shared" si="18"/>
        <v>8106.1508789999998</v>
      </c>
      <c r="AY222" s="2">
        <f t="shared" si="19"/>
        <v>200</v>
      </c>
      <c r="AZ222" s="2">
        <f t="shared" si="20"/>
        <v>7906.1508789999998</v>
      </c>
      <c r="BA222" s="6"/>
    </row>
    <row r="223" spans="1:53" x14ac:dyDescent="0.25">
      <c r="A223" s="2" t="s">
        <v>172</v>
      </c>
      <c r="B223" s="2">
        <v>2020</v>
      </c>
      <c r="C223" s="2">
        <v>4270.5629879999997</v>
      </c>
      <c r="D223" s="2">
        <v>100</v>
      </c>
      <c r="E223" s="2">
        <v>100</v>
      </c>
      <c r="F223" s="2">
        <v>0</v>
      </c>
      <c r="G223" s="2">
        <v>0</v>
      </c>
      <c r="H223" s="2">
        <v>0</v>
      </c>
      <c r="I223" s="2" t="s">
        <v>64</v>
      </c>
      <c r="J223" s="2" t="s">
        <v>64</v>
      </c>
      <c r="K223" s="2" t="s">
        <v>64</v>
      </c>
      <c r="L223" s="2" t="s">
        <v>64</v>
      </c>
      <c r="M223" s="2" t="s">
        <v>64</v>
      </c>
      <c r="N223" s="2" t="s">
        <v>64</v>
      </c>
      <c r="O223" s="2" t="s">
        <v>64</v>
      </c>
      <c r="P223" s="2" t="s">
        <v>64</v>
      </c>
      <c r="Q223" s="2" t="str">
        <f t="shared" si="0"/>
        <v>Kuwait|2020</v>
      </c>
      <c r="R223" s="2" t="str">
        <f t="shared" si="1"/>
        <v xml:space="preserve"> </v>
      </c>
      <c r="T223" s="2" t="b">
        <f t="shared" si="24"/>
        <v>0</v>
      </c>
      <c r="U223" s="2" t="b">
        <f t="shared" si="28"/>
        <v>0</v>
      </c>
      <c r="V223" s="2" t="b">
        <f t="shared" si="2"/>
        <v>0</v>
      </c>
      <c r="W223" s="2">
        <f t="shared" si="3"/>
        <v>100</v>
      </c>
      <c r="X223" s="2" t="b">
        <f t="shared" si="4"/>
        <v>0</v>
      </c>
      <c r="Y223" s="2" t="b">
        <f t="shared" si="5"/>
        <v>0</v>
      </c>
      <c r="Z223" s="2" t="str">
        <f t="shared" si="6"/>
        <v/>
      </c>
      <c r="AA223" s="2" t="str">
        <f t="shared" si="7"/>
        <v/>
      </c>
      <c r="AB223" s="2" t="str">
        <f t="shared" si="8"/>
        <v/>
      </c>
      <c r="AC223" s="2">
        <f t="shared" si="9"/>
        <v>0</v>
      </c>
      <c r="AE223" s="10" t="s">
        <v>283</v>
      </c>
      <c r="AF223" s="11" t="s">
        <v>57</v>
      </c>
      <c r="AH223" s="6" t="str">
        <f t="shared" si="10"/>
        <v>Latin America &amp; Caribbean</v>
      </c>
      <c r="AI223" s="6"/>
      <c r="AJ223" s="6"/>
      <c r="AK223" s="10">
        <f t="shared" si="26"/>
        <v>-1.0860000003276582E-6</v>
      </c>
      <c r="AL223" s="6"/>
      <c r="AM223" s="6"/>
      <c r="AN223" s="6"/>
      <c r="AO223" s="10">
        <f t="shared" si="12"/>
        <v>0</v>
      </c>
      <c r="AP223" s="6"/>
      <c r="AQ223" s="6"/>
      <c r="AR223" s="6"/>
      <c r="AS223" s="10">
        <f t="shared" si="15"/>
        <v>0</v>
      </c>
      <c r="AT223" s="6"/>
      <c r="AU223" s="6"/>
      <c r="AX223" s="2" t="str">
        <f t="shared" si="18"/>
        <v>null</v>
      </c>
      <c r="AY223" s="2" t="str">
        <f t="shared" si="19"/>
        <v>null</v>
      </c>
      <c r="AZ223" s="2" t="str">
        <f t="shared" si="20"/>
        <v>null</v>
      </c>
      <c r="BA223" s="6"/>
    </row>
    <row r="224" spans="1:53" x14ac:dyDescent="0.25">
      <c r="A224" s="2" t="s">
        <v>173</v>
      </c>
      <c r="B224" s="2">
        <v>2015</v>
      </c>
      <c r="C224" s="2">
        <v>5959.1259769999997</v>
      </c>
      <c r="D224" s="2">
        <v>35.777000430000001</v>
      </c>
      <c r="E224" s="2">
        <v>88.441761249999999</v>
      </c>
      <c r="F224" s="2">
        <v>1.7899358359999999</v>
      </c>
      <c r="G224" s="2">
        <v>2.2480629049999998</v>
      </c>
      <c r="H224" s="2">
        <v>7.5202400129999996</v>
      </c>
      <c r="I224" s="2">
        <v>83.105217640000006</v>
      </c>
      <c r="J224" s="2">
        <v>2.4159736540000001</v>
      </c>
      <c r="K224" s="2">
        <v>3.3531687830000001</v>
      </c>
      <c r="L224" s="2">
        <v>11.12563993</v>
      </c>
      <c r="M224" s="2">
        <v>98.021346449999996</v>
      </c>
      <c r="N224" s="2">
        <v>0.66614053719999999</v>
      </c>
      <c r="O224" s="2">
        <v>0.26429650360000001</v>
      </c>
      <c r="P224" s="2">
        <v>1.04821651</v>
      </c>
      <c r="Q224" s="2" t="str">
        <f t="shared" si="0"/>
        <v>Kyrgyzstan|2015</v>
      </c>
      <c r="R224" s="2">
        <f t="shared" si="1"/>
        <v>5</v>
      </c>
      <c r="T224" s="2">
        <f t="shared" si="24"/>
        <v>0.65150879400000006</v>
      </c>
      <c r="U224" s="2">
        <f t="shared" si="28"/>
        <v>0.83064227200000007</v>
      </c>
      <c r="V224" s="2">
        <f t="shared" si="2"/>
        <v>0.25726917199999944</v>
      </c>
      <c r="W224" s="2">
        <f t="shared" si="3"/>
        <v>88</v>
      </c>
      <c r="X224" s="2">
        <f t="shared" si="4"/>
        <v>83</v>
      </c>
      <c r="Y224" s="2">
        <f t="shared" si="5"/>
        <v>98</v>
      </c>
      <c r="Z224" s="2" t="str">
        <f t="shared" si="6"/>
        <v/>
      </c>
      <c r="AA224" s="2" t="str">
        <f t="shared" si="7"/>
        <v/>
      </c>
      <c r="AB224" s="2" t="str">
        <f t="shared" si="8"/>
        <v>Fully Accessible</v>
      </c>
      <c r="AC224" s="2">
        <f t="shared" si="9"/>
        <v>0.57337310000000064</v>
      </c>
      <c r="AE224" s="10" t="s">
        <v>284</v>
      </c>
      <c r="AF224" s="11" t="s">
        <v>57</v>
      </c>
      <c r="AH224" s="6" t="str">
        <f t="shared" si="10"/>
        <v>Latin America &amp; Caribbean</v>
      </c>
      <c r="AI224" s="6"/>
      <c r="AJ224" s="6"/>
      <c r="AK224" s="10">
        <f t="shared" si="26"/>
        <v>7.2872000000000978E-2</v>
      </c>
      <c r="AL224" s="6"/>
      <c r="AM224" s="6"/>
      <c r="AN224" s="6"/>
      <c r="AO224" s="10">
        <f t="shared" si="12"/>
        <v>0.76099723199999969</v>
      </c>
      <c r="AP224" s="6"/>
      <c r="AQ224" s="6"/>
      <c r="AR224" s="6"/>
      <c r="AS224" s="10">
        <f t="shared" si="15"/>
        <v>3.2654492000000347E-2</v>
      </c>
      <c r="AT224" s="6"/>
      <c r="AU224" s="6"/>
      <c r="AX224" s="2">
        <f t="shared" si="18"/>
        <v>12483.316895</v>
      </c>
      <c r="AY224" s="2">
        <f t="shared" si="19"/>
        <v>72.632999420000004</v>
      </c>
      <c r="AZ224" s="2">
        <f t="shared" si="20"/>
        <v>12410.683895579999</v>
      </c>
      <c r="BA224" s="6"/>
    </row>
    <row r="225" spans="1:53" x14ac:dyDescent="0.25">
      <c r="A225" s="2" t="s">
        <v>173</v>
      </c>
      <c r="B225" s="2">
        <v>2020</v>
      </c>
      <c r="C225" s="2">
        <v>6524.1909180000002</v>
      </c>
      <c r="D225" s="2">
        <v>36.855998990000003</v>
      </c>
      <c r="E225" s="2">
        <v>91.699305219999999</v>
      </c>
      <c r="F225" s="2">
        <v>1.900734111</v>
      </c>
      <c r="G225" s="2">
        <v>1.8656486999999999</v>
      </c>
      <c r="H225" s="2">
        <v>4.5343119649999997</v>
      </c>
      <c r="I225" s="2">
        <v>87.258429000000007</v>
      </c>
      <c r="J225" s="2">
        <v>2.606070485</v>
      </c>
      <c r="K225" s="2">
        <v>2.9545936840000002</v>
      </c>
      <c r="L225" s="2">
        <v>7.1809068319999998</v>
      </c>
      <c r="M225" s="2">
        <v>99.307692309999993</v>
      </c>
      <c r="N225" s="2">
        <v>0.6923076923</v>
      </c>
      <c r="O225" s="2">
        <v>0</v>
      </c>
      <c r="P225" s="2">
        <v>0</v>
      </c>
      <c r="Q225" s="2" t="str">
        <f t="shared" si="0"/>
        <v>Kyrgyzstan|2020</v>
      </c>
      <c r="R225" s="2" t="str">
        <f t="shared" si="1"/>
        <v xml:space="preserve"> </v>
      </c>
      <c r="T225" s="2" t="b">
        <f t="shared" si="24"/>
        <v>0</v>
      </c>
      <c r="U225" s="2" t="b">
        <f t="shared" si="28"/>
        <v>0</v>
      </c>
      <c r="V225" s="2" t="b">
        <f t="shared" si="2"/>
        <v>0</v>
      </c>
      <c r="W225" s="2">
        <f t="shared" si="3"/>
        <v>92</v>
      </c>
      <c r="X225" s="2">
        <f t="shared" si="4"/>
        <v>87</v>
      </c>
      <c r="Y225" s="2">
        <f t="shared" si="5"/>
        <v>99</v>
      </c>
      <c r="Z225" s="2" t="str">
        <f t="shared" si="6"/>
        <v/>
      </c>
      <c r="AA225" s="2" t="str">
        <f t="shared" si="7"/>
        <v/>
      </c>
      <c r="AB225" s="2" t="str">
        <f t="shared" si="8"/>
        <v/>
      </c>
      <c r="AC225" s="2">
        <f t="shared" si="9"/>
        <v>0</v>
      </c>
      <c r="AE225" s="10" t="s">
        <v>285</v>
      </c>
      <c r="AF225" s="11" t="s">
        <v>53</v>
      </c>
      <c r="AH225" s="6" t="str">
        <f t="shared" si="10"/>
        <v>Europe &amp; Central Asia</v>
      </c>
      <c r="AI225" s="6"/>
      <c r="AJ225" s="6"/>
      <c r="AK225" s="10">
        <f t="shared" si="26"/>
        <v>6.0041318000000385E-2</v>
      </c>
      <c r="AL225" s="6"/>
      <c r="AM225" s="6"/>
      <c r="AN225" s="6"/>
      <c r="AO225" s="10">
        <f t="shared" si="12"/>
        <v>8.6038161999999835E-2</v>
      </c>
      <c r="AP225" s="6"/>
      <c r="AQ225" s="6"/>
      <c r="AR225" s="6"/>
      <c r="AS225" s="10">
        <f t="shared" si="15"/>
        <v>3.9397988000001757E-2</v>
      </c>
      <c r="AT225" s="6"/>
      <c r="AU225" s="6"/>
      <c r="AX225" s="2" t="str">
        <f t="shared" si="18"/>
        <v>null</v>
      </c>
      <c r="AY225" s="2" t="str">
        <f t="shared" si="19"/>
        <v>null</v>
      </c>
      <c r="AZ225" s="2" t="str">
        <f t="shared" si="20"/>
        <v>null</v>
      </c>
      <c r="BA225" s="6"/>
    </row>
    <row r="226" spans="1:53" x14ac:dyDescent="0.25">
      <c r="A226" s="2" t="s">
        <v>174</v>
      </c>
      <c r="B226" s="2">
        <v>2015</v>
      </c>
      <c r="C226" s="2">
        <v>6741.1601559999999</v>
      </c>
      <c r="D226" s="2">
        <v>33.10799789</v>
      </c>
      <c r="E226" s="2">
        <v>77.460572209999995</v>
      </c>
      <c r="F226" s="2">
        <v>3.0523403340000002</v>
      </c>
      <c r="G226" s="2">
        <v>14.22792235</v>
      </c>
      <c r="H226" s="2">
        <v>5.2591651080000004</v>
      </c>
      <c r="I226" s="2">
        <v>70.239686550000002</v>
      </c>
      <c r="J226" s="2">
        <v>4.1702933629999999</v>
      </c>
      <c r="K226" s="2">
        <v>18.202221389999998</v>
      </c>
      <c r="L226" s="2">
        <v>7.3877986939999998</v>
      </c>
      <c r="M226" s="2">
        <v>92.049779979999997</v>
      </c>
      <c r="N226" s="2">
        <v>0.79360784900000003</v>
      </c>
      <c r="O226" s="2">
        <v>6.1981767950000002</v>
      </c>
      <c r="P226" s="2">
        <v>0.95843537109999999</v>
      </c>
      <c r="Q226" s="2" t="str">
        <f t="shared" si="0"/>
        <v>Lao People's Democratic Republic|2015</v>
      </c>
      <c r="R226" s="2">
        <f t="shared" si="1"/>
        <v>5</v>
      </c>
      <c r="T226" s="2">
        <f t="shared" si="24"/>
        <v>1.551834194</v>
      </c>
      <c r="U226" s="2">
        <f t="shared" si="28"/>
        <v>1.6466545739999987</v>
      </c>
      <c r="V226" s="2">
        <f t="shared" si="2"/>
        <v>1.0028964480000013</v>
      </c>
      <c r="W226" s="2">
        <f t="shared" si="3"/>
        <v>77</v>
      </c>
      <c r="X226" s="2">
        <f t="shared" si="4"/>
        <v>70</v>
      </c>
      <c r="Y226" s="2">
        <f t="shared" si="5"/>
        <v>92</v>
      </c>
      <c r="Z226" s="2" t="str">
        <f t="shared" si="6"/>
        <v/>
      </c>
      <c r="AA226" s="2" t="str">
        <f t="shared" si="7"/>
        <v/>
      </c>
      <c r="AB226" s="2" t="str">
        <f t="shared" si="8"/>
        <v>Fully Accessible</v>
      </c>
      <c r="AC226" s="2">
        <f t="shared" si="9"/>
        <v>0.64375812599999738</v>
      </c>
      <c r="AE226" s="10" t="s">
        <v>286</v>
      </c>
      <c r="AF226" s="11" t="s">
        <v>51</v>
      </c>
      <c r="AH226" s="6" t="str">
        <f t="shared" si="10"/>
        <v>East Asia &amp; Pacific</v>
      </c>
      <c r="AI226" s="6"/>
      <c r="AJ226" s="6"/>
      <c r="AK226" s="10">
        <f t="shared" si="26"/>
        <v>0.24860285199999907</v>
      </c>
      <c r="AL226" s="6"/>
      <c r="AM226" s="6"/>
      <c r="AN226" s="6"/>
      <c r="AO226" s="10">
        <f t="shared" si="12"/>
        <v>0.28383011399999986</v>
      </c>
      <c r="AP226" s="6"/>
      <c r="AQ226" s="6"/>
      <c r="AR226" s="6"/>
      <c r="AS226" s="10">
        <f t="shared" si="15"/>
        <v>9.2528802000001062E-2</v>
      </c>
      <c r="AT226" s="6"/>
      <c r="AU226" s="6"/>
      <c r="AX226" s="2">
        <f t="shared" si="18"/>
        <v>14016.716307999999</v>
      </c>
      <c r="AY226" s="2">
        <f t="shared" si="19"/>
        <v>69.39799880999999</v>
      </c>
      <c r="AZ226" s="2">
        <f t="shared" si="20"/>
        <v>13947.318309189999</v>
      </c>
      <c r="BA226" s="16"/>
    </row>
    <row r="227" spans="1:53" x14ac:dyDescent="0.25">
      <c r="A227" s="2" t="s">
        <v>174</v>
      </c>
      <c r="B227" s="2">
        <v>2020</v>
      </c>
      <c r="C227" s="2">
        <v>7275.5561520000001</v>
      </c>
      <c r="D227" s="2">
        <v>36.290000919999997</v>
      </c>
      <c r="E227" s="2">
        <v>85.219743179999995</v>
      </c>
      <c r="F227" s="2">
        <v>3.566857739</v>
      </c>
      <c r="G227" s="2">
        <v>10.62886799</v>
      </c>
      <c r="H227" s="2">
        <v>0.58453109380000001</v>
      </c>
      <c r="I227" s="2">
        <v>78.472959419999995</v>
      </c>
      <c r="J227" s="2">
        <v>5.5985837859999998</v>
      </c>
      <c r="K227" s="2">
        <v>15.010969599999999</v>
      </c>
      <c r="L227" s="2">
        <v>0.91748719570000004</v>
      </c>
      <c r="M227" s="2">
        <v>97.064262220000003</v>
      </c>
      <c r="N227" s="2">
        <v>0</v>
      </c>
      <c r="O227" s="2">
        <v>2.935737778</v>
      </c>
      <c r="P227" s="2">
        <v>0</v>
      </c>
      <c r="Q227" s="2" t="str">
        <f t="shared" si="0"/>
        <v>Lao People's Democratic Republic|2020</v>
      </c>
      <c r="R227" s="2" t="str">
        <f t="shared" si="1"/>
        <v xml:space="preserve"> </v>
      </c>
      <c r="T227" s="2" t="b">
        <f t="shared" si="24"/>
        <v>0</v>
      </c>
      <c r="U227" s="2" t="b">
        <f t="shared" si="28"/>
        <v>0</v>
      </c>
      <c r="V227" s="2" t="b">
        <f t="shared" si="2"/>
        <v>0</v>
      </c>
      <c r="W227" s="2">
        <f t="shared" si="3"/>
        <v>85</v>
      </c>
      <c r="X227" s="2">
        <f t="shared" si="4"/>
        <v>78</v>
      </c>
      <c r="Y227" s="2">
        <f t="shared" si="5"/>
        <v>97</v>
      </c>
      <c r="Z227" s="2" t="str">
        <f t="shared" si="6"/>
        <v/>
      </c>
      <c r="AA227" s="2" t="str">
        <f t="shared" si="7"/>
        <v/>
      </c>
      <c r="AB227" s="2" t="str">
        <f t="shared" si="8"/>
        <v/>
      </c>
      <c r="AC227" s="2">
        <f t="shared" si="9"/>
        <v>0</v>
      </c>
      <c r="AE227" s="10" t="s">
        <v>287</v>
      </c>
      <c r="AF227" s="11" t="s">
        <v>57</v>
      </c>
      <c r="AH227" s="6" t="str">
        <f t="shared" si="10"/>
        <v>Latin America &amp; Caribbean</v>
      </c>
      <c r="AI227" s="6"/>
      <c r="AJ227" s="6"/>
      <c r="AK227" s="10">
        <f t="shared" si="26"/>
        <v>-0.17709485999999969</v>
      </c>
      <c r="AL227" s="6"/>
      <c r="AM227" s="6"/>
      <c r="AN227" s="6"/>
      <c r="AO227" s="10">
        <f t="shared" si="12"/>
        <v>0</v>
      </c>
      <c r="AP227" s="6"/>
      <c r="AQ227" s="6"/>
      <c r="AR227" s="6"/>
      <c r="AS227" s="10">
        <f t="shared" si="15"/>
        <v>0</v>
      </c>
      <c r="AT227" s="6"/>
      <c r="AU227" s="6"/>
      <c r="AX227" s="2" t="str">
        <f t="shared" si="18"/>
        <v>null</v>
      </c>
      <c r="AY227" s="2" t="str">
        <f t="shared" si="19"/>
        <v>null</v>
      </c>
      <c r="AZ227" s="2" t="str">
        <f t="shared" si="20"/>
        <v>null</v>
      </c>
      <c r="BA227" s="6"/>
    </row>
    <row r="228" spans="1:53" x14ac:dyDescent="0.25">
      <c r="A228" s="2" t="s">
        <v>175</v>
      </c>
      <c r="B228" s="2">
        <v>2015</v>
      </c>
      <c r="C228" s="2">
        <v>1997.6750489999999</v>
      </c>
      <c r="D228" s="2">
        <v>67.979995729999999</v>
      </c>
      <c r="E228" s="2">
        <v>98.525117280000003</v>
      </c>
      <c r="F228" s="2">
        <v>0.67870742309999998</v>
      </c>
      <c r="G228" s="2">
        <v>0.79617529310000001</v>
      </c>
      <c r="H228" s="2">
        <v>0</v>
      </c>
      <c r="I228" s="2">
        <v>97.854719009999997</v>
      </c>
      <c r="J228" s="2">
        <v>0</v>
      </c>
      <c r="K228" s="2">
        <v>2.145280992</v>
      </c>
      <c r="L228" s="2">
        <v>0</v>
      </c>
      <c r="M228" s="2">
        <v>98.840893339999994</v>
      </c>
      <c r="N228" s="2">
        <v>0.99839286199999999</v>
      </c>
      <c r="O228" s="2">
        <v>0.1607138001</v>
      </c>
      <c r="P228" s="2">
        <v>0</v>
      </c>
      <c r="Q228" s="2" t="str">
        <f t="shared" si="0"/>
        <v>Latvia|2015</v>
      </c>
      <c r="R228" s="2">
        <f t="shared" si="1"/>
        <v>5</v>
      </c>
      <c r="T228" s="2">
        <f t="shared" si="24"/>
        <v>5.14967740000003E-2</v>
      </c>
      <c r="U228" s="2">
        <f t="shared" si="28"/>
        <v>0.14490082599999993</v>
      </c>
      <c r="V228" s="2">
        <f t="shared" si="2"/>
        <v>7.206270000000359E-3</v>
      </c>
      <c r="W228" s="2">
        <f t="shared" si="3"/>
        <v>99</v>
      </c>
      <c r="X228" s="2">
        <f t="shared" si="4"/>
        <v>98</v>
      </c>
      <c r="Y228" s="2">
        <f t="shared" si="5"/>
        <v>99</v>
      </c>
      <c r="Z228" s="2" t="str">
        <f t="shared" si="6"/>
        <v/>
      </c>
      <c r="AA228" s="2" t="str">
        <f t="shared" si="7"/>
        <v/>
      </c>
      <c r="AB228" s="2" t="str">
        <f t="shared" si="8"/>
        <v>Fully Accessible</v>
      </c>
      <c r="AC228" s="2">
        <f t="shared" si="9"/>
        <v>0.13769455599999958</v>
      </c>
      <c r="AE228" s="10" t="s">
        <v>288</v>
      </c>
      <c r="AF228" s="11" t="s">
        <v>51</v>
      </c>
      <c r="AH228" s="6" t="str">
        <f t="shared" si="10"/>
        <v>East Asia &amp; Pacific</v>
      </c>
      <c r="AI228" s="6"/>
      <c r="AJ228" s="6"/>
      <c r="AK228" s="10">
        <f t="shared" si="26"/>
        <v>0.71125925800000123</v>
      </c>
      <c r="AL228" s="6"/>
      <c r="AM228" s="6"/>
      <c r="AN228" s="6"/>
      <c r="AO228" s="10">
        <f t="shared" si="12"/>
        <v>0.93629408999999841</v>
      </c>
      <c r="AP228" s="6"/>
      <c r="AQ228" s="6"/>
      <c r="AR228" s="6"/>
      <c r="AS228" s="10">
        <f t="shared" si="15"/>
        <v>0.1940592979999991</v>
      </c>
      <c r="AT228" s="6"/>
      <c r="AU228" s="6"/>
      <c r="AX228" s="2">
        <f t="shared" si="18"/>
        <v>3883.8770749999999</v>
      </c>
      <c r="AY228" s="2">
        <f t="shared" si="19"/>
        <v>136.29499816999999</v>
      </c>
      <c r="AZ228" s="2">
        <f t="shared" si="20"/>
        <v>3747.58207683</v>
      </c>
      <c r="BA228" s="16"/>
    </row>
    <row r="229" spans="1:53" x14ac:dyDescent="0.25">
      <c r="A229" s="2" t="s">
        <v>175</v>
      </c>
      <c r="B229" s="2">
        <v>2020</v>
      </c>
      <c r="C229" s="2">
        <v>1886.2020259999999</v>
      </c>
      <c r="D229" s="2">
        <v>68.315002440000001</v>
      </c>
      <c r="E229" s="2">
        <v>98.782601150000005</v>
      </c>
      <c r="F229" s="2">
        <v>0.68230074240000005</v>
      </c>
      <c r="G229" s="2">
        <v>0.53509810369999999</v>
      </c>
      <c r="H229" s="2">
        <v>0</v>
      </c>
      <c r="I229" s="2">
        <v>98.579223139999996</v>
      </c>
      <c r="J229" s="2">
        <v>0</v>
      </c>
      <c r="K229" s="2">
        <v>1.4207768599999999</v>
      </c>
      <c r="L229" s="2">
        <v>0</v>
      </c>
      <c r="M229" s="2">
        <v>98.876924689999996</v>
      </c>
      <c r="N229" s="2">
        <v>0.99875681510000003</v>
      </c>
      <c r="O229" s="2">
        <v>0.1243184908</v>
      </c>
      <c r="P229" s="2">
        <v>0</v>
      </c>
      <c r="Q229" s="2" t="str">
        <f t="shared" si="0"/>
        <v>Latvia|2020</v>
      </c>
      <c r="R229" s="2" t="str">
        <f t="shared" si="1"/>
        <v xml:space="preserve"> </v>
      </c>
      <c r="T229" s="2" t="b">
        <f t="shared" si="24"/>
        <v>0</v>
      </c>
      <c r="U229" s="2" t="b">
        <f t="shared" si="28"/>
        <v>0</v>
      </c>
      <c r="V229" s="2" t="b">
        <f t="shared" si="2"/>
        <v>0</v>
      </c>
      <c r="W229" s="2">
        <f t="shared" si="3"/>
        <v>99</v>
      </c>
      <c r="X229" s="2">
        <f t="shared" si="4"/>
        <v>99</v>
      </c>
      <c r="Y229" s="2">
        <f t="shared" si="5"/>
        <v>99</v>
      </c>
      <c r="Z229" s="2" t="str">
        <f t="shared" si="6"/>
        <v/>
      </c>
      <c r="AA229" s="2" t="str">
        <f t="shared" si="7"/>
        <v/>
      </c>
      <c r="AB229" s="2" t="str">
        <f t="shared" si="8"/>
        <v/>
      </c>
      <c r="AC229" s="2">
        <f t="shared" si="9"/>
        <v>0</v>
      </c>
      <c r="AE229" s="10" t="s">
        <v>289</v>
      </c>
      <c r="AF229" s="11" t="s">
        <v>51</v>
      </c>
      <c r="AH229" s="6" t="str">
        <f t="shared" si="10"/>
        <v>East Asia &amp; Pacific</v>
      </c>
      <c r="AI229" s="6"/>
      <c r="AJ229" s="6"/>
      <c r="AK229" s="10">
        <f t="shared" si="26"/>
        <v>-3.5618833999998857E-2</v>
      </c>
      <c r="AL229" s="6"/>
      <c r="AM229" s="6"/>
      <c r="AN229" s="6"/>
      <c r="AO229" s="10">
        <f t="shared" si="12"/>
        <v>-3.5618833999998857E-2</v>
      </c>
      <c r="AP229" s="6"/>
      <c r="AQ229" s="6"/>
      <c r="AR229" s="6"/>
      <c r="AS229" s="10">
        <f t="shared" si="15"/>
        <v>0</v>
      </c>
      <c r="AT229" s="6"/>
      <c r="AU229" s="6"/>
      <c r="AX229" s="2" t="str">
        <f t="shared" si="18"/>
        <v>null</v>
      </c>
      <c r="AY229" s="2" t="str">
        <f t="shared" si="19"/>
        <v>null</v>
      </c>
      <c r="AZ229" s="2" t="str">
        <f t="shared" si="20"/>
        <v>null</v>
      </c>
      <c r="BA229" s="16"/>
    </row>
    <row r="230" spans="1:53" x14ac:dyDescent="0.25">
      <c r="A230" s="2" t="s">
        <v>176</v>
      </c>
      <c r="B230" s="2">
        <v>2015</v>
      </c>
      <c r="C230" s="2">
        <v>6532.6811520000001</v>
      </c>
      <c r="D230" s="2">
        <v>88.106002810000007</v>
      </c>
      <c r="E230" s="2">
        <v>91.224322509999993</v>
      </c>
      <c r="F230" s="2">
        <v>7.2900646499999997</v>
      </c>
      <c r="G230" s="2">
        <v>1.3401928400000001</v>
      </c>
      <c r="H230" s="2">
        <v>0.14541999999999999</v>
      </c>
      <c r="I230" s="2" t="s">
        <v>64</v>
      </c>
      <c r="J230" s="2" t="s">
        <v>64</v>
      </c>
      <c r="K230" s="2" t="s">
        <v>64</v>
      </c>
      <c r="L230" s="2" t="s">
        <v>64</v>
      </c>
      <c r="M230" s="2" t="s">
        <v>64</v>
      </c>
      <c r="N230" s="2" t="s">
        <v>64</v>
      </c>
      <c r="O230" s="2" t="s">
        <v>64</v>
      </c>
      <c r="P230" s="2" t="s">
        <v>64</v>
      </c>
      <c r="Q230" s="2" t="str">
        <f t="shared" si="0"/>
        <v>Lebanon|2015</v>
      </c>
      <c r="R230" s="2">
        <f t="shared" si="1"/>
        <v>5</v>
      </c>
      <c r="T230" s="2">
        <f t="shared" si="24"/>
        <v>0.2751354980000002</v>
      </c>
      <c r="U230" s="2" t="str">
        <f t="shared" si="28"/>
        <v>null</v>
      </c>
      <c r="V230" s="2" t="str">
        <f t="shared" si="2"/>
        <v>null</v>
      </c>
      <c r="W230" s="2">
        <f t="shared" si="3"/>
        <v>91</v>
      </c>
      <c r="X230" s="2" t="b">
        <f t="shared" si="4"/>
        <v>0</v>
      </c>
      <c r="Y230" s="2" t="b">
        <f t="shared" si="5"/>
        <v>0</v>
      </c>
      <c r="Z230" s="2" t="str">
        <f t="shared" si="6"/>
        <v/>
      </c>
      <c r="AA230" s="2" t="str">
        <f t="shared" si="7"/>
        <v>Fully Accessible</v>
      </c>
      <c r="AB230" s="2" t="str">
        <f t="shared" si="8"/>
        <v>Fully Accessible</v>
      </c>
      <c r="AC230" s="2" t="b">
        <f t="shared" si="9"/>
        <v>0</v>
      </c>
      <c r="AE230" s="10" t="s">
        <v>290</v>
      </c>
      <c r="AF230" s="11" t="s">
        <v>53</v>
      </c>
      <c r="AH230" s="6" t="str">
        <f t="shared" si="10"/>
        <v>Europe &amp; Central Asia</v>
      </c>
      <c r="AI230" s="6"/>
      <c r="AJ230" s="6"/>
      <c r="AK230" s="10">
        <f t="shared" si="26"/>
        <v>0.30010810200000149</v>
      </c>
      <c r="AL230" s="6"/>
      <c r="AM230" s="6"/>
      <c r="AN230" s="6"/>
      <c r="AO230" s="10">
        <f t="shared" si="12"/>
        <v>0.66688281399999882</v>
      </c>
      <c r="AP230" s="6"/>
      <c r="AQ230" s="6"/>
      <c r="AR230" s="6"/>
      <c r="AS230" s="10">
        <f t="shared" si="15"/>
        <v>0.18414096200000074</v>
      </c>
      <c r="AT230" s="6"/>
      <c r="AU230" s="6"/>
      <c r="AX230" s="2">
        <f t="shared" si="18"/>
        <v>13358.123047000001</v>
      </c>
      <c r="AY230" s="2">
        <f t="shared" si="19"/>
        <v>177.03099823000002</v>
      </c>
      <c r="AZ230" s="2">
        <f t="shared" si="20"/>
        <v>13181.09204877</v>
      </c>
      <c r="BA230" s="6"/>
    </row>
    <row r="231" spans="1:53" x14ac:dyDescent="0.25">
      <c r="A231" s="2" t="s">
        <v>176</v>
      </c>
      <c r="B231" s="2">
        <v>2020</v>
      </c>
      <c r="C231" s="2">
        <v>6825.4418949999999</v>
      </c>
      <c r="D231" s="2">
        <v>88.924995420000002</v>
      </c>
      <c r="E231" s="2">
        <v>92.6</v>
      </c>
      <c r="F231" s="2">
        <v>7.4</v>
      </c>
      <c r="G231" s="2">
        <v>0</v>
      </c>
      <c r="H231" s="2">
        <v>0</v>
      </c>
      <c r="I231" s="2" t="s">
        <v>64</v>
      </c>
      <c r="J231" s="2" t="s">
        <v>64</v>
      </c>
      <c r="K231" s="2" t="s">
        <v>64</v>
      </c>
      <c r="L231" s="2" t="s">
        <v>64</v>
      </c>
      <c r="M231" s="2" t="s">
        <v>64</v>
      </c>
      <c r="N231" s="2" t="s">
        <v>64</v>
      </c>
      <c r="O231" s="2" t="s">
        <v>64</v>
      </c>
      <c r="P231" s="2" t="s">
        <v>64</v>
      </c>
      <c r="Q231" s="2" t="str">
        <f t="shared" si="0"/>
        <v>Lebanon|2020</v>
      </c>
      <c r="R231" s="2" t="str">
        <f t="shared" si="1"/>
        <v xml:space="preserve"> </v>
      </c>
      <c r="T231" s="2" t="b">
        <f t="shared" si="24"/>
        <v>0</v>
      </c>
      <c r="U231" s="2" t="b">
        <f t="shared" si="28"/>
        <v>0</v>
      </c>
      <c r="V231" s="2" t="b">
        <f t="shared" si="2"/>
        <v>0</v>
      </c>
      <c r="W231" s="2">
        <f t="shared" si="3"/>
        <v>93</v>
      </c>
      <c r="X231" s="2" t="b">
        <f t="shared" si="4"/>
        <v>0</v>
      </c>
      <c r="Y231" s="2" t="b">
        <f t="shared" si="5"/>
        <v>0</v>
      </c>
      <c r="Z231" s="2" t="str">
        <f t="shared" si="6"/>
        <v/>
      </c>
      <c r="AA231" s="2" t="str">
        <f t="shared" si="7"/>
        <v/>
      </c>
      <c r="AB231" s="2" t="str">
        <f t="shared" si="8"/>
        <v/>
      </c>
      <c r="AC231" s="2">
        <f t="shared" si="9"/>
        <v>0</v>
      </c>
      <c r="AE231" s="10" t="s">
        <v>291</v>
      </c>
      <c r="AF231" s="11" t="s">
        <v>53</v>
      </c>
      <c r="AH231" s="6" t="str">
        <f t="shared" si="10"/>
        <v>Europe &amp; Central Asia</v>
      </c>
      <c r="AI231" s="6"/>
      <c r="AJ231" s="6"/>
      <c r="AK231" s="10">
        <f t="shared" si="26"/>
        <v>0.97694024200000062</v>
      </c>
      <c r="AL231" s="6"/>
      <c r="AM231" s="6"/>
      <c r="AN231" s="6"/>
      <c r="AO231" s="10">
        <f t="shared" si="12"/>
        <v>1.1446132419999997</v>
      </c>
      <c r="AP231" s="6"/>
      <c r="AQ231" s="6"/>
      <c r="AR231" s="6"/>
      <c r="AS231" s="10">
        <f t="shared" si="15"/>
        <v>0.18832348800000034</v>
      </c>
      <c r="AT231" s="6"/>
      <c r="AU231" s="6"/>
      <c r="AX231" s="2" t="str">
        <f t="shared" si="18"/>
        <v>null</v>
      </c>
      <c r="AY231" s="2" t="str">
        <f t="shared" si="19"/>
        <v>null</v>
      </c>
      <c r="AZ231" s="2" t="str">
        <f t="shared" si="20"/>
        <v>null</v>
      </c>
      <c r="BA231" s="6"/>
    </row>
    <row r="232" spans="1:53" x14ac:dyDescent="0.25">
      <c r="A232" s="2" t="s">
        <v>177</v>
      </c>
      <c r="B232" s="2">
        <v>2015</v>
      </c>
      <c r="C232" s="2">
        <v>2059.0109859999998</v>
      </c>
      <c r="D232" s="2">
        <v>26.908000950000002</v>
      </c>
      <c r="E232" s="2">
        <v>70.545689400000001</v>
      </c>
      <c r="F232" s="2">
        <v>10.86331049</v>
      </c>
      <c r="G232" s="2">
        <v>14.534382900000001</v>
      </c>
      <c r="H232" s="2">
        <v>4.0566172079999996</v>
      </c>
      <c r="I232" s="2">
        <v>63.420883150000002</v>
      </c>
      <c r="J232" s="2">
        <v>13.04933941</v>
      </c>
      <c r="K232" s="2">
        <v>18.164904929999999</v>
      </c>
      <c r="L232" s="2">
        <v>5.3648725109999997</v>
      </c>
      <c r="M232" s="2">
        <v>89.899276139999998</v>
      </c>
      <c r="N232" s="2">
        <v>4.9252542349999997</v>
      </c>
      <c r="O232" s="2">
        <v>4.6725536160000001</v>
      </c>
      <c r="P232" s="2">
        <v>0.50291600700000005</v>
      </c>
      <c r="Q232" s="2" t="str">
        <f t="shared" si="0"/>
        <v>Lesotho|2015</v>
      </c>
      <c r="R232" s="2">
        <f t="shared" si="1"/>
        <v>5</v>
      </c>
      <c r="T232" s="2">
        <f t="shared" si="24"/>
        <v>0.32606997400000071</v>
      </c>
      <c r="U232" s="2">
        <f t="shared" si="28"/>
        <v>4.5894333999999051E-2</v>
      </c>
      <c r="V232" s="2">
        <f t="shared" si="2"/>
        <v>0.62432648200000074</v>
      </c>
      <c r="W232" s="2">
        <f t="shared" si="3"/>
        <v>71</v>
      </c>
      <c r="X232" s="2">
        <f t="shared" si="4"/>
        <v>63</v>
      </c>
      <c r="Y232" s="2">
        <f t="shared" si="5"/>
        <v>90</v>
      </c>
      <c r="Z232" s="2" t="str">
        <f t="shared" si="6"/>
        <v/>
      </c>
      <c r="AA232" s="2" t="str">
        <f t="shared" si="7"/>
        <v/>
      </c>
      <c r="AB232" s="2" t="str">
        <f t="shared" si="8"/>
        <v>Fully Accessible</v>
      </c>
      <c r="AC232" s="2">
        <f t="shared" si="9"/>
        <v>-0.57843214800000164</v>
      </c>
      <c r="AE232" s="10" t="s">
        <v>292</v>
      </c>
      <c r="AF232" s="11" t="s">
        <v>63</v>
      </c>
      <c r="AH232" s="6" t="str">
        <f t="shared" si="10"/>
        <v>Sub-Saharan Africa</v>
      </c>
      <c r="AI232" s="6"/>
      <c r="AJ232" s="6"/>
      <c r="AK232" s="10">
        <f t="shared" si="26"/>
        <v>0.81472745800000013</v>
      </c>
      <c r="AL232" s="6"/>
      <c r="AM232" s="6"/>
      <c r="AN232" s="6"/>
      <c r="AO232" s="10">
        <f t="shared" si="12"/>
        <v>0.9220908019999996</v>
      </c>
      <c r="AP232" s="6"/>
      <c r="AQ232" s="6"/>
      <c r="AR232" s="6"/>
      <c r="AS232" s="10">
        <f t="shared" si="15"/>
        <v>0.16567147400000123</v>
      </c>
      <c r="AT232" s="6"/>
      <c r="AU232" s="6"/>
      <c r="AX232" s="2">
        <f t="shared" si="18"/>
        <v>4201.2629390000002</v>
      </c>
      <c r="AY232" s="2">
        <f t="shared" si="19"/>
        <v>55.936000829999998</v>
      </c>
      <c r="AZ232" s="2">
        <f t="shared" si="20"/>
        <v>4145.3269381700002</v>
      </c>
      <c r="BA232" s="6"/>
    </row>
    <row r="233" spans="1:53" x14ac:dyDescent="0.25">
      <c r="A233" s="2" t="s">
        <v>177</v>
      </c>
      <c r="B233" s="2">
        <v>2020</v>
      </c>
      <c r="C233" s="2">
        <v>2142.251953</v>
      </c>
      <c r="D233" s="2">
        <v>29.027999879999999</v>
      </c>
      <c r="E233" s="2">
        <v>72.176039270000004</v>
      </c>
      <c r="F233" s="2">
        <v>10.40592597</v>
      </c>
      <c r="G233" s="2">
        <v>12.21725464</v>
      </c>
      <c r="H233" s="2">
        <v>5.2007801159999998</v>
      </c>
      <c r="I233" s="2">
        <v>63.650354819999997</v>
      </c>
      <c r="J233" s="2">
        <v>13.55843013</v>
      </c>
      <c r="K233" s="2">
        <v>15.73132479</v>
      </c>
      <c r="L233" s="2">
        <v>7.0598902539999999</v>
      </c>
      <c r="M233" s="2">
        <v>93.020908550000001</v>
      </c>
      <c r="N233" s="2">
        <v>2.698211997</v>
      </c>
      <c r="O233" s="2">
        <v>3.625530038</v>
      </c>
      <c r="P233" s="2">
        <v>0.65534941999999996</v>
      </c>
      <c r="Q233" s="2" t="str">
        <f t="shared" si="0"/>
        <v>Lesotho|2020</v>
      </c>
      <c r="R233" s="2" t="str">
        <f t="shared" si="1"/>
        <v xml:space="preserve"> </v>
      </c>
      <c r="T233" s="2" t="b">
        <f t="shared" si="24"/>
        <v>0</v>
      </c>
      <c r="U233" s="2" t="b">
        <f t="shared" si="28"/>
        <v>0</v>
      </c>
      <c r="V233" s="2" t="b">
        <f t="shared" si="2"/>
        <v>0</v>
      </c>
      <c r="W233" s="2">
        <f t="shared" si="3"/>
        <v>72</v>
      </c>
      <c r="X233" s="2">
        <f t="shared" si="4"/>
        <v>64</v>
      </c>
      <c r="Y233" s="2">
        <f t="shared" si="5"/>
        <v>93</v>
      </c>
      <c r="Z233" s="2" t="str">
        <f t="shared" si="6"/>
        <v/>
      </c>
      <c r="AA233" s="2" t="str">
        <f t="shared" si="7"/>
        <v/>
      </c>
      <c r="AB233" s="2" t="str">
        <f t="shared" si="8"/>
        <v/>
      </c>
      <c r="AC233" s="2">
        <f t="shared" si="9"/>
        <v>0</v>
      </c>
      <c r="AE233" s="10" t="s">
        <v>293</v>
      </c>
      <c r="AF233" s="11" t="s">
        <v>63</v>
      </c>
      <c r="AH233" s="6" t="str">
        <f t="shared" si="10"/>
        <v>Sub-Saharan Africa</v>
      </c>
      <c r="AI233" s="6"/>
      <c r="AJ233" s="6"/>
      <c r="AK233" s="10">
        <f t="shared" si="26"/>
        <v>-0.45769429999999856</v>
      </c>
      <c r="AL233" s="6"/>
      <c r="AM233" s="6"/>
      <c r="AN233" s="6"/>
      <c r="AO233" s="10">
        <f t="shared" si="12"/>
        <v>-0.59352637199999947</v>
      </c>
      <c r="AP233" s="6"/>
      <c r="AQ233" s="6"/>
      <c r="AR233" s="6"/>
      <c r="AS233" s="10">
        <f t="shared" si="15"/>
        <v>-0.13470135800000094</v>
      </c>
      <c r="AT233" s="6"/>
      <c r="AU233" s="6"/>
      <c r="AX233" s="2" t="str">
        <f t="shared" si="18"/>
        <v>null</v>
      </c>
      <c r="AY233" s="2" t="str">
        <f t="shared" si="19"/>
        <v>null</v>
      </c>
      <c r="AZ233" s="2" t="str">
        <f t="shared" si="20"/>
        <v>null</v>
      </c>
      <c r="BA233" s="6"/>
    </row>
    <row r="234" spans="1:53" x14ac:dyDescent="0.25">
      <c r="A234" s="2" t="s">
        <v>178</v>
      </c>
      <c r="B234" s="2">
        <v>2015</v>
      </c>
      <c r="C234" s="2">
        <v>4472.2290039999998</v>
      </c>
      <c r="D234" s="2">
        <v>49.819999690000003</v>
      </c>
      <c r="E234" s="2">
        <v>72.569791940000002</v>
      </c>
      <c r="F234" s="2">
        <v>7.3644226789999996</v>
      </c>
      <c r="G234" s="2">
        <v>6.5372338440000002</v>
      </c>
      <c r="H234" s="2">
        <v>13.52855154</v>
      </c>
      <c r="I234" s="2">
        <v>61.263181959999997</v>
      </c>
      <c r="J234" s="2">
        <v>5.1260422940000003</v>
      </c>
      <c r="K234" s="2">
        <v>7.5241487850000004</v>
      </c>
      <c r="L234" s="2">
        <v>26.08662696</v>
      </c>
      <c r="M234" s="2">
        <v>83.95810401</v>
      </c>
      <c r="N234" s="2">
        <v>9.6189777050000007</v>
      </c>
      <c r="O234" s="2">
        <v>5.5431874099999998</v>
      </c>
      <c r="P234" s="2">
        <v>0.87973087640000003</v>
      </c>
      <c r="Q234" s="2" t="str">
        <f t="shared" si="0"/>
        <v>Liberia|2015</v>
      </c>
      <c r="R234" s="2">
        <f t="shared" si="1"/>
        <v>5</v>
      </c>
      <c r="T234" s="2">
        <f t="shared" si="24"/>
        <v>0.53839992999999997</v>
      </c>
      <c r="U234" s="2">
        <f t="shared" si="28"/>
        <v>0.56740698600000028</v>
      </c>
      <c r="V234" s="2">
        <f t="shared" si="2"/>
        <v>0.31400112400000069</v>
      </c>
      <c r="W234" s="2">
        <f t="shared" si="3"/>
        <v>73</v>
      </c>
      <c r="X234" s="2">
        <f t="shared" si="4"/>
        <v>61</v>
      </c>
      <c r="Y234" s="2">
        <f t="shared" si="5"/>
        <v>84</v>
      </c>
      <c r="Z234" s="2" t="str">
        <f t="shared" si="6"/>
        <v/>
      </c>
      <c r="AA234" s="2" t="str">
        <f t="shared" si="7"/>
        <v/>
      </c>
      <c r="AB234" s="2" t="str">
        <f t="shared" si="8"/>
        <v>Fully Accessible</v>
      </c>
      <c r="AC234" s="2">
        <f t="shared" si="9"/>
        <v>0.25340586199999959</v>
      </c>
      <c r="AK234" s="6"/>
      <c r="AO234" s="6"/>
      <c r="AP234" s="6"/>
      <c r="AQ234" s="6"/>
      <c r="AS234" s="6"/>
      <c r="AT234" s="6"/>
      <c r="AU234" s="6"/>
      <c r="AX234" s="2">
        <f t="shared" si="18"/>
        <v>9529.9057619999985</v>
      </c>
      <c r="AY234" s="2">
        <f t="shared" si="19"/>
        <v>101.90899658000001</v>
      </c>
      <c r="AZ234" s="2">
        <f t="shared" si="20"/>
        <v>9427.9967654199991</v>
      </c>
      <c r="BA234" s="16"/>
    </row>
    <row r="235" spans="1:53" x14ac:dyDescent="0.25">
      <c r="A235" s="2" t="s">
        <v>178</v>
      </c>
      <c r="B235" s="2">
        <v>2020</v>
      </c>
      <c r="C235" s="2">
        <v>5057.6767579999996</v>
      </c>
      <c r="D235" s="2">
        <v>52.088996889999997</v>
      </c>
      <c r="E235" s="2">
        <v>75.261791590000001</v>
      </c>
      <c r="F235" s="2">
        <v>8.7006574749999999</v>
      </c>
      <c r="G235" s="2">
        <v>3.488080869</v>
      </c>
      <c r="H235" s="2">
        <v>12.549470060000001</v>
      </c>
      <c r="I235" s="2">
        <v>64.100216889999999</v>
      </c>
      <c r="J235" s="2">
        <v>6.5377757970000001</v>
      </c>
      <c r="K235" s="2">
        <v>3.3837098750000001</v>
      </c>
      <c r="L235" s="2">
        <v>25.978297439999999</v>
      </c>
      <c r="M235" s="2">
        <v>85.528109630000003</v>
      </c>
      <c r="N235" s="2">
        <v>10.69005698</v>
      </c>
      <c r="O235" s="2">
        <v>3.58408039</v>
      </c>
      <c r="P235" s="2">
        <v>0.19775300060000001</v>
      </c>
      <c r="Q235" s="2" t="str">
        <f t="shared" si="0"/>
        <v>Liberia|2020</v>
      </c>
      <c r="R235" s="2" t="str">
        <f t="shared" si="1"/>
        <v xml:space="preserve"> </v>
      </c>
      <c r="T235" s="2" t="b">
        <f t="shared" si="24"/>
        <v>0</v>
      </c>
      <c r="U235" s="2" t="b">
        <f t="shared" si="28"/>
        <v>0</v>
      </c>
      <c r="V235" s="2" t="b">
        <f t="shared" si="2"/>
        <v>0</v>
      </c>
      <c r="W235" s="2">
        <f t="shared" si="3"/>
        <v>75</v>
      </c>
      <c r="X235" s="2">
        <f t="shared" si="4"/>
        <v>64</v>
      </c>
      <c r="Y235" s="2">
        <f t="shared" si="5"/>
        <v>86</v>
      </c>
      <c r="Z235" s="2" t="str">
        <f t="shared" si="6"/>
        <v/>
      </c>
      <c r="AA235" s="2" t="str">
        <f t="shared" si="7"/>
        <v/>
      </c>
      <c r="AB235" s="2" t="str">
        <f t="shared" si="8"/>
        <v/>
      </c>
      <c r="AC235" s="2">
        <f t="shared" si="9"/>
        <v>0</v>
      </c>
      <c r="AK235" s="6"/>
      <c r="AO235" s="6"/>
      <c r="AP235" s="6"/>
      <c r="AQ235" s="6"/>
      <c r="AS235" s="6"/>
      <c r="AT235" s="6"/>
      <c r="AU235" s="6"/>
      <c r="AX235" s="2" t="str">
        <f t="shared" si="18"/>
        <v>null</v>
      </c>
      <c r="AY235" s="2" t="str">
        <f t="shared" si="19"/>
        <v>null</v>
      </c>
      <c r="AZ235" s="2" t="str">
        <f t="shared" si="20"/>
        <v>null</v>
      </c>
      <c r="BA235" s="6"/>
    </row>
    <row r="236" spans="1:53" x14ac:dyDescent="0.25">
      <c r="A236" s="2" t="s">
        <v>179</v>
      </c>
      <c r="B236" s="2">
        <v>2015</v>
      </c>
      <c r="C236" s="2">
        <v>6418.3149409999996</v>
      </c>
      <c r="D236" s="2">
        <v>79.270004270000001</v>
      </c>
      <c r="E236" s="2">
        <v>97.281615160000001</v>
      </c>
      <c r="F236" s="2">
        <v>0</v>
      </c>
      <c r="G236" s="2">
        <v>2.7183848410000002</v>
      </c>
      <c r="H236" s="2">
        <v>0</v>
      </c>
      <c r="I236" s="2" t="s">
        <v>64</v>
      </c>
      <c r="J236" s="2" t="s">
        <v>64</v>
      </c>
      <c r="K236" s="2" t="s">
        <v>64</v>
      </c>
      <c r="L236" s="2" t="s">
        <v>64</v>
      </c>
      <c r="M236" s="2" t="s">
        <v>64</v>
      </c>
      <c r="N236" s="2" t="s">
        <v>64</v>
      </c>
      <c r="O236" s="2" t="s">
        <v>64</v>
      </c>
      <c r="P236" s="2" t="s">
        <v>64</v>
      </c>
      <c r="Q236" s="2" t="str">
        <f t="shared" si="0"/>
        <v>Libya|2015</v>
      </c>
      <c r="R236" s="2">
        <f t="shared" si="1"/>
        <v>5</v>
      </c>
      <c r="T236" s="2">
        <f t="shared" si="24"/>
        <v>0.52198172800000009</v>
      </c>
      <c r="U236" s="2" t="str">
        <f t="shared" si="28"/>
        <v>null</v>
      </c>
      <c r="V236" s="2" t="str">
        <f t="shared" si="2"/>
        <v>null</v>
      </c>
      <c r="W236" s="2">
        <f t="shared" si="3"/>
        <v>97</v>
      </c>
      <c r="X236" s="2" t="b">
        <f t="shared" si="4"/>
        <v>0</v>
      </c>
      <c r="Y236" s="2" t="b">
        <f t="shared" si="5"/>
        <v>0</v>
      </c>
      <c r="Z236" s="2" t="str">
        <f t="shared" si="6"/>
        <v/>
      </c>
      <c r="AA236" s="2" t="str">
        <f t="shared" si="7"/>
        <v>Fully Accessible</v>
      </c>
      <c r="AB236" s="2" t="str">
        <f t="shared" si="8"/>
        <v>Fully Accessible</v>
      </c>
      <c r="AC236" s="2" t="b">
        <f t="shared" si="9"/>
        <v>0</v>
      </c>
      <c r="AK236" s="6"/>
      <c r="AO236" s="6"/>
      <c r="AP236" s="6"/>
      <c r="AQ236" s="6"/>
      <c r="AS236" s="6"/>
      <c r="AT236" s="6"/>
      <c r="AU236" s="6"/>
      <c r="AX236" s="2">
        <f t="shared" si="18"/>
        <v>13289.60205</v>
      </c>
      <c r="AY236" s="2">
        <f t="shared" si="19"/>
        <v>159.96100616000001</v>
      </c>
      <c r="AZ236" s="2">
        <f t="shared" si="20"/>
        <v>13129.64104384</v>
      </c>
      <c r="BA236" s="16"/>
    </row>
    <row r="237" spans="1:53" x14ac:dyDescent="0.25">
      <c r="A237" s="2" t="s">
        <v>179</v>
      </c>
      <c r="B237" s="2">
        <v>2020</v>
      </c>
      <c r="C237" s="2">
        <v>6871.2871089999999</v>
      </c>
      <c r="D237" s="2">
        <v>80.691001889999995</v>
      </c>
      <c r="E237" s="2">
        <v>99.891523800000002</v>
      </c>
      <c r="F237" s="2">
        <v>0</v>
      </c>
      <c r="G237" s="2">
        <v>0.1084762012</v>
      </c>
      <c r="H237" s="2">
        <v>0</v>
      </c>
      <c r="I237" s="2" t="s">
        <v>64</v>
      </c>
      <c r="J237" s="2" t="s">
        <v>64</v>
      </c>
      <c r="K237" s="2" t="s">
        <v>64</v>
      </c>
      <c r="L237" s="2" t="s">
        <v>64</v>
      </c>
      <c r="M237" s="2" t="s">
        <v>64</v>
      </c>
      <c r="N237" s="2" t="s">
        <v>64</v>
      </c>
      <c r="O237" s="2" t="s">
        <v>64</v>
      </c>
      <c r="P237" s="2" t="s">
        <v>64</v>
      </c>
      <c r="Q237" s="2" t="str">
        <f t="shared" si="0"/>
        <v>Libya|2020</v>
      </c>
      <c r="R237" s="2" t="str">
        <f t="shared" si="1"/>
        <v xml:space="preserve"> </v>
      </c>
      <c r="T237" s="2" t="b">
        <f t="shared" si="24"/>
        <v>0</v>
      </c>
      <c r="U237" s="2" t="b">
        <f t="shared" si="28"/>
        <v>0</v>
      </c>
      <c r="V237" s="2" t="b">
        <f t="shared" si="2"/>
        <v>0</v>
      </c>
      <c r="W237" s="2">
        <f t="shared" si="3"/>
        <v>100</v>
      </c>
      <c r="X237" s="2" t="b">
        <f t="shared" si="4"/>
        <v>0</v>
      </c>
      <c r="Y237" s="2" t="b">
        <f t="shared" si="5"/>
        <v>0</v>
      </c>
      <c r="Z237" s="2" t="str">
        <f t="shared" si="6"/>
        <v/>
      </c>
      <c r="AA237" s="2" t="str">
        <f t="shared" si="7"/>
        <v/>
      </c>
      <c r="AB237" s="2" t="str">
        <f t="shared" si="8"/>
        <v/>
      </c>
      <c r="AC237" s="2">
        <f t="shared" si="9"/>
        <v>0</v>
      </c>
      <c r="AK237" s="6"/>
      <c r="AO237" s="6"/>
      <c r="AP237" s="6"/>
      <c r="AQ237" s="6"/>
      <c r="AS237" s="6"/>
      <c r="AT237" s="6"/>
      <c r="AU237" s="6"/>
      <c r="AX237" s="2" t="str">
        <f t="shared" si="18"/>
        <v>null</v>
      </c>
      <c r="AY237" s="2" t="str">
        <f t="shared" si="19"/>
        <v>null</v>
      </c>
      <c r="AZ237" s="2" t="str">
        <f t="shared" si="20"/>
        <v>null</v>
      </c>
      <c r="BA237" s="16"/>
    </row>
    <row r="238" spans="1:53" x14ac:dyDescent="0.25">
      <c r="A238" s="2" t="s">
        <v>180</v>
      </c>
      <c r="B238" s="2">
        <v>2015</v>
      </c>
      <c r="C238" s="2">
        <v>37.465000150000002</v>
      </c>
      <c r="D238" s="2">
        <v>14.303000450000001</v>
      </c>
      <c r="E238" s="2">
        <v>100</v>
      </c>
      <c r="F238" s="2">
        <v>0</v>
      </c>
      <c r="G238" s="2">
        <v>0</v>
      </c>
      <c r="H238" s="2">
        <v>0</v>
      </c>
      <c r="I238" s="2" t="s">
        <v>64</v>
      </c>
      <c r="J238" s="2" t="s">
        <v>64</v>
      </c>
      <c r="K238" s="2" t="s">
        <v>64</v>
      </c>
      <c r="L238" s="2" t="s">
        <v>64</v>
      </c>
      <c r="M238" s="2" t="s">
        <v>64</v>
      </c>
      <c r="N238" s="2" t="s">
        <v>64</v>
      </c>
      <c r="O238" s="2" t="s">
        <v>64</v>
      </c>
      <c r="P238" s="2" t="s">
        <v>64</v>
      </c>
      <c r="Q238" s="2" t="str">
        <f t="shared" si="0"/>
        <v>Liechtenstein|2015</v>
      </c>
      <c r="R238" s="2">
        <f t="shared" si="1"/>
        <v>5</v>
      </c>
      <c r="T238" s="2">
        <f t="shared" si="24"/>
        <v>0</v>
      </c>
      <c r="U238" s="2" t="str">
        <f t="shared" si="28"/>
        <v>null</v>
      </c>
      <c r="V238" s="2" t="str">
        <f t="shared" si="2"/>
        <v>null</v>
      </c>
      <c r="W238" s="2">
        <f t="shared" si="3"/>
        <v>100</v>
      </c>
      <c r="X238" s="2" t="b">
        <f t="shared" si="4"/>
        <v>0</v>
      </c>
      <c r="Y238" s="2" t="b">
        <f t="shared" si="5"/>
        <v>0</v>
      </c>
      <c r="Z238" s="2" t="str">
        <f t="shared" si="6"/>
        <v/>
      </c>
      <c r="AA238" s="2" t="str">
        <f t="shared" si="7"/>
        <v>Fully Accessible</v>
      </c>
      <c r="AB238" s="2" t="str">
        <f t="shared" si="8"/>
        <v>Fully Accessible</v>
      </c>
      <c r="AC238" s="2" t="b">
        <f t="shared" si="9"/>
        <v>0</v>
      </c>
      <c r="AO238" s="6"/>
      <c r="AP238" s="6"/>
      <c r="AQ238" s="6"/>
      <c r="AS238" s="6"/>
      <c r="AT238" s="6"/>
      <c r="AU238" s="6"/>
      <c r="AX238" s="2">
        <f t="shared" si="18"/>
        <v>75.60200119000001</v>
      </c>
      <c r="AY238" s="2">
        <f t="shared" si="19"/>
        <v>28.719000820000002</v>
      </c>
      <c r="AZ238" s="2">
        <f t="shared" si="20"/>
        <v>46.883000370000005</v>
      </c>
      <c r="BA238" s="6"/>
    </row>
    <row r="239" spans="1:53" x14ac:dyDescent="0.25">
      <c r="A239" s="2" t="s">
        <v>180</v>
      </c>
      <c r="B239" s="2">
        <v>2020</v>
      </c>
      <c r="C239" s="2">
        <v>38.137001040000001</v>
      </c>
      <c r="D239" s="2">
        <v>14.416000370000001</v>
      </c>
      <c r="E239" s="2">
        <v>100</v>
      </c>
      <c r="F239" s="2">
        <v>0</v>
      </c>
      <c r="G239" s="2">
        <v>0</v>
      </c>
      <c r="H239" s="2">
        <v>0</v>
      </c>
      <c r="I239" s="2" t="s">
        <v>64</v>
      </c>
      <c r="J239" s="2" t="s">
        <v>64</v>
      </c>
      <c r="K239" s="2" t="s">
        <v>64</v>
      </c>
      <c r="L239" s="2" t="s">
        <v>64</v>
      </c>
      <c r="M239" s="2" t="s">
        <v>64</v>
      </c>
      <c r="N239" s="2" t="s">
        <v>64</v>
      </c>
      <c r="O239" s="2" t="s">
        <v>64</v>
      </c>
      <c r="P239" s="2" t="s">
        <v>64</v>
      </c>
      <c r="Q239" s="2" t="str">
        <f t="shared" si="0"/>
        <v>Liechtenstein|2020</v>
      </c>
      <c r="R239" s="2" t="str">
        <f t="shared" si="1"/>
        <v xml:space="preserve"> </v>
      </c>
      <c r="T239" s="2" t="b">
        <f t="shared" si="24"/>
        <v>0</v>
      </c>
      <c r="U239" s="2" t="b">
        <f t="shared" si="28"/>
        <v>0</v>
      </c>
      <c r="V239" s="2" t="b">
        <f t="shared" si="2"/>
        <v>0</v>
      </c>
      <c r="W239" s="2">
        <f t="shared" si="3"/>
        <v>100</v>
      </c>
      <c r="X239" s="2" t="b">
        <f t="shared" si="4"/>
        <v>0</v>
      </c>
      <c r="Y239" s="2" t="b">
        <f t="shared" si="5"/>
        <v>0</v>
      </c>
      <c r="Z239" s="2" t="str">
        <f t="shared" si="6"/>
        <v/>
      </c>
      <c r="AA239" s="2" t="str">
        <f t="shared" si="7"/>
        <v/>
      </c>
      <c r="AB239" s="2" t="str">
        <f t="shared" si="8"/>
        <v/>
      </c>
      <c r="AC239" s="2">
        <f t="shared" si="9"/>
        <v>0</v>
      </c>
      <c r="AO239" s="6"/>
      <c r="AP239" s="6"/>
      <c r="AQ239" s="6"/>
      <c r="AS239" s="6"/>
      <c r="AT239" s="6"/>
      <c r="AU239" s="6"/>
      <c r="AX239" s="2" t="str">
        <f t="shared" si="18"/>
        <v>null</v>
      </c>
      <c r="AY239" s="2" t="str">
        <f t="shared" si="19"/>
        <v>null</v>
      </c>
      <c r="AZ239" s="2" t="str">
        <f t="shared" si="20"/>
        <v>null</v>
      </c>
      <c r="BA239" s="6"/>
    </row>
    <row r="240" spans="1:53" x14ac:dyDescent="0.25">
      <c r="A240" s="2" t="s">
        <v>181</v>
      </c>
      <c r="B240" s="2">
        <v>2015</v>
      </c>
      <c r="C240" s="2">
        <v>2931.8720699999999</v>
      </c>
      <c r="D240" s="2">
        <v>67.229995729999999</v>
      </c>
      <c r="E240" s="2">
        <v>96.604138579999997</v>
      </c>
      <c r="F240" s="2">
        <v>0</v>
      </c>
      <c r="G240" s="2">
        <v>3.3958614219999999</v>
      </c>
      <c r="H240" s="2">
        <v>0</v>
      </c>
      <c r="I240" s="2">
        <v>90.718484410000002</v>
      </c>
      <c r="J240" s="2">
        <v>0</v>
      </c>
      <c r="K240" s="2">
        <v>9.2815155889999996</v>
      </c>
      <c r="L240" s="2">
        <v>0</v>
      </c>
      <c r="M240" s="2">
        <v>99.472990350000003</v>
      </c>
      <c r="N240" s="2">
        <v>0</v>
      </c>
      <c r="O240" s="2">
        <v>0.5270096501</v>
      </c>
      <c r="P240" s="2">
        <v>0</v>
      </c>
      <c r="Q240" s="2" t="str">
        <f t="shared" si="0"/>
        <v>Lithuania|2015</v>
      </c>
      <c r="R240" s="2">
        <f t="shared" si="1"/>
        <v>5</v>
      </c>
      <c r="T240" s="2">
        <f t="shared" si="24"/>
        <v>0.2818417320000009</v>
      </c>
      <c r="U240" s="2">
        <f t="shared" si="28"/>
        <v>0.61285916399999962</v>
      </c>
      <c r="V240" s="2">
        <f t="shared" si="2"/>
        <v>0.10540192999999931</v>
      </c>
      <c r="W240" s="2">
        <f t="shared" si="3"/>
        <v>97</v>
      </c>
      <c r="X240" s="2">
        <f t="shared" si="4"/>
        <v>91</v>
      </c>
      <c r="Y240" s="2">
        <f t="shared" si="5"/>
        <v>99</v>
      </c>
      <c r="Z240" s="2" t="str">
        <f t="shared" si="6"/>
        <v/>
      </c>
      <c r="AA240" s="2" t="str">
        <f t="shared" si="7"/>
        <v/>
      </c>
      <c r="AB240" s="2" t="str">
        <f t="shared" si="8"/>
        <v>Fully Accessible</v>
      </c>
      <c r="AC240" s="2">
        <f t="shared" si="9"/>
        <v>0.50745723400000031</v>
      </c>
      <c r="AO240" s="6"/>
      <c r="AP240" s="6"/>
      <c r="AQ240" s="6"/>
      <c r="AS240" s="6"/>
      <c r="AT240" s="6"/>
      <c r="AU240" s="6"/>
      <c r="AX240" s="2">
        <f t="shared" si="18"/>
        <v>5654.1630860000005</v>
      </c>
      <c r="AY240" s="2">
        <f t="shared" si="19"/>
        <v>135.27599334999999</v>
      </c>
      <c r="AZ240" s="2">
        <f t="shared" si="20"/>
        <v>5518.8870926500003</v>
      </c>
      <c r="BA240" s="6"/>
    </row>
    <row r="241" spans="1:53" x14ac:dyDescent="0.25">
      <c r="A241" s="2" t="s">
        <v>181</v>
      </c>
      <c r="B241" s="2">
        <v>2020</v>
      </c>
      <c r="C241" s="2">
        <v>2722.2910160000001</v>
      </c>
      <c r="D241" s="2">
        <v>68.045997619999994</v>
      </c>
      <c r="E241" s="2">
        <v>98.013347240000002</v>
      </c>
      <c r="F241" s="2">
        <v>0</v>
      </c>
      <c r="G241" s="2">
        <v>1.9866527599999999</v>
      </c>
      <c r="H241" s="2">
        <v>0</v>
      </c>
      <c r="I241" s="2">
        <v>93.78278023</v>
      </c>
      <c r="J241" s="2">
        <v>0</v>
      </c>
      <c r="K241" s="2">
        <v>6.2172197709999999</v>
      </c>
      <c r="L241" s="2">
        <v>0</v>
      </c>
      <c r="M241" s="2">
        <v>100</v>
      </c>
      <c r="N241" s="2">
        <v>0</v>
      </c>
      <c r="O241" s="2">
        <v>0</v>
      </c>
      <c r="P241" s="2">
        <v>0</v>
      </c>
      <c r="Q241" s="2" t="str">
        <f t="shared" si="0"/>
        <v>Lithuania|2020</v>
      </c>
      <c r="R241" s="2" t="str">
        <f t="shared" si="1"/>
        <v xml:space="preserve"> </v>
      </c>
      <c r="T241" s="2" t="b">
        <f t="shared" si="24"/>
        <v>0</v>
      </c>
      <c r="U241" s="2" t="b">
        <f t="shared" si="28"/>
        <v>0</v>
      </c>
      <c r="V241" s="2" t="b">
        <f t="shared" si="2"/>
        <v>0</v>
      </c>
      <c r="W241" s="2">
        <f t="shared" si="3"/>
        <v>98</v>
      </c>
      <c r="X241" s="2">
        <f t="shared" si="4"/>
        <v>94</v>
      </c>
      <c r="Y241" s="2">
        <f t="shared" si="5"/>
        <v>100</v>
      </c>
      <c r="Z241" s="2" t="str">
        <f t="shared" si="6"/>
        <v/>
      </c>
      <c r="AA241" s="2" t="str">
        <f t="shared" si="7"/>
        <v/>
      </c>
      <c r="AB241" s="2" t="str">
        <f t="shared" si="8"/>
        <v/>
      </c>
      <c r="AC241" s="2">
        <f t="shared" si="9"/>
        <v>0</v>
      </c>
      <c r="AO241" s="6"/>
      <c r="AP241" s="6"/>
      <c r="AQ241" s="6"/>
      <c r="AS241" s="6"/>
      <c r="AT241" s="6"/>
      <c r="AU241" s="6"/>
      <c r="AX241" s="2" t="str">
        <f t="shared" si="18"/>
        <v>null</v>
      </c>
      <c r="AY241" s="2" t="str">
        <f t="shared" si="19"/>
        <v>null</v>
      </c>
      <c r="AZ241" s="2" t="str">
        <f t="shared" si="20"/>
        <v>null</v>
      </c>
      <c r="BA241" s="6"/>
    </row>
    <row r="242" spans="1:53" x14ac:dyDescent="0.25">
      <c r="A242" s="2" t="s">
        <v>182</v>
      </c>
      <c r="B242" s="2">
        <v>2015</v>
      </c>
      <c r="C242" s="2">
        <v>566.74102779999998</v>
      </c>
      <c r="D242" s="2">
        <v>90.179000849999994</v>
      </c>
      <c r="E242" s="2">
        <v>99.925170660000006</v>
      </c>
      <c r="F242" s="2">
        <v>0</v>
      </c>
      <c r="G242" s="2">
        <v>7.4829340019999996E-2</v>
      </c>
      <c r="H242" s="2">
        <v>0</v>
      </c>
      <c r="I242" s="2">
        <v>99.238095240000007</v>
      </c>
      <c r="J242" s="2">
        <v>0</v>
      </c>
      <c r="K242" s="2">
        <v>0.7619047619</v>
      </c>
      <c r="L242" s="2">
        <v>0</v>
      </c>
      <c r="M242" s="2">
        <v>100</v>
      </c>
      <c r="N242" s="2">
        <v>0</v>
      </c>
      <c r="O242" s="2">
        <v>0</v>
      </c>
      <c r="P242" s="2">
        <v>0</v>
      </c>
      <c r="Q242" s="2" t="str">
        <f t="shared" si="0"/>
        <v>Luxembourg|2015</v>
      </c>
      <c r="R242" s="2">
        <f t="shared" si="1"/>
        <v>5</v>
      </c>
      <c r="T242" s="2">
        <f t="shared" si="24"/>
        <v>-9.0476240000015203E-3</v>
      </c>
      <c r="U242" s="2">
        <f t="shared" si="28"/>
        <v>-0.12857142800000076</v>
      </c>
      <c r="V242" s="2">
        <f t="shared" si="2"/>
        <v>0</v>
      </c>
      <c r="W242" s="2">
        <f t="shared" si="3"/>
        <v>100</v>
      </c>
      <c r="X242" s="2">
        <f t="shared" si="4"/>
        <v>99</v>
      </c>
      <c r="Y242" s="2">
        <f t="shared" si="5"/>
        <v>100</v>
      </c>
      <c r="Z242" s="2" t="str">
        <f t="shared" si="6"/>
        <v/>
      </c>
      <c r="AA242" s="2" t="str">
        <f t="shared" si="7"/>
        <v/>
      </c>
      <c r="AB242" s="2" t="str">
        <f t="shared" si="8"/>
        <v>Fully Accessible</v>
      </c>
      <c r="AC242" s="2">
        <f t="shared" si="9"/>
        <v>-0.12857142800000076</v>
      </c>
      <c r="AO242" s="6"/>
      <c r="AP242" s="6"/>
      <c r="AQ242" s="6"/>
      <c r="AS242" s="6"/>
      <c r="AT242" s="6"/>
      <c r="AU242" s="6"/>
      <c r="AX242" s="2">
        <f t="shared" si="18"/>
        <v>1192.7170409999999</v>
      </c>
      <c r="AY242" s="2">
        <f t="shared" si="19"/>
        <v>181.63199614999999</v>
      </c>
      <c r="AZ242" s="2">
        <f t="shared" si="20"/>
        <v>1011.0850448499999</v>
      </c>
      <c r="BA242" s="16"/>
    </row>
    <row r="243" spans="1:53" x14ac:dyDescent="0.25">
      <c r="A243" s="2" t="s">
        <v>182</v>
      </c>
      <c r="B243" s="2">
        <v>2020</v>
      </c>
      <c r="C243" s="2">
        <v>625.97601320000001</v>
      </c>
      <c r="D243" s="2">
        <v>91.452995299999998</v>
      </c>
      <c r="E243" s="2">
        <v>99.879932539999999</v>
      </c>
      <c r="F243" s="2">
        <v>0</v>
      </c>
      <c r="G243" s="2">
        <v>0.1200674649</v>
      </c>
      <c r="H243" s="2">
        <v>0</v>
      </c>
      <c r="I243" s="2">
        <v>98.595238100000003</v>
      </c>
      <c r="J243" s="2">
        <v>0</v>
      </c>
      <c r="K243" s="2">
        <v>1.404761905</v>
      </c>
      <c r="L243" s="2">
        <v>0</v>
      </c>
      <c r="M243" s="2">
        <v>100</v>
      </c>
      <c r="N243" s="2">
        <v>0</v>
      </c>
      <c r="O243" s="2">
        <v>0</v>
      </c>
      <c r="P243" s="2">
        <v>0</v>
      </c>
      <c r="Q243" s="2" t="str">
        <f t="shared" si="0"/>
        <v>Luxembourg|2020</v>
      </c>
      <c r="R243" s="2" t="str">
        <f t="shared" si="1"/>
        <v xml:space="preserve"> </v>
      </c>
      <c r="T243" s="2" t="b">
        <f t="shared" si="24"/>
        <v>0</v>
      </c>
      <c r="U243" s="2" t="b">
        <f t="shared" si="28"/>
        <v>0</v>
      </c>
      <c r="V243" s="2" t="b">
        <f t="shared" si="2"/>
        <v>0</v>
      </c>
      <c r="W243" s="2">
        <f t="shared" si="3"/>
        <v>100</v>
      </c>
      <c r="X243" s="2">
        <f t="shared" si="4"/>
        <v>99</v>
      </c>
      <c r="Y243" s="2">
        <f t="shared" si="5"/>
        <v>100</v>
      </c>
      <c r="Z243" s="2" t="str">
        <f t="shared" si="6"/>
        <v/>
      </c>
      <c r="AA243" s="2" t="str">
        <f t="shared" si="7"/>
        <v/>
      </c>
      <c r="AB243" s="2" t="str">
        <f t="shared" si="8"/>
        <v/>
      </c>
      <c r="AC243" s="2">
        <f t="shared" si="9"/>
        <v>0</v>
      </c>
      <c r="AO243" s="6"/>
      <c r="AP243" s="6"/>
      <c r="AQ243" s="6"/>
      <c r="AS243" s="6"/>
      <c r="AT243" s="6"/>
      <c r="AU243" s="6"/>
      <c r="AX243" s="2" t="str">
        <f t="shared" si="18"/>
        <v>null</v>
      </c>
      <c r="AY243" s="2" t="str">
        <f t="shared" si="19"/>
        <v>null</v>
      </c>
      <c r="AZ243" s="2" t="str">
        <f t="shared" si="20"/>
        <v>null</v>
      </c>
      <c r="BA243" s="6"/>
    </row>
    <row r="244" spans="1:53" x14ac:dyDescent="0.25">
      <c r="A244" s="2" t="s">
        <v>183</v>
      </c>
      <c r="B244" s="2">
        <v>2015</v>
      </c>
      <c r="C244" s="2">
        <v>24234.08008</v>
      </c>
      <c r="D244" s="2">
        <v>35.192996979999997</v>
      </c>
      <c r="E244" s="2">
        <v>48.891773540000003</v>
      </c>
      <c r="F244" s="2">
        <v>2.6771603800000001</v>
      </c>
      <c r="G244" s="2">
        <v>30.406736510000002</v>
      </c>
      <c r="H244" s="2">
        <v>18.024329569999999</v>
      </c>
      <c r="I244" s="2">
        <v>33.144577730000002</v>
      </c>
      <c r="J244" s="2">
        <v>1.743479446</v>
      </c>
      <c r="K244" s="2">
        <v>39.697999690000003</v>
      </c>
      <c r="L244" s="2">
        <v>25.41394313</v>
      </c>
      <c r="M244" s="2">
        <v>77.889830720000006</v>
      </c>
      <c r="N244" s="2">
        <v>4.3965098730000003</v>
      </c>
      <c r="O244" s="2">
        <v>13.29711369</v>
      </c>
      <c r="P244" s="2">
        <v>4.4165457190000001</v>
      </c>
      <c r="Q244" s="2" t="str">
        <f t="shared" si="0"/>
        <v>Madagascar|2015</v>
      </c>
      <c r="R244" s="2">
        <f t="shared" si="1"/>
        <v>5</v>
      </c>
      <c r="T244" s="2">
        <f t="shared" si="24"/>
        <v>0.89882227399999981</v>
      </c>
      <c r="U244" s="2">
        <f t="shared" si="28"/>
        <v>0.6523685099999994</v>
      </c>
      <c r="V244" s="2">
        <f t="shared" si="2"/>
        <v>0.51603524399999967</v>
      </c>
      <c r="W244" s="2">
        <f t="shared" si="3"/>
        <v>49</v>
      </c>
      <c r="X244" s="2">
        <f t="shared" si="4"/>
        <v>33</v>
      </c>
      <c r="Y244" s="2">
        <f t="shared" si="5"/>
        <v>78</v>
      </c>
      <c r="Z244" s="2" t="str">
        <f t="shared" si="6"/>
        <v/>
      </c>
      <c r="AA244" s="2" t="str">
        <f t="shared" si="7"/>
        <v/>
      </c>
      <c r="AB244" s="2" t="str">
        <f t="shared" si="8"/>
        <v>Fully Accessible</v>
      </c>
      <c r="AC244" s="2">
        <f t="shared" si="9"/>
        <v>0.13633326599999973</v>
      </c>
      <c r="AO244" s="6"/>
      <c r="AP244" s="6"/>
      <c r="AQ244" s="6"/>
      <c r="AS244" s="6"/>
      <c r="AT244" s="6"/>
      <c r="AU244" s="6"/>
      <c r="AX244" s="2">
        <f t="shared" si="18"/>
        <v>51925.099610000005</v>
      </c>
      <c r="AY244" s="2">
        <f t="shared" si="19"/>
        <v>73.72699738</v>
      </c>
      <c r="AZ244" s="2">
        <f t="shared" si="20"/>
        <v>51851.372612620005</v>
      </c>
      <c r="BA244" s="16"/>
    </row>
    <row r="245" spans="1:53" x14ac:dyDescent="0.25">
      <c r="A245" s="2" t="s">
        <v>183</v>
      </c>
      <c r="B245" s="2">
        <v>2020</v>
      </c>
      <c r="C245" s="2">
        <v>27691.019530000001</v>
      </c>
      <c r="D245" s="2">
        <v>38.534000399999996</v>
      </c>
      <c r="E245" s="2">
        <v>53.385884910000001</v>
      </c>
      <c r="F245" s="2">
        <v>2.7179729799999999</v>
      </c>
      <c r="G245" s="2">
        <v>32.311459669999998</v>
      </c>
      <c r="H245" s="2">
        <v>11.58468244</v>
      </c>
      <c r="I245" s="2">
        <v>36.406420279999999</v>
      </c>
      <c r="J245" s="2">
        <v>1.601776163</v>
      </c>
      <c r="K245" s="2">
        <v>43.953893450000002</v>
      </c>
      <c r="L245" s="2">
        <v>18.037910109999999</v>
      </c>
      <c r="M245" s="2">
        <v>80.470006940000005</v>
      </c>
      <c r="N245" s="2">
        <v>4.4984302979999997</v>
      </c>
      <c r="O245" s="2">
        <v>13.74049434</v>
      </c>
      <c r="P245" s="2">
        <v>1.291068417</v>
      </c>
      <c r="Q245" s="2" t="str">
        <f t="shared" si="0"/>
        <v>Madagascar|2020</v>
      </c>
      <c r="R245" s="2" t="str">
        <f t="shared" si="1"/>
        <v xml:space="preserve"> </v>
      </c>
      <c r="T245" s="2" t="b">
        <f t="shared" si="24"/>
        <v>0</v>
      </c>
      <c r="U245" s="2" t="b">
        <f t="shared" si="28"/>
        <v>0</v>
      </c>
      <c r="V245" s="2" t="b">
        <f t="shared" si="2"/>
        <v>0</v>
      </c>
      <c r="W245" s="2">
        <f t="shared" si="3"/>
        <v>53</v>
      </c>
      <c r="X245" s="2">
        <f t="shared" si="4"/>
        <v>36</v>
      </c>
      <c r="Y245" s="2">
        <f t="shared" si="5"/>
        <v>80</v>
      </c>
      <c r="Z245" s="2" t="str">
        <f t="shared" si="6"/>
        <v/>
      </c>
      <c r="AA245" s="2" t="str">
        <f t="shared" si="7"/>
        <v/>
      </c>
      <c r="AB245" s="2" t="str">
        <f t="shared" si="8"/>
        <v/>
      </c>
      <c r="AC245" s="2">
        <f t="shared" si="9"/>
        <v>0</v>
      </c>
      <c r="AO245" s="6"/>
      <c r="AP245" s="6"/>
      <c r="AQ245" s="6"/>
      <c r="AS245" s="6"/>
      <c r="AT245" s="6"/>
      <c r="AU245" s="6"/>
      <c r="AX245" s="2" t="str">
        <f t="shared" si="18"/>
        <v>null</v>
      </c>
      <c r="AY245" s="2" t="str">
        <f t="shared" si="19"/>
        <v>null</v>
      </c>
      <c r="AZ245" s="2" t="str">
        <f t="shared" si="20"/>
        <v>null</v>
      </c>
      <c r="BA245" s="16"/>
    </row>
    <row r="246" spans="1:53" x14ac:dyDescent="0.25">
      <c r="A246" s="2" t="s">
        <v>184</v>
      </c>
      <c r="B246" s="2">
        <v>2015</v>
      </c>
      <c r="C246" s="2">
        <v>16745.304690000001</v>
      </c>
      <c r="D246" s="2">
        <v>16.312999730000001</v>
      </c>
      <c r="E246" s="2">
        <v>66.154959140000003</v>
      </c>
      <c r="F246" s="2">
        <v>19.716038309999998</v>
      </c>
      <c r="G246" s="2">
        <v>10.55451427</v>
      </c>
      <c r="H246" s="2">
        <v>3.5744882769999999</v>
      </c>
      <c r="I246" s="2">
        <v>62.240608639999998</v>
      </c>
      <c r="J246" s="2">
        <v>21.69810966</v>
      </c>
      <c r="K246" s="2">
        <v>11.875220280000001</v>
      </c>
      <c r="L246" s="2">
        <v>4.186061413</v>
      </c>
      <c r="M246" s="2">
        <v>86.235879850000003</v>
      </c>
      <c r="N246" s="2">
        <v>9.5478494880000007</v>
      </c>
      <c r="O246" s="2">
        <v>3.7792023349999999</v>
      </c>
      <c r="P246" s="2">
        <v>0.43706832449999999</v>
      </c>
      <c r="Q246" s="2" t="str">
        <f t="shared" si="0"/>
        <v>Malawi|2015</v>
      </c>
      <c r="R246" s="2">
        <f t="shared" si="1"/>
        <v>5</v>
      </c>
      <c r="T246" s="2">
        <f t="shared" si="24"/>
        <v>0.77855387399999931</v>
      </c>
      <c r="U246" s="2">
        <f t="shared" si="28"/>
        <v>0.8688870240000014</v>
      </c>
      <c r="V246" s="2">
        <f t="shared" si="2"/>
        <v>4.3763672000000045E-2</v>
      </c>
      <c r="W246" s="2">
        <f t="shared" si="3"/>
        <v>66</v>
      </c>
      <c r="X246" s="2">
        <f t="shared" si="4"/>
        <v>62</v>
      </c>
      <c r="Y246" s="2">
        <f t="shared" si="5"/>
        <v>86</v>
      </c>
      <c r="Z246" s="2" t="str">
        <f t="shared" si="6"/>
        <v/>
      </c>
      <c r="AA246" s="2" t="str">
        <f t="shared" si="7"/>
        <v/>
      </c>
      <c r="AB246" s="2" t="str">
        <f t="shared" si="8"/>
        <v>Fully Accessible</v>
      </c>
      <c r="AC246" s="2">
        <f t="shared" si="9"/>
        <v>0.82512335200000131</v>
      </c>
      <c r="AO246" s="6"/>
      <c r="AP246" s="6"/>
      <c r="AQ246" s="6"/>
      <c r="AS246" s="6"/>
      <c r="AT246" s="6"/>
      <c r="AU246" s="6"/>
      <c r="AX246" s="2">
        <f t="shared" si="18"/>
        <v>35875.259770000004</v>
      </c>
      <c r="AY246" s="2">
        <f t="shared" si="19"/>
        <v>33.739999780000005</v>
      </c>
      <c r="AZ246" s="2">
        <f t="shared" si="20"/>
        <v>35841.519770220002</v>
      </c>
      <c r="BA246" s="6"/>
    </row>
    <row r="247" spans="1:53" x14ac:dyDescent="0.25">
      <c r="A247" s="2" t="s">
        <v>184</v>
      </c>
      <c r="B247" s="2">
        <v>2020</v>
      </c>
      <c r="C247" s="2">
        <v>19129.95508</v>
      </c>
      <c r="D247" s="2">
        <v>17.42700005</v>
      </c>
      <c r="E247" s="2">
        <v>70.047728509999999</v>
      </c>
      <c r="F247" s="2">
        <v>21.95081497</v>
      </c>
      <c r="G247" s="2">
        <v>5.7763044069999996</v>
      </c>
      <c r="H247" s="2">
        <v>2.2251521099999998</v>
      </c>
      <c r="I247" s="2">
        <v>66.585043760000005</v>
      </c>
      <c r="J247" s="2">
        <v>24.414158029999999</v>
      </c>
      <c r="K247" s="2">
        <v>6.3838741460000001</v>
      </c>
      <c r="L247" s="2">
        <v>2.6169240660000002</v>
      </c>
      <c r="M247" s="2">
        <v>86.454698210000004</v>
      </c>
      <c r="N247" s="2">
        <v>10.278948249999999</v>
      </c>
      <c r="O247" s="2">
        <v>2.8975039960000002</v>
      </c>
      <c r="P247" s="2">
        <v>0.36884954460000002</v>
      </c>
      <c r="Q247" s="2" t="str">
        <f t="shared" si="0"/>
        <v>Malawi|2020</v>
      </c>
      <c r="R247" s="2" t="str">
        <f t="shared" si="1"/>
        <v xml:space="preserve"> </v>
      </c>
      <c r="T247" s="2" t="b">
        <f t="shared" si="24"/>
        <v>0</v>
      </c>
      <c r="U247" s="2" t="b">
        <f t="shared" si="28"/>
        <v>0</v>
      </c>
      <c r="V247" s="2" t="b">
        <f t="shared" si="2"/>
        <v>0</v>
      </c>
      <c r="W247" s="2">
        <f t="shared" si="3"/>
        <v>70</v>
      </c>
      <c r="X247" s="2">
        <f t="shared" si="4"/>
        <v>67</v>
      </c>
      <c r="Y247" s="2">
        <f t="shared" si="5"/>
        <v>86</v>
      </c>
      <c r="Z247" s="2" t="str">
        <f t="shared" si="6"/>
        <v/>
      </c>
      <c r="AA247" s="2" t="str">
        <f t="shared" si="7"/>
        <v/>
      </c>
      <c r="AB247" s="2" t="str">
        <f t="shared" si="8"/>
        <v/>
      </c>
      <c r="AC247" s="2">
        <f t="shared" si="9"/>
        <v>0</v>
      </c>
      <c r="AO247" s="6"/>
      <c r="AP247" s="6"/>
      <c r="AQ247" s="6"/>
      <c r="AS247" s="6"/>
      <c r="AT247" s="6"/>
      <c r="AU247" s="6"/>
      <c r="AX247" s="2" t="str">
        <f t="shared" si="18"/>
        <v>null</v>
      </c>
      <c r="AY247" s="2" t="str">
        <f t="shared" si="19"/>
        <v>null</v>
      </c>
      <c r="AZ247" s="2" t="str">
        <f t="shared" si="20"/>
        <v>null</v>
      </c>
      <c r="BA247" s="6"/>
    </row>
    <row r="248" spans="1:53" x14ac:dyDescent="0.25">
      <c r="A248" s="2" t="s">
        <v>185</v>
      </c>
      <c r="B248" s="2">
        <v>2015</v>
      </c>
      <c r="C248" s="2">
        <v>30270.964840000001</v>
      </c>
      <c r="D248" s="2">
        <v>74.212997439999995</v>
      </c>
      <c r="E248" s="2">
        <v>97.052202559999998</v>
      </c>
      <c r="F248" s="2">
        <v>0.36300550040000001</v>
      </c>
      <c r="G248" s="2">
        <v>2.584791939</v>
      </c>
      <c r="H248" s="2" t="s">
        <v>64</v>
      </c>
      <c r="I248" s="2">
        <v>90.918309219999998</v>
      </c>
      <c r="J248" s="2">
        <v>0.54880267140000005</v>
      </c>
      <c r="K248" s="2">
        <v>8.5328881049999996</v>
      </c>
      <c r="L248" s="2" t="s">
        <v>64</v>
      </c>
      <c r="M248" s="2">
        <v>99.183566049999996</v>
      </c>
      <c r="N248" s="2">
        <v>0.29844603629999999</v>
      </c>
      <c r="O248" s="2">
        <v>0.427987911</v>
      </c>
      <c r="P248" s="2">
        <v>0.09</v>
      </c>
      <c r="Q248" s="2" t="str">
        <f t="shared" si="0"/>
        <v>Malaysia|2015</v>
      </c>
      <c r="R248" s="2">
        <f t="shared" si="1"/>
        <v>5</v>
      </c>
      <c r="T248" s="2">
        <f t="shared" si="24"/>
        <v>9.5409020000005278E-3</v>
      </c>
      <c r="U248" s="2">
        <f t="shared" si="28"/>
        <v>-0.14417221999999869</v>
      </c>
      <c r="V248" s="2">
        <f t="shared" si="2"/>
        <v>-8.0940279999992988E-3</v>
      </c>
      <c r="W248" s="2">
        <f t="shared" si="3"/>
        <v>97</v>
      </c>
      <c r="X248" s="2">
        <f t="shared" si="4"/>
        <v>91</v>
      </c>
      <c r="Y248" s="2">
        <f t="shared" si="5"/>
        <v>99</v>
      </c>
      <c r="Z248" s="2" t="str">
        <f t="shared" si="6"/>
        <v/>
      </c>
      <c r="AA248" s="2" t="str">
        <f t="shared" si="7"/>
        <v/>
      </c>
      <c r="AB248" s="2" t="str">
        <f t="shared" si="8"/>
        <v>Fully Accessible</v>
      </c>
      <c r="AC248" s="2">
        <f t="shared" si="9"/>
        <v>-0.13607819199999938</v>
      </c>
      <c r="AO248" s="6"/>
      <c r="AP248" s="6"/>
      <c r="AQ248" s="6"/>
      <c r="AS248" s="6"/>
      <c r="AT248" s="6"/>
      <c r="AU248" s="6"/>
      <c r="AX248" s="2">
        <f t="shared" si="18"/>
        <v>62636.962889999995</v>
      </c>
      <c r="AY248" s="2">
        <f t="shared" si="19"/>
        <v>151.37299346999998</v>
      </c>
      <c r="AZ248" s="2">
        <f t="shared" si="20"/>
        <v>62485.589896529993</v>
      </c>
      <c r="BA248" s="6"/>
    </row>
    <row r="249" spans="1:53" x14ac:dyDescent="0.25">
      <c r="A249" s="2" t="s">
        <v>185</v>
      </c>
      <c r="B249" s="2">
        <v>2020</v>
      </c>
      <c r="C249" s="2">
        <v>32365.998049999998</v>
      </c>
      <c r="D249" s="2">
        <v>77.159996030000002</v>
      </c>
      <c r="E249" s="2">
        <v>97.09990707</v>
      </c>
      <c r="F249" s="2">
        <v>0.35453968650000001</v>
      </c>
      <c r="G249" s="2">
        <v>2.5455532409999999</v>
      </c>
      <c r="H249" s="2" t="s">
        <v>64</v>
      </c>
      <c r="I249" s="2">
        <v>90.197448120000004</v>
      </c>
      <c r="J249" s="2">
        <v>0.54445139710000001</v>
      </c>
      <c r="K249" s="2">
        <v>9.2581004779999994</v>
      </c>
      <c r="L249" s="2" t="s">
        <v>64</v>
      </c>
      <c r="M249" s="2">
        <v>99.14309591</v>
      </c>
      <c r="N249" s="2">
        <v>0.29832426049999999</v>
      </c>
      <c r="O249" s="2">
        <v>0.46857983190000002</v>
      </c>
      <c r="P249" s="2">
        <v>0.09</v>
      </c>
      <c r="Q249" s="2" t="str">
        <f t="shared" si="0"/>
        <v>Malaysia|2020</v>
      </c>
      <c r="R249" s="2" t="str">
        <f t="shared" si="1"/>
        <v xml:space="preserve"> </v>
      </c>
      <c r="T249" s="2" t="b">
        <f t="shared" si="24"/>
        <v>0</v>
      </c>
      <c r="U249" s="2" t="b">
        <f t="shared" si="28"/>
        <v>0</v>
      </c>
      <c r="V249" s="2" t="b">
        <f t="shared" si="2"/>
        <v>0</v>
      </c>
      <c r="W249" s="2">
        <f t="shared" si="3"/>
        <v>97</v>
      </c>
      <c r="X249" s="2">
        <f t="shared" si="4"/>
        <v>90</v>
      </c>
      <c r="Y249" s="2">
        <f t="shared" si="5"/>
        <v>99</v>
      </c>
      <c r="Z249" s="2" t="str">
        <f t="shared" si="6"/>
        <v/>
      </c>
      <c r="AA249" s="2" t="str">
        <f t="shared" si="7"/>
        <v/>
      </c>
      <c r="AB249" s="2" t="str">
        <f t="shared" si="8"/>
        <v/>
      </c>
      <c r="AC249" s="2">
        <f t="shared" si="9"/>
        <v>0</v>
      </c>
      <c r="AO249" s="6"/>
      <c r="AP249" s="6"/>
      <c r="AQ249" s="6"/>
      <c r="AS249" s="6"/>
      <c r="AT249" s="6"/>
      <c r="AU249" s="6"/>
      <c r="AX249" s="2" t="str">
        <f t="shared" si="18"/>
        <v>null</v>
      </c>
      <c r="AY249" s="2" t="str">
        <f t="shared" si="19"/>
        <v>null</v>
      </c>
      <c r="AZ249" s="2" t="str">
        <f t="shared" si="20"/>
        <v>null</v>
      </c>
      <c r="BA249" s="6"/>
    </row>
    <row r="250" spans="1:53" x14ac:dyDescent="0.25">
      <c r="A250" s="2" t="s">
        <v>186</v>
      </c>
      <c r="B250" s="2">
        <v>2015</v>
      </c>
      <c r="C250" s="2">
        <v>454.91400149999998</v>
      </c>
      <c r="D250" s="2">
        <v>38.528999329999998</v>
      </c>
      <c r="E250" s="2">
        <v>98.814244290000005</v>
      </c>
      <c r="F250" s="2">
        <v>0.11215787989999999</v>
      </c>
      <c r="G250" s="2">
        <v>1.0735978349999999</v>
      </c>
      <c r="H250" s="2">
        <v>0</v>
      </c>
      <c r="I250" s="2">
        <v>98.879699270000003</v>
      </c>
      <c r="J250" s="2">
        <v>0.16698528160000001</v>
      </c>
      <c r="K250" s="2">
        <v>0.95331545299999998</v>
      </c>
      <c r="L250" s="2">
        <v>0</v>
      </c>
      <c r="M250" s="2">
        <v>98.709805689999996</v>
      </c>
      <c r="N250" s="2">
        <v>2.4683622329999998E-2</v>
      </c>
      <c r="O250" s="2">
        <v>1.265510688</v>
      </c>
      <c r="P250" s="2">
        <v>0</v>
      </c>
      <c r="Q250" s="2" t="str">
        <f t="shared" si="0"/>
        <v>Maldives|2015</v>
      </c>
      <c r="R250" s="2">
        <f t="shared" si="1"/>
        <v>5</v>
      </c>
      <c r="T250" s="2">
        <f t="shared" si="24"/>
        <v>0.14603886200000032</v>
      </c>
      <c r="U250" s="2">
        <f t="shared" si="28"/>
        <v>0.2078626459999981</v>
      </c>
      <c r="V250" s="2">
        <f t="shared" si="2"/>
        <v>5.7636648000001858E-2</v>
      </c>
      <c r="W250" s="2">
        <f t="shared" si="3"/>
        <v>99</v>
      </c>
      <c r="X250" s="2">
        <f t="shared" si="4"/>
        <v>99</v>
      </c>
      <c r="Y250" s="2">
        <f t="shared" si="5"/>
        <v>99</v>
      </c>
      <c r="Z250" s="2" t="str">
        <f t="shared" si="6"/>
        <v/>
      </c>
      <c r="AA250" s="2" t="str">
        <f t="shared" si="7"/>
        <v/>
      </c>
      <c r="AB250" s="2" t="str">
        <f t="shared" si="8"/>
        <v>Fully Accessible</v>
      </c>
      <c r="AC250" s="2">
        <f t="shared" si="9"/>
        <v>0.15022599799999625</v>
      </c>
      <c r="AO250" s="6"/>
      <c r="AP250" s="6"/>
      <c r="AQ250" s="6"/>
      <c r="AS250" s="6"/>
      <c r="AT250" s="6"/>
      <c r="AU250" s="6"/>
      <c r="AX250" s="2">
        <f t="shared" si="18"/>
        <v>995.45599369999991</v>
      </c>
      <c r="AY250" s="2">
        <f t="shared" si="19"/>
        <v>79.197998049999995</v>
      </c>
      <c r="AZ250" s="2">
        <f t="shared" si="20"/>
        <v>916.25799564999988</v>
      </c>
      <c r="BA250" s="16"/>
    </row>
    <row r="251" spans="1:53" x14ac:dyDescent="0.25">
      <c r="A251" s="2" t="s">
        <v>186</v>
      </c>
      <c r="B251" s="2">
        <v>2020</v>
      </c>
      <c r="C251" s="2">
        <v>540.54199219999998</v>
      </c>
      <c r="D251" s="2">
        <v>40.668998719999998</v>
      </c>
      <c r="E251" s="2">
        <v>99.544438600000007</v>
      </c>
      <c r="F251" s="2">
        <v>4.8050691299999997E-2</v>
      </c>
      <c r="G251" s="2">
        <v>0.40751070499999997</v>
      </c>
      <c r="H251" s="2">
        <v>0</v>
      </c>
      <c r="I251" s="2">
        <v>99.919012499999994</v>
      </c>
      <c r="J251" s="2">
        <v>8.0987500000000004E-2</v>
      </c>
      <c r="K251" s="2">
        <v>0</v>
      </c>
      <c r="L251" s="2">
        <v>0</v>
      </c>
      <c r="M251" s="2">
        <v>98.997988930000005</v>
      </c>
      <c r="N251" s="2">
        <v>0</v>
      </c>
      <c r="O251" s="2">
        <v>1.0020110689999999</v>
      </c>
      <c r="P251" s="2">
        <v>0</v>
      </c>
      <c r="Q251" s="2" t="str">
        <f t="shared" si="0"/>
        <v>Maldives|2020</v>
      </c>
      <c r="R251" s="2" t="str">
        <f t="shared" si="1"/>
        <v xml:space="preserve"> </v>
      </c>
      <c r="T251" s="2" t="b">
        <f t="shared" si="24"/>
        <v>0</v>
      </c>
      <c r="U251" s="2" t="b">
        <f t="shared" si="28"/>
        <v>0</v>
      </c>
      <c r="V251" s="2" t="b">
        <f t="shared" si="2"/>
        <v>0</v>
      </c>
      <c r="W251" s="2">
        <f t="shared" si="3"/>
        <v>100</v>
      </c>
      <c r="X251" s="2">
        <f t="shared" si="4"/>
        <v>100</v>
      </c>
      <c r="Y251" s="2">
        <f t="shared" si="5"/>
        <v>99</v>
      </c>
      <c r="Z251" s="2" t="str">
        <f t="shared" si="6"/>
        <v/>
      </c>
      <c r="AA251" s="2" t="str">
        <f t="shared" si="7"/>
        <v/>
      </c>
      <c r="AB251" s="2" t="str">
        <f t="shared" si="8"/>
        <v/>
      </c>
      <c r="AC251" s="2">
        <f t="shared" si="9"/>
        <v>0</v>
      </c>
      <c r="AO251" s="6"/>
      <c r="AP251" s="6"/>
      <c r="AQ251" s="6"/>
      <c r="AS251" s="6"/>
      <c r="AT251" s="6"/>
      <c r="AU251" s="6"/>
      <c r="AX251" s="2" t="str">
        <f t="shared" si="18"/>
        <v>null</v>
      </c>
      <c r="AY251" s="2" t="str">
        <f t="shared" si="19"/>
        <v>null</v>
      </c>
      <c r="AZ251" s="2" t="str">
        <f t="shared" si="20"/>
        <v>null</v>
      </c>
      <c r="BA251" s="6"/>
    </row>
    <row r="252" spans="1:53" x14ac:dyDescent="0.25">
      <c r="A252" s="2" t="s">
        <v>187</v>
      </c>
      <c r="B252" s="2">
        <v>2015</v>
      </c>
      <c r="C252" s="2">
        <v>17438.771479999999</v>
      </c>
      <c r="D252" s="2">
        <v>39.990997309999997</v>
      </c>
      <c r="E252" s="2">
        <v>74.399512220000005</v>
      </c>
      <c r="F252" s="2">
        <v>4.1718464529999997</v>
      </c>
      <c r="G252" s="2">
        <v>19.37992934</v>
      </c>
      <c r="H252" s="2">
        <v>2.0487119809999998</v>
      </c>
      <c r="I252" s="2">
        <v>63.395714030000001</v>
      </c>
      <c r="J252" s="2">
        <v>4.4493824149999996</v>
      </c>
      <c r="K252" s="2">
        <v>28.94484164</v>
      </c>
      <c r="L252" s="2">
        <v>3.2100619199999998</v>
      </c>
      <c r="M252" s="2">
        <v>90.911405529999996</v>
      </c>
      <c r="N252" s="2">
        <v>3.7553866569999999</v>
      </c>
      <c r="O252" s="2">
        <v>5.0271739789999996</v>
      </c>
      <c r="P252" s="2">
        <v>0.306033834</v>
      </c>
      <c r="Q252" s="2" t="str">
        <f t="shared" si="0"/>
        <v>Mali|2015</v>
      </c>
      <c r="R252" s="2">
        <f t="shared" si="1"/>
        <v>5</v>
      </c>
      <c r="T252" s="2">
        <f t="shared" si="24"/>
        <v>1.6295557619999983</v>
      </c>
      <c r="U252" s="2">
        <f t="shared" si="28"/>
        <v>1.7370362359999987</v>
      </c>
      <c r="V252" s="2">
        <f t="shared" si="2"/>
        <v>1.0012098440000017</v>
      </c>
      <c r="W252" s="2">
        <f t="shared" si="3"/>
        <v>74</v>
      </c>
      <c r="X252" s="2">
        <f t="shared" si="4"/>
        <v>63</v>
      </c>
      <c r="Y252" s="2">
        <f t="shared" si="5"/>
        <v>91</v>
      </c>
      <c r="Z252" s="2" t="str">
        <f t="shared" si="6"/>
        <v/>
      </c>
      <c r="AA252" s="2" t="str">
        <f t="shared" si="7"/>
        <v/>
      </c>
      <c r="AB252" s="2" t="str">
        <f t="shared" si="8"/>
        <v>Fully Accessible</v>
      </c>
      <c r="AC252" s="2">
        <f t="shared" si="9"/>
        <v>0.735826391999997</v>
      </c>
      <c r="AO252" s="6"/>
      <c r="AP252" s="6"/>
      <c r="AQ252" s="6"/>
      <c r="AS252" s="6"/>
      <c r="AT252" s="6"/>
      <c r="AU252" s="6"/>
      <c r="AX252" s="2">
        <f t="shared" si="18"/>
        <v>37689.605459999999</v>
      </c>
      <c r="AY252" s="2">
        <f t="shared" si="19"/>
        <v>83.900001519999989</v>
      </c>
      <c r="AZ252" s="2">
        <f t="shared" si="20"/>
        <v>37605.705458479999</v>
      </c>
      <c r="BA252" s="16"/>
    </row>
    <row r="253" spans="1:53" x14ac:dyDescent="0.25">
      <c r="A253" s="2" t="s">
        <v>187</v>
      </c>
      <c r="B253" s="2">
        <v>2020</v>
      </c>
      <c r="C253" s="2">
        <v>20250.833979999999</v>
      </c>
      <c r="D253" s="2">
        <v>43.909004209999999</v>
      </c>
      <c r="E253" s="2">
        <v>82.547291029999997</v>
      </c>
      <c r="F253" s="2">
        <v>3.8547345270000002</v>
      </c>
      <c r="G253" s="2">
        <v>12.246971350000001</v>
      </c>
      <c r="H253" s="2">
        <v>1.3510030900000001</v>
      </c>
      <c r="I253" s="2">
        <v>72.080895209999994</v>
      </c>
      <c r="J253" s="2">
        <v>3.7824122299999998</v>
      </c>
      <c r="K253" s="2">
        <v>21.72810084</v>
      </c>
      <c r="L253" s="2">
        <v>2.4085917170000002</v>
      </c>
      <c r="M253" s="2">
        <v>95.917454750000005</v>
      </c>
      <c r="N253" s="2">
        <v>3.947121723</v>
      </c>
      <c r="O253" s="2">
        <v>0.13542353139999999</v>
      </c>
      <c r="P253" s="2">
        <v>0</v>
      </c>
      <c r="Q253" s="2" t="str">
        <f t="shared" si="0"/>
        <v>Mali|2020</v>
      </c>
      <c r="R253" s="2" t="str">
        <f t="shared" si="1"/>
        <v xml:space="preserve"> </v>
      </c>
      <c r="T253" s="2" t="b">
        <f t="shared" si="24"/>
        <v>0</v>
      </c>
      <c r="U253" s="2" t="b">
        <f t="shared" si="28"/>
        <v>0</v>
      </c>
      <c r="V253" s="2" t="b">
        <f t="shared" si="2"/>
        <v>0</v>
      </c>
      <c r="W253" s="2">
        <f t="shared" si="3"/>
        <v>83</v>
      </c>
      <c r="X253" s="2">
        <f t="shared" si="4"/>
        <v>72</v>
      </c>
      <c r="Y253" s="2">
        <f t="shared" si="5"/>
        <v>96</v>
      </c>
      <c r="Z253" s="2" t="str">
        <f t="shared" si="6"/>
        <v/>
      </c>
      <c r="AA253" s="2" t="str">
        <f t="shared" si="7"/>
        <v/>
      </c>
      <c r="AB253" s="2" t="str">
        <f t="shared" si="8"/>
        <v/>
      </c>
      <c r="AC253" s="2">
        <f t="shared" si="9"/>
        <v>0</v>
      </c>
      <c r="AO253" s="6"/>
      <c r="AP253" s="6"/>
      <c r="AQ253" s="6"/>
      <c r="AS253" s="6"/>
      <c r="AT253" s="6"/>
      <c r="AU253" s="6"/>
      <c r="AX253" s="2" t="str">
        <f t="shared" si="18"/>
        <v>null</v>
      </c>
      <c r="AY253" s="2" t="str">
        <f t="shared" si="19"/>
        <v>null</v>
      </c>
      <c r="AZ253" s="2" t="str">
        <f t="shared" si="20"/>
        <v>null</v>
      </c>
      <c r="BA253" s="16"/>
    </row>
    <row r="254" spans="1:53" x14ac:dyDescent="0.25">
      <c r="A254" s="2" t="s">
        <v>188</v>
      </c>
      <c r="B254" s="2">
        <v>2015</v>
      </c>
      <c r="C254" s="2">
        <v>433.55899049999999</v>
      </c>
      <c r="D254" s="2">
        <v>94.414001459999994</v>
      </c>
      <c r="E254" s="2">
        <v>100</v>
      </c>
      <c r="F254" s="2">
        <v>0</v>
      </c>
      <c r="G254" s="2">
        <v>0</v>
      </c>
      <c r="H254" s="2">
        <v>0</v>
      </c>
      <c r="I254" s="2">
        <v>100</v>
      </c>
      <c r="J254" s="2">
        <v>0</v>
      </c>
      <c r="K254" s="2">
        <v>0</v>
      </c>
      <c r="L254" s="2">
        <v>0</v>
      </c>
      <c r="M254" s="2">
        <v>100</v>
      </c>
      <c r="N254" s="2">
        <v>0</v>
      </c>
      <c r="O254" s="2">
        <v>0</v>
      </c>
      <c r="P254" s="2">
        <v>0</v>
      </c>
      <c r="Q254" s="2" t="str">
        <f t="shared" si="0"/>
        <v>Malta|2015</v>
      </c>
      <c r="R254" s="2">
        <f t="shared" si="1"/>
        <v>5</v>
      </c>
      <c r="T254" s="2">
        <f t="shared" si="24"/>
        <v>8.0000000934887789E-8</v>
      </c>
      <c r="U254" s="2">
        <f t="shared" si="28"/>
        <v>0</v>
      </c>
      <c r="V254" s="2">
        <f t="shared" si="2"/>
        <v>0</v>
      </c>
      <c r="W254" s="2">
        <f t="shared" si="3"/>
        <v>100</v>
      </c>
      <c r="X254" s="2">
        <f t="shared" si="4"/>
        <v>100</v>
      </c>
      <c r="Y254" s="2">
        <f t="shared" si="5"/>
        <v>100</v>
      </c>
      <c r="Z254" s="2" t="str">
        <f t="shared" si="6"/>
        <v/>
      </c>
      <c r="AA254" s="2" t="str">
        <f t="shared" si="7"/>
        <v/>
      </c>
      <c r="AB254" s="2" t="str">
        <f t="shared" si="8"/>
        <v>Fully Accessible</v>
      </c>
      <c r="AC254" s="2">
        <f t="shared" si="9"/>
        <v>0</v>
      </c>
      <c r="AO254" s="6"/>
      <c r="AP254" s="6"/>
      <c r="AQ254" s="6"/>
      <c r="AS254" s="6"/>
      <c r="AT254" s="6"/>
      <c r="AU254" s="6"/>
      <c r="AX254" s="2">
        <f t="shared" si="18"/>
        <v>875.09799199999998</v>
      </c>
      <c r="AY254" s="2">
        <f t="shared" si="19"/>
        <v>189.15800475999998</v>
      </c>
      <c r="AZ254" s="2">
        <f t="shared" si="20"/>
        <v>685.93998723999994</v>
      </c>
      <c r="BA254" s="6"/>
    </row>
    <row r="255" spans="1:53" x14ac:dyDescent="0.25">
      <c r="A255" s="2" t="s">
        <v>188</v>
      </c>
      <c r="B255" s="2">
        <v>2020</v>
      </c>
      <c r="C255" s="2">
        <v>441.53900149999998</v>
      </c>
      <c r="D255" s="2">
        <v>94.744003300000003</v>
      </c>
      <c r="E255" s="2">
        <v>100.0000004</v>
      </c>
      <c r="F255" s="2">
        <v>0</v>
      </c>
      <c r="G255" s="2">
        <v>0</v>
      </c>
      <c r="H255" s="2">
        <v>0</v>
      </c>
      <c r="I255" s="2">
        <v>100</v>
      </c>
      <c r="J255" s="2">
        <v>0</v>
      </c>
      <c r="K255" s="2">
        <v>0</v>
      </c>
      <c r="L255" s="2">
        <v>0</v>
      </c>
      <c r="M255" s="2">
        <v>100</v>
      </c>
      <c r="N255" s="2">
        <v>0</v>
      </c>
      <c r="O255" s="2">
        <v>0</v>
      </c>
      <c r="P255" s="2">
        <v>0</v>
      </c>
      <c r="Q255" s="2" t="str">
        <f t="shared" si="0"/>
        <v>Malta|2020</v>
      </c>
      <c r="R255" s="2" t="str">
        <f t="shared" si="1"/>
        <v xml:space="preserve"> </v>
      </c>
      <c r="T255" s="2" t="b">
        <f t="shared" si="24"/>
        <v>0</v>
      </c>
      <c r="U255" s="2" t="b">
        <f t="shared" si="28"/>
        <v>0</v>
      </c>
      <c r="V255" s="2" t="b">
        <f t="shared" si="2"/>
        <v>0</v>
      </c>
      <c r="W255" s="2">
        <f t="shared" si="3"/>
        <v>100</v>
      </c>
      <c r="X255" s="2">
        <f t="shared" si="4"/>
        <v>100</v>
      </c>
      <c r="Y255" s="2">
        <f t="shared" si="5"/>
        <v>100</v>
      </c>
      <c r="Z255" s="2" t="str">
        <f t="shared" si="6"/>
        <v/>
      </c>
      <c r="AA255" s="2" t="str">
        <f t="shared" si="7"/>
        <v/>
      </c>
      <c r="AB255" s="2" t="str">
        <f t="shared" si="8"/>
        <v/>
      </c>
      <c r="AC255" s="2">
        <f t="shared" si="9"/>
        <v>0</v>
      </c>
      <c r="AO255" s="6"/>
      <c r="AP255" s="6"/>
      <c r="AQ255" s="6"/>
      <c r="AS255" s="6"/>
      <c r="AT255" s="6"/>
      <c r="AU255" s="6"/>
      <c r="AX255" s="2" t="str">
        <f t="shared" si="18"/>
        <v>null</v>
      </c>
      <c r="AY255" s="2" t="str">
        <f t="shared" si="19"/>
        <v>null</v>
      </c>
      <c r="AZ255" s="2" t="str">
        <f t="shared" si="20"/>
        <v>null</v>
      </c>
      <c r="BA255" s="6"/>
    </row>
    <row r="256" spans="1:53" x14ac:dyDescent="0.25">
      <c r="A256" s="2" t="s">
        <v>189</v>
      </c>
      <c r="B256" s="2">
        <v>2015</v>
      </c>
      <c r="C256" s="2">
        <v>57.444000240000001</v>
      </c>
      <c r="D256" s="2">
        <v>75.810997009999994</v>
      </c>
      <c r="E256" s="2">
        <v>88.342523619999994</v>
      </c>
      <c r="F256" s="2">
        <v>11.18141559</v>
      </c>
      <c r="G256" s="2">
        <v>0.47606079179999999</v>
      </c>
      <c r="H256" s="2">
        <v>0</v>
      </c>
      <c r="I256" s="2">
        <v>94.278360000000006</v>
      </c>
      <c r="J256" s="2">
        <v>5.38164</v>
      </c>
      <c r="K256" s="2">
        <v>0.34</v>
      </c>
      <c r="L256" s="2">
        <v>0</v>
      </c>
      <c r="M256" s="2">
        <v>86.448577369999995</v>
      </c>
      <c r="N256" s="2">
        <v>13.03194895</v>
      </c>
      <c r="O256" s="2">
        <v>0.51947368419999995</v>
      </c>
      <c r="P256" s="2">
        <v>0</v>
      </c>
      <c r="Q256" s="2" t="str">
        <f t="shared" si="0"/>
        <v>Marshall Islands|2015</v>
      </c>
      <c r="R256" s="2">
        <f t="shared" si="1"/>
        <v>5</v>
      </c>
      <c r="T256" s="2">
        <f t="shared" si="24"/>
        <v>4.5904672000000347E-2</v>
      </c>
      <c r="U256" s="2">
        <f t="shared" si="28"/>
        <v>3.0271999999999365E-2</v>
      </c>
      <c r="V256" s="2">
        <f t="shared" si="2"/>
        <v>9.0284526000002072E-2</v>
      </c>
      <c r="W256" s="2">
        <f t="shared" si="3"/>
        <v>88</v>
      </c>
      <c r="X256" s="2">
        <f t="shared" si="4"/>
        <v>94</v>
      </c>
      <c r="Y256" s="2">
        <f t="shared" si="5"/>
        <v>86</v>
      </c>
      <c r="Z256" s="2" t="str">
        <f t="shared" si="6"/>
        <v/>
      </c>
      <c r="AA256" s="2" t="str">
        <f t="shared" si="7"/>
        <v/>
      </c>
      <c r="AB256" s="2" t="str">
        <f t="shared" si="8"/>
        <v>Fully Accessible</v>
      </c>
      <c r="AC256" s="2">
        <f t="shared" si="9"/>
        <v>-6.0012526000002703E-2</v>
      </c>
      <c r="AO256" s="6"/>
      <c r="AP256" s="6"/>
      <c r="AQ256" s="6"/>
      <c r="AS256" s="6"/>
      <c r="AT256" s="6"/>
      <c r="AU256" s="6"/>
      <c r="AX256" s="2">
        <f t="shared" si="18"/>
        <v>116.63800048</v>
      </c>
      <c r="AY256" s="2">
        <f t="shared" si="19"/>
        <v>153.60498810000001</v>
      </c>
      <c r="AZ256" s="2">
        <f t="shared" si="20"/>
        <v>-36.966987620000012</v>
      </c>
      <c r="BA256" s="6"/>
    </row>
    <row r="257" spans="1:53" x14ac:dyDescent="0.25">
      <c r="A257" s="2" t="s">
        <v>189</v>
      </c>
      <c r="B257" s="2">
        <v>2020</v>
      </c>
      <c r="C257" s="2">
        <v>59.194000240000001</v>
      </c>
      <c r="D257" s="2">
        <v>77.793991090000006</v>
      </c>
      <c r="E257" s="2">
        <v>88.572046979999996</v>
      </c>
      <c r="F257" s="2">
        <v>11.387979</v>
      </c>
      <c r="G257" s="2">
        <v>3.9974025849999997E-2</v>
      </c>
      <c r="H257" s="2">
        <v>0</v>
      </c>
      <c r="I257" s="2">
        <v>94.429720000000003</v>
      </c>
      <c r="J257" s="2">
        <v>5.3902799999999997</v>
      </c>
      <c r="K257" s="2">
        <v>0.18</v>
      </c>
      <c r="L257" s="2">
        <v>0</v>
      </c>
      <c r="M257" s="2">
        <v>86.9</v>
      </c>
      <c r="N257" s="2">
        <v>13.1</v>
      </c>
      <c r="O257" s="2">
        <v>0</v>
      </c>
      <c r="P257" s="2">
        <v>0</v>
      </c>
      <c r="Q257" s="2" t="str">
        <f t="shared" ref="Q257:Q461" si="32">A257 &amp; "|" &amp; B257</f>
        <v>Marshall Islands|2020</v>
      </c>
      <c r="R257" s="2" t="str">
        <f t="shared" ref="R257:R461" si="33">IF(A258=A257, B258-B257," ")</f>
        <v xml:space="preserve"> </v>
      </c>
      <c r="T257" s="2" t="b">
        <f t="shared" ref="T257:T465" si="34">IFERROR(IF($A258=$A257,(E258-E257)/($B258-$B257)),"null")</f>
        <v>0</v>
      </c>
      <c r="U257" s="2" t="b">
        <f t="shared" si="28"/>
        <v>0</v>
      </c>
      <c r="V257" s="2" t="b">
        <f t="shared" ref="V257:V465" si="35">IFERROR(IF($A258=$A257,(M258-M257)/($B258-$B257)),"null")</f>
        <v>0</v>
      </c>
      <c r="W257" s="2">
        <f t="shared" ref="W257:W465" si="36">IFERROR(ROUND(E257:E720, 0), FALSE)</f>
        <v>89</v>
      </c>
      <c r="X257" s="2">
        <f t="shared" ref="X257:X465" si="37">IFERROR(ROUND(I257:I720, 0), FALSE)</f>
        <v>94</v>
      </c>
      <c r="Y257" s="2">
        <f t="shared" ref="Y257:Y465" si="38">IFERROR(ROUND(M257:M720, 0), FALSE)</f>
        <v>87</v>
      </c>
      <c r="Z257" s="2" t="str">
        <f t="shared" ref="Z257:Z465" si="39">IF(AND(A257=A258, W257&gt;100), "Fully Accessible", "")</f>
        <v/>
      </c>
      <c r="AA257" s="2" t="str">
        <f t="shared" ref="AA257:AA465" si="40">IF(AND(A257=A258, X257&gt;100), "Fully Accessible", "")</f>
        <v/>
      </c>
      <c r="AB257" s="2" t="str">
        <f t="shared" ref="AB257:AB465" si="41">IF(AND(A257=A258, Z257&gt;100), "Fully Accessible", "")</f>
        <v/>
      </c>
      <c r="AC257" s="2">
        <f t="shared" ref="AC257:AC465" si="42">IFERROR(SUM(U257-V257), FALSE)</f>
        <v>0</v>
      </c>
      <c r="AO257" s="6"/>
      <c r="AP257" s="6"/>
      <c r="AQ257" s="6"/>
      <c r="AS257" s="6"/>
      <c r="AT257" s="6"/>
      <c r="AU257" s="6"/>
      <c r="AX257" s="2" t="str">
        <f t="shared" ref="AX257:AX465" si="43">IF($A258=$A257,SUM($C258+$C257), "null")</f>
        <v>null</v>
      </c>
      <c r="AY257" s="2" t="str">
        <f t="shared" ref="AY257:AY465" si="44">IF($A258=$A257,SUM($D258+$D257), "null")</f>
        <v>null</v>
      </c>
      <c r="AZ257" s="2" t="str">
        <f t="shared" ref="AZ257:AZ465" si="45">IFERROR(AX257-AY257, "null")</f>
        <v>null</v>
      </c>
      <c r="BA257" s="6"/>
    </row>
    <row r="258" spans="1:53" x14ac:dyDescent="0.25">
      <c r="A258" s="2" t="s">
        <v>190</v>
      </c>
      <c r="B258" s="2">
        <v>2015</v>
      </c>
      <c r="C258" s="2">
        <v>378.48300169999999</v>
      </c>
      <c r="D258" s="2">
        <v>88.981002810000007</v>
      </c>
      <c r="E258" s="2">
        <v>99.796030000000002</v>
      </c>
      <c r="F258" s="2">
        <v>0</v>
      </c>
      <c r="G258" s="2">
        <v>0.20396999539999999</v>
      </c>
      <c r="H258" s="2">
        <v>0</v>
      </c>
      <c r="I258" s="2" t="s">
        <v>64</v>
      </c>
      <c r="J258" s="2" t="s">
        <v>64</v>
      </c>
      <c r="K258" s="2" t="s">
        <v>64</v>
      </c>
      <c r="L258" s="2" t="s">
        <v>64</v>
      </c>
      <c r="M258" s="2" t="s">
        <v>64</v>
      </c>
      <c r="N258" s="2" t="s">
        <v>64</v>
      </c>
      <c r="O258" s="2" t="s">
        <v>64</v>
      </c>
      <c r="P258" s="2" t="s">
        <v>64</v>
      </c>
      <c r="Q258" s="2" t="str">
        <f t="shared" si="32"/>
        <v>Martinique|2015</v>
      </c>
      <c r="R258" s="2">
        <f t="shared" si="33"/>
        <v>5</v>
      </c>
      <c r="T258" s="2">
        <f t="shared" si="34"/>
        <v>9.1881559999990262E-3</v>
      </c>
      <c r="U258" s="2" t="str">
        <f t="shared" si="28"/>
        <v>null</v>
      </c>
      <c r="V258" s="2" t="str">
        <f t="shared" si="35"/>
        <v>null</v>
      </c>
      <c r="W258" s="2">
        <f t="shared" si="36"/>
        <v>100</v>
      </c>
      <c r="X258" s="2" t="b">
        <f t="shared" si="37"/>
        <v>0</v>
      </c>
      <c r="Y258" s="2" t="b">
        <f t="shared" si="38"/>
        <v>0</v>
      </c>
      <c r="Z258" s="2" t="str">
        <f t="shared" si="39"/>
        <v/>
      </c>
      <c r="AA258" s="2" t="str">
        <f t="shared" si="40"/>
        <v>Fully Accessible</v>
      </c>
      <c r="AB258" s="2" t="str">
        <f t="shared" si="41"/>
        <v>Fully Accessible</v>
      </c>
      <c r="AC258" s="2" t="b">
        <f t="shared" si="42"/>
        <v>0</v>
      </c>
      <c r="AO258" s="6"/>
      <c r="AP258" s="6"/>
      <c r="AQ258" s="6"/>
      <c r="AS258" s="6"/>
      <c r="AT258" s="6"/>
      <c r="AU258" s="6"/>
      <c r="AX258" s="2">
        <f t="shared" si="43"/>
        <v>753.74801630000002</v>
      </c>
      <c r="AY258" s="2">
        <f t="shared" si="44"/>
        <v>178.12100220000002</v>
      </c>
      <c r="AZ258" s="2">
        <f t="shared" si="45"/>
        <v>575.6270141</v>
      </c>
      <c r="BA258" s="16"/>
    </row>
    <row r="259" spans="1:53" x14ac:dyDescent="0.25">
      <c r="A259" s="2" t="s">
        <v>190</v>
      </c>
      <c r="B259" s="2">
        <v>2020</v>
      </c>
      <c r="C259" s="2">
        <v>375.26501459999997</v>
      </c>
      <c r="D259" s="2">
        <v>89.13999939</v>
      </c>
      <c r="E259" s="2">
        <v>99.841970779999997</v>
      </c>
      <c r="F259" s="2">
        <v>0</v>
      </c>
      <c r="G259" s="2">
        <v>0.15802921580000001</v>
      </c>
      <c r="H259" s="2">
        <v>0</v>
      </c>
      <c r="I259" s="2" t="s">
        <v>64</v>
      </c>
      <c r="J259" s="2" t="s">
        <v>64</v>
      </c>
      <c r="K259" s="2" t="s">
        <v>64</v>
      </c>
      <c r="L259" s="2" t="s">
        <v>64</v>
      </c>
      <c r="M259" s="2" t="s">
        <v>64</v>
      </c>
      <c r="N259" s="2" t="s">
        <v>64</v>
      </c>
      <c r="O259" s="2" t="s">
        <v>64</v>
      </c>
      <c r="P259" s="2" t="s">
        <v>64</v>
      </c>
      <c r="Q259" s="2" t="str">
        <f t="shared" si="32"/>
        <v>Martinique|2020</v>
      </c>
      <c r="R259" s="2" t="str">
        <f t="shared" si="33"/>
        <v xml:space="preserve"> </v>
      </c>
      <c r="T259" s="2" t="b">
        <f t="shared" si="34"/>
        <v>0</v>
      </c>
      <c r="U259" s="2" t="b">
        <f t="shared" si="28"/>
        <v>0</v>
      </c>
      <c r="V259" s="2" t="b">
        <f t="shared" si="35"/>
        <v>0</v>
      </c>
      <c r="W259" s="2">
        <f t="shared" si="36"/>
        <v>100</v>
      </c>
      <c r="X259" s="2" t="b">
        <f t="shared" si="37"/>
        <v>0</v>
      </c>
      <c r="Y259" s="2" t="b">
        <f t="shared" si="38"/>
        <v>0</v>
      </c>
      <c r="Z259" s="2" t="str">
        <f t="shared" si="39"/>
        <v/>
      </c>
      <c r="AA259" s="2" t="str">
        <f t="shared" si="40"/>
        <v/>
      </c>
      <c r="AB259" s="2" t="str">
        <f t="shared" si="41"/>
        <v/>
      </c>
      <c r="AC259" s="2">
        <f t="shared" si="42"/>
        <v>0</v>
      </c>
      <c r="AO259" s="6"/>
      <c r="AP259" s="6"/>
      <c r="AQ259" s="6"/>
      <c r="AS259" s="6"/>
      <c r="AT259" s="6"/>
      <c r="AU259" s="6"/>
      <c r="AX259" s="2" t="str">
        <f t="shared" si="43"/>
        <v>null</v>
      </c>
      <c r="AY259" s="2" t="str">
        <f t="shared" si="44"/>
        <v>null</v>
      </c>
      <c r="AZ259" s="2" t="str">
        <f t="shared" si="45"/>
        <v>null</v>
      </c>
      <c r="BA259" s="6"/>
    </row>
    <row r="260" spans="1:53" x14ac:dyDescent="0.25">
      <c r="A260" s="2" t="s">
        <v>191</v>
      </c>
      <c r="B260" s="2">
        <v>2015</v>
      </c>
      <c r="C260" s="2">
        <v>4046.3039549999999</v>
      </c>
      <c r="D260" s="2">
        <v>51.0890007</v>
      </c>
      <c r="E260" s="2">
        <v>66.973309400000005</v>
      </c>
      <c r="F260" s="2">
        <v>14.811653570000001</v>
      </c>
      <c r="G260" s="2">
        <v>17.637023750000001</v>
      </c>
      <c r="H260" s="2">
        <v>0.57801328240000005</v>
      </c>
      <c r="I260" s="2">
        <v>46.69284218</v>
      </c>
      <c r="J260" s="2">
        <v>18.20063085</v>
      </c>
      <c r="K260" s="2">
        <v>33.924761500000002</v>
      </c>
      <c r="L260" s="2">
        <v>1.1817654639999999</v>
      </c>
      <c r="M260" s="2">
        <v>86.389188590000003</v>
      </c>
      <c r="N260" s="2">
        <v>11.56715369</v>
      </c>
      <c r="O260" s="2">
        <v>2.043657719</v>
      </c>
      <c r="P260" s="2">
        <v>0</v>
      </c>
      <c r="Q260" s="2" t="str">
        <f t="shared" si="32"/>
        <v>Mauritania|2015</v>
      </c>
      <c r="R260" s="2">
        <f t="shared" si="33"/>
        <v>5</v>
      </c>
      <c r="T260" s="2">
        <f t="shared" si="34"/>
        <v>0.94154796599999879</v>
      </c>
      <c r="U260" s="2">
        <f t="shared" si="28"/>
        <v>0.64369934399999951</v>
      </c>
      <c r="V260" s="2">
        <f t="shared" si="35"/>
        <v>0.57390121199999844</v>
      </c>
      <c r="W260" s="2">
        <f t="shared" si="36"/>
        <v>67</v>
      </c>
      <c r="X260" s="2">
        <f t="shared" si="37"/>
        <v>47</v>
      </c>
      <c r="Y260" s="2">
        <f t="shared" si="38"/>
        <v>86</v>
      </c>
      <c r="Z260" s="2" t="str">
        <f t="shared" si="39"/>
        <v/>
      </c>
      <c r="AA260" s="2" t="str">
        <f t="shared" si="40"/>
        <v/>
      </c>
      <c r="AB260" s="2" t="str">
        <f t="shared" si="41"/>
        <v>Fully Accessible</v>
      </c>
      <c r="AC260" s="2">
        <f t="shared" si="42"/>
        <v>6.9798132000001067E-2</v>
      </c>
      <c r="AO260" s="6"/>
      <c r="AP260" s="6"/>
      <c r="AQ260" s="6"/>
      <c r="AS260" s="6"/>
      <c r="AT260" s="6"/>
      <c r="AU260" s="6"/>
      <c r="AX260" s="2">
        <f t="shared" si="43"/>
        <v>8695.9641109999993</v>
      </c>
      <c r="AY260" s="2">
        <f t="shared" si="44"/>
        <v>106.41599655</v>
      </c>
      <c r="AZ260" s="2">
        <f t="shared" si="45"/>
        <v>8589.548114449999</v>
      </c>
      <c r="BA260" s="16"/>
    </row>
    <row r="261" spans="1:53" x14ac:dyDescent="0.25">
      <c r="A261" s="2" t="s">
        <v>191</v>
      </c>
      <c r="B261" s="2">
        <v>2020</v>
      </c>
      <c r="C261" s="2">
        <v>4649.6601559999999</v>
      </c>
      <c r="D261" s="2">
        <v>55.326995850000003</v>
      </c>
      <c r="E261" s="2">
        <v>71.681049229999999</v>
      </c>
      <c r="F261" s="2">
        <v>13.476891930000001</v>
      </c>
      <c r="G261" s="2">
        <v>14.820326809999999</v>
      </c>
      <c r="H261" s="2">
        <v>2.173203433E-2</v>
      </c>
      <c r="I261" s="2">
        <v>49.911338899999997</v>
      </c>
      <c r="J261" s="2">
        <v>18.49039689</v>
      </c>
      <c r="K261" s="2">
        <v>31.549617300000001</v>
      </c>
      <c r="L261" s="2">
        <v>4.8646907220000001E-2</v>
      </c>
      <c r="M261" s="2">
        <v>89.258694649999995</v>
      </c>
      <c r="N261" s="2">
        <v>9.4288080829999998</v>
      </c>
      <c r="O261" s="2">
        <v>1.3124972699999999</v>
      </c>
      <c r="P261" s="2">
        <v>0</v>
      </c>
      <c r="Q261" s="2" t="str">
        <f t="shared" si="32"/>
        <v>Mauritania|2020</v>
      </c>
      <c r="R261" s="2" t="str">
        <f t="shared" si="33"/>
        <v xml:space="preserve"> </v>
      </c>
      <c r="T261" s="2" t="b">
        <f t="shared" si="34"/>
        <v>0</v>
      </c>
      <c r="U261" s="2" t="b">
        <f t="shared" si="28"/>
        <v>0</v>
      </c>
      <c r="V261" s="2" t="b">
        <f t="shared" si="35"/>
        <v>0</v>
      </c>
      <c r="W261" s="2">
        <f t="shared" si="36"/>
        <v>72</v>
      </c>
      <c r="X261" s="2">
        <f t="shared" si="37"/>
        <v>50</v>
      </c>
      <c r="Y261" s="2">
        <f t="shared" si="38"/>
        <v>89</v>
      </c>
      <c r="Z261" s="2" t="str">
        <f t="shared" si="39"/>
        <v/>
      </c>
      <c r="AA261" s="2" t="str">
        <f t="shared" si="40"/>
        <v/>
      </c>
      <c r="AB261" s="2" t="str">
        <f t="shared" si="41"/>
        <v/>
      </c>
      <c r="AC261" s="2">
        <f t="shared" si="42"/>
        <v>0</v>
      </c>
      <c r="AO261" s="6"/>
      <c r="AP261" s="6"/>
      <c r="AQ261" s="6"/>
      <c r="AS261" s="6"/>
      <c r="AT261" s="6"/>
      <c r="AU261" s="6"/>
      <c r="AX261" s="2" t="str">
        <f t="shared" si="43"/>
        <v>null</v>
      </c>
      <c r="AY261" s="2" t="str">
        <f t="shared" si="44"/>
        <v>null</v>
      </c>
      <c r="AZ261" s="2" t="str">
        <f t="shared" si="45"/>
        <v>null</v>
      </c>
      <c r="BA261" s="16"/>
    </row>
    <row r="262" spans="1:53" x14ac:dyDescent="0.25">
      <c r="A262" s="2" t="s">
        <v>192</v>
      </c>
      <c r="B262" s="2">
        <v>2015</v>
      </c>
      <c r="C262" s="2">
        <v>1259.4570309999999</v>
      </c>
      <c r="D262" s="2">
        <v>41</v>
      </c>
      <c r="E262" s="2">
        <v>99.866481820000004</v>
      </c>
      <c r="F262" s="2">
        <v>0</v>
      </c>
      <c r="G262" s="2">
        <v>0.13351818090000001</v>
      </c>
      <c r="H262" s="2">
        <v>0</v>
      </c>
      <c r="I262" s="2">
        <v>99.827682339999996</v>
      </c>
      <c r="J262" s="2">
        <v>0</v>
      </c>
      <c r="K262" s="2">
        <v>0.17231766179999999</v>
      </c>
      <c r="L262" s="2">
        <v>0</v>
      </c>
      <c r="M262" s="2">
        <v>99.922315220000002</v>
      </c>
      <c r="N262" s="2">
        <v>0</v>
      </c>
      <c r="O262" s="2">
        <v>7.7684781189999996E-2</v>
      </c>
      <c r="P262" s="2">
        <v>0</v>
      </c>
      <c r="Q262" s="2" t="str">
        <f t="shared" si="32"/>
        <v>Mauritius|2015</v>
      </c>
      <c r="R262" s="2">
        <f t="shared" si="33"/>
        <v>5</v>
      </c>
      <c r="T262" s="2">
        <f t="shared" si="34"/>
        <v>-4.5424000001048624E-5</v>
      </c>
      <c r="U262" s="2">
        <f t="shared" si="28"/>
        <v>0</v>
      </c>
      <c r="V262" s="2">
        <f t="shared" si="35"/>
        <v>0</v>
      </c>
      <c r="W262" s="2">
        <f t="shared" si="36"/>
        <v>100</v>
      </c>
      <c r="X262" s="2">
        <f t="shared" si="37"/>
        <v>100</v>
      </c>
      <c r="Y262" s="2">
        <f t="shared" si="38"/>
        <v>100</v>
      </c>
      <c r="Z262" s="2" t="str">
        <f t="shared" si="39"/>
        <v/>
      </c>
      <c r="AA262" s="2" t="str">
        <f t="shared" si="40"/>
        <v/>
      </c>
      <c r="AB262" s="2" t="str">
        <f t="shared" si="41"/>
        <v>Fully Accessible</v>
      </c>
      <c r="AC262" s="2">
        <f t="shared" si="42"/>
        <v>0</v>
      </c>
      <c r="AO262" s="6"/>
      <c r="AP262" s="6"/>
      <c r="AQ262" s="6"/>
      <c r="AS262" s="6"/>
      <c r="AT262" s="6"/>
      <c r="AU262" s="6"/>
      <c r="AX262" s="2">
        <f t="shared" si="43"/>
        <v>2531.2239989999998</v>
      </c>
      <c r="AY262" s="2">
        <f t="shared" si="44"/>
        <v>81.759998319999994</v>
      </c>
      <c r="AZ262" s="2">
        <f t="shared" si="45"/>
        <v>2449.46400068</v>
      </c>
      <c r="BA262" s="6"/>
    </row>
    <row r="263" spans="1:53" x14ac:dyDescent="0.25">
      <c r="A263" s="2" t="s">
        <v>192</v>
      </c>
      <c r="B263" s="2">
        <v>2020</v>
      </c>
      <c r="C263" s="2">
        <v>1271.7669679999999</v>
      </c>
      <c r="D263" s="2">
        <v>40.759998320000001</v>
      </c>
      <c r="E263" s="2">
        <v>99.866254699999999</v>
      </c>
      <c r="F263" s="2">
        <v>0</v>
      </c>
      <c r="G263" s="2">
        <v>0.13374530139999999</v>
      </c>
      <c r="H263" s="2">
        <v>0</v>
      </c>
      <c r="I263" s="2">
        <v>99.827682339999996</v>
      </c>
      <c r="J263" s="2">
        <v>0</v>
      </c>
      <c r="K263" s="2">
        <v>0.17231766179999999</v>
      </c>
      <c r="L263" s="2">
        <v>0</v>
      </c>
      <c r="M263" s="2">
        <v>99.922315220000002</v>
      </c>
      <c r="N263" s="2">
        <v>0</v>
      </c>
      <c r="O263" s="2">
        <v>7.7684781189999996E-2</v>
      </c>
      <c r="P263" s="2">
        <v>0</v>
      </c>
      <c r="Q263" s="2" t="str">
        <f t="shared" si="32"/>
        <v>Mauritius|2020</v>
      </c>
      <c r="R263" s="2" t="str">
        <f t="shared" si="33"/>
        <v xml:space="preserve"> </v>
      </c>
      <c r="T263" s="2" t="b">
        <f t="shared" si="34"/>
        <v>0</v>
      </c>
      <c r="U263" s="2" t="b">
        <f t="shared" si="28"/>
        <v>0</v>
      </c>
      <c r="V263" s="2" t="b">
        <f t="shared" si="35"/>
        <v>0</v>
      </c>
      <c r="W263" s="2">
        <f t="shared" si="36"/>
        <v>100</v>
      </c>
      <c r="X263" s="2">
        <f t="shared" si="37"/>
        <v>100</v>
      </c>
      <c r="Y263" s="2">
        <f t="shared" si="38"/>
        <v>100</v>
      </c>
      <c r="Z263" s="2" t="str">
        <f t="shared" si="39"/>
        <v/>
      </c>
      <c r="AA263" s="2" t="str">
        <f t="shared" si="40"/>
        <v/>
      </c>
      <c r="AB263" s="2" t="str">
        <f t="shared" si="41"/>
        <v/>
      </c>
      <c r="AC263" s="2">
        <f t="shared" si="42"/>
        <v>0</v>
      </c>
      <c r="AO263" s="6"/>
      <c r="AP263" s="6"/>
      <c r="AQ263" s="6"/>
      <c r="AS263" s="6"/>
      <c r="AT263" s="6"/>
      <c r="AU263" s="6"/>
      <c r="AX263" s="2" t="str">
        <f t="shared" si="43"/>
        <v>null</v>
      </c>
      <c r="AY263" s="2" t="str">
        <f t="shared" si="44"/>
        <v>null</v>
      </c>
      <c r="AZ263" s="2" t="str">
        <f t="shared" si="45"/>
        <v>null</v>
      </c>
      <c r="BA263" s="6"/>
    </row>
    <row r="264" spans="1:53" x14ac:dyDescent="0.25">
      <c r="A264" s="2" t="s">
        <v>193</v>
      </c>
      <c r="B264" s="2">
        <v>2015</v>
      </c>
      <c r="C264" s="2">
        <v>240.01100159999999</v>
      </c>
      <c r="D264" s="2">
        <v>46.989002229999997</v>
      </c>
      <c r="E264" s="2">
        <v>96.837811279999997</v>
      </c>
      <c r="F264" s="2">
        <v>0</v>
      </c>
      <c r="G264" s="2">
        <v>0.28201846689999999</v>
      </c>
      <c r="H264" s="2">
        <v>2.880170256</v>
      </c>
      <c r="I264" s="2" t="s">
        <v>64</v>
      </c>
      <c r="J264" s="2" t="s">
        <v>64</v>
      </c>
      <c r="K264" s="2" t="s">
        <v>64</v>
      </c>
      <c r="L264" s="2" t="s">
        <v>64</v>
      </c>
      <c r="M264" s="2" t="s">
        <v>64</v>
      </c>
      <c r="N264" s="2" t="s">
        <v>64</v>
      </c>
      <c r="O264" s="2" t="s">
        <v>64</v>
      </c>
      <c r="P264" s="2" t="s">
        <v>64</v>
      </c>
      <c r="Q264" s="2" t="str">
        <f t="shared" si="32"/>
        <v>Mayotte|2015</v>
      </c>
      <c r="R264" s="2">
        <f t="shared" si="33"/>
        <v>5</v>
      </c>
      <c r="T264" s="2">
        <f t="shared" si="34"/>
        <v>-9.3326313999997981E-2</v>
      </c>
      <c r="U264" s="2" t="str">
        <f t="shared" ref="U264:U465" si="46">IFERROR(IF($A265=$A264,(I265-I264)/($B265-$B264)),"null")</f>
        <v>null</v>
      </c>
      <c r="V264" s="2" t="str">
        <f t="shared" si="35"/>
        <v>null</v>
      </c>
      <c r="W264" s="2">
        <f t="shared" si="36"/>
        <v>97</v>
      </c>
      <c r="X264" s="2" t="b">
        <f t="shared" si="37"/>
        <v>0</v>
      </c>
      <c r="Y264" s="2" t="b">
        <f t="shared" si="38"/>
        <v>0</v>
      </c>
      <c r="Z264" s="2" t="str">
        <f t="shared" si="39"/>
        <v/>
      </c>
      <c r="AA264" s="2" t="str">
        <f t="shared" si="40"/>
        <v>Fully Accessible</v>
      </c>
      <c r="AB264" s="2" t="str">
        <f t="shared" si="41"/>
        <v>Fully Accessible</v>
      </c>
      <c r="AC264" s="2" t="b">
        <f t="shared" si="42"/>
        <v>0</v>
      </c>
      <c r="AO264" s="6"/>
      <c r="AP264" s="6"/>
      <c r="AQ264" s="6"/>
      <c r="AS264" s="6"/>
      <c r="AT264" s="6"/>
      <c r="AU264" s="6"/>
      <c r="AX264" s="2">
        <f t="shared" si="43"/>
        <v>512.82398990000002</v>
      </c>
      <c r="AY264" s="2">
        <f t="shared" si="44"/>
        <v>92.740001680000006</v>
      </c>
      <c r="AZ264" s="2">
        <f t="shared" si="45"/>
        <v>420.08398822000004</v>
      </c>
      <c r="BA264" s="6"/>
    </row>
    <row r="265" spans="1:53" x14ac:dyDescent="0.25">
      <c r="A265" s="2" t="s">
        <v>193</v>
      </c>
      <c r="B265" s="2">
        <v>2020</v>
      </c>
      <c r="C265" s="2">
        <v>272.81298829999997</v>
      </c>
      <c r="D265" s="2">
        <v>45.750999450000002</v>
      </c>
      <c r="E265" s="2">
        <v>96.371179710000007</v>
      </c>
      <c r="F265" s="2">
        <v>0</v>
      </c>
      <c r="G265" s="2">
        <v>3.6288202950000001</v>
      </c>
      <c r="H265" s="2" t="s">
        <v>64</v>
      </c>
      <c r="I265" s="2" t="s">
        <v>64</v>
      </c>
      <c r="J265" s="2" t="s">
        <v>64</v>
      </c>
      <c r="K265" s="2" t="s">
        <v>64</v>
      </c>
      <c r="L265" s="2" t="s">
        <v>64</v>
      </c>
      <c r="M265" s="2" t="s">
        <v>64</v>
      </c>
      <c r="N265" s="2" t="s">
        <v>64</v>
      </c>
      <c r="O265" s="2" t="s">
        <v>64</v>
      </c>
      <c r="P265" s="2" t="s">
        <v>64</v>
      </c>
      <c r="Q265" s="2" t="str">
        <f t="shared" si="32"/>
        <v>Mayotte|2020</v>
      </c>
      <c r="R265" s="2" t="str">
        <f t="shared" si="33"/>
        <v xml:space="preserve"> </v>
      </c>
      <c r="T265" s="2" t="b">
        <f t="shared" si="34"/>
        <v>0</v>
      </c>
      <c r="U265" s="2" t="b">
        <f t="shared" si="46"/>
        <v>0</v>
      </c>
      <c r="V265" s="2" t="b">
        <f t="shared" si="35"/>
        <v>0</v>
      </c>
      <c r="W265" s="2">
        <f t="shared" si="36"/>
        <v>96</v>
      </c>
      <c r="X265" s="2" t="b">
        <f t="shared" si="37"/>
        <v>0</v>
      </c>
      <c r="Y265" s="2" t="b">
        <f t="shared" si="38"/>
        <v>0</v>
      </c>
      <c r="Z265" s="2" t="str">
        <f t="shared" si="39"/>
        <v/>
      </c>
      <c r="AA265" s="2" t="str">
        <f t="shared" si="40"/>
        <v/>
      </c>
      <c r="AB265" s="2" t="str">
        <f t="shared" si="41"/>
        <v/>
      </c>
      <c r="AC265" s="2">
        <f t="shared" si="42"/>
        <v>0</v>
      </c>
      <c r="AO265" s="6"/>
      <c r="AP265" s="6"/>
      <c r="AQ265" s="6"/>
      <c r="AS265" s="6"/>
      <c r="AT265" s="6"/>
      <c r="AU265" s="6"/>
      <c r="AX265" s="2" t="str">
        <f t="shared" si="43"/>
        <v>null</v>
      </c>
      <c r="AY265" s="2" t="str">
        <f t="shared" si="44"/>
        <v>null</v>
      </c>
      <c r="AZ265" s="2" t="str">
        <f t="shared" si="45"/>
        <v>null</v>
      </c>
      <c r="BA265" s="6"/>
    </row>
    <row r="266" spans="1:53" x14ac:dyDescent="0.25">
      <c r="A266" s="2" t="s">
        <v>194</v>
      </c>
      <c r="B266" s="2">
        <v>2015</v>
      </c>
      <c r="C266" s="2">
        <v>121858.25</v>
      </c>
      <c r="D266" s="2">
        <v>79.284996030000002</v>
      </c>
      <c r="E266" s="2">
        <v>98.025443539999998</v>
      </c>
      <c r="F266" s="2">
        <v>0</v>
      </c>
      <c r="G266" s="2">
        <v>1.4123609640000001</v>
      </c>
      <c r="H266" s="2">
        <v>0.56219549209999997</v>
      </c>
      <c r="I266" s="2">
        <v>93.286694030000007</v>
      </c>
      <c r="J266" s="2">
        <v>0</v>
      </c>
      <c r="K266" s="2">
        <v>4.3109388519999996</v>
      </c>
      <c r="L266" s="2">
        <v>2.4023671210000002</v>
      </c>
      <c r="M266" s="2">
        <v>99.263552899999993</v>
      </c>
      <c r="N266" s="2">
        <v>0</v>
      </c>
      <c r="O266" s="2">
        <v>0.65503800599999995</v>
      </c>
      <c r="P266" s="2">
        <v>8.140909465E-2</v>
      </c>
      <c r="Q266" s="2" t="str">
        <f t="shared" si="32"/>
        <v>Mexico|2015</v>
      </c>
      <c r="R266" s="2">
        <f t="shared" si="33"/>
        <v>5</v>
      </c>
      <c r="T266" s="2">
        <f t="shared" si="34"/>
        <v>0.33082494800000006</v>
      </c>
      <c r="U266" s="2">
        <f t="shared" si="46"/>
        <v>1.0100749799999988</v>
      </c>
      <c r="V266" s="2">
        <f t="shared" si="35"/>
        <v>0.14728942000000131</v>
      </c>
      <c r="W266" s="2">
        <f t="shared" si="36"/>
        <v>98</v>
      </c>
      <c r="X266" s="2">
        <f t="shared" si="37"/>
        <v>93</v>
      </c>
      <c r="Y266" s="2">
        <f t="shared" si="38"/>
        <v>99</v>
      </c>
      <c r="Z266" s="2" t="str">
        <f t="shared" si="39"/>
        <v/>
      </c>
      <c r="AA266" s="2" t="str">
        <f t="shared" si="40"/>
        <v/>
      </c>
      <c r="AB266" s="2" t="str">
        <f t="shared" si="41"/>
        <v>Fully Accessible</v>
      </c>
      <c r="AC266" s="2">
        <f t="shared" si="42"/>
        <v>0.86278555999999751</v>
      </c>
      <c r="AO266" s="6"/>
      <c r="AP266" s="6"/>
      <c r="AQ266" s="6"/>
      <c r="AS266" s="6"/>
      <c r="AT266" s="6"/>
      <c r="AU266" s="6"/>
      <c r="AX266" s="2">
        <f t="shared" si="43"/>
        <v>250791</v>
      </c>
      <c r="AY266" s="2">
        <f t="shared" si="44"/>
        <v>160.01599120999998</v>
      </c>
      <c r="AZ266" s="2">
        <f t="shared" si="45"/>
        <v>250630.98400878999</v>
      </c>
      <c r="BA266" s="16"/>
    </row>
    <row r="267" spans="1:53" x14ac:dyDescent="0.25">
      <c r="A267" s="2" t="s">
        <v>194</v>
      </c>
      <c r="B267" s="2">
        <v>2020</v>
      </c>
      <c r="C267" s="2">
        <v>128932.75</v>
      </c>
      <c r="D267" s="2">
        <v>80.730995179999994</v>
      </c>
      <c r="E267" s="2">
        <v>99.679568279999998</v>
      </c>
      <c r="F267" s="2">
        <v>0</v>
      </c>
      <c r="G267" s="2">
        <v>0.3204317169</v>
      </c>
      <c r="H267" s="2">
        <v>0</v>
      </c>
      <c r="I267" s="2">
        <v>98.337068930000001</v>
      </c>
      <c r="J267" s="2">
        <v>0</v>
      </c>
      <c r="K267" s="2">
        <v>1.6629310669999999</v>
      </c>
      <c r="L267" s="2">
        <v>0</v>
      </c>
      <c r="M267" s="2">
        <v>100</v>
      </c>
      <c r="N267" s="2">
        <v>0</v>
      </c>
      <c r="O267" s="2">
        <v>0</v>
      </c>
      <c r="P267" s="2">
        <v>0</v>
      </c>
      <c r="Q267" s="2" t="str">
        <f t="shared" si="32"/>
        <v>Mexico|2020</v>
      </c>
      <c r="R267" s="2" t="str">
        <f t="shared" si="33"/>
        <v xml:space="preserve"> </v>
      </c>
      <c r="T267" s="2" t="b">
        <f t="shared" si="34"/>
        <v>0</v>
      </c>
      <c r="U267" s="2" t="b">
        <f t="shared" si="46"/>
        <v>0</v>
      </c>
      <c r="V267" s="2" t="b">
        <f t="shared" si="35"/>
        <v>0</v>
      </c>
      <c r="W267" s="2">
        <f t="shared" si="36"/>
        <v>100</v>
      </c>
      <c r="X267" s="2">
        <f t="shared" si="37"/>
        <v>98</v>
      </c>
      <c r="Y267" s="2">
        <f t="shared" si="38"/>
        <v>100</v>
      </c>
      <c r="Z267" s="2" t="str">
        <f t="shared" si="39"/>
        <v/>
      </c>
      <c r="AA267" s="2" t="str">
        <f t="shared" si="40"/>
        <v/>
      </c>
      <c r="AB267" s="2" t="str">
        <f t="shared" si="41"/>
        <v/>
      </c>
      <c r="AC267" s="2">
        <f t="shared" si="42"/>
        <v>0</v>
      </c>
      <c r="AO267" s="6"/>
      <c r="AP267" s="6"/>
      <c r="AQ267" s="6"/>
      <c r="AS267" s="6"/>
      <c r="AT267" s="6"/>
      <c r="AU267" s="6"/>
      <c r="AX267" s="2" t="str">
        <f t="shared" si="43"/>
        <v>null</v>
      </c>
      <c r="AY267" s="2" t="str">
        <f t="shared" si="44"/>
        <v>null</v>
      </c>
      <c r="AZ267" s="2" t="str">
        <f t="shared" si="45"/>
        <v>null</v>
      </c>
      <c r="BA267" s="6"/>
    </row>
    <row r="268" spans="1:53" x14ac:dyDescent="0.25">
      <c r="A268" s="2" t="s">
        <v>195</v>
      </c>
      <c r="B268" s="2">
        <v>2015</v>
      </c>
      <c r="C268" s="2">
        <v>108.8860016</v>
      </c>
      <c r="D268" s="2">
        <v>22.455999370000001</v>
      </c>
      <c r="E268" s="2">
        <v>88.308156679999996</v>
      </c>
      <c r="F268" s="2">
        <v>0</v>
      </c>
      <c r="G268" s="2">
        <v>11.69184332</v>
      </c>
      <c r="H268" s="2" t="s">
        <v>64</v>
      </c>
      <c r="I268" s="2" t="s">
        <v>64</v>
      </c>
      <c r="J268" s="2" t="s">
        <v>64</v>
      </c>
      <c r="K268" s="2" t="s">
        <v>64</v>
      </c>
      <c r="L268" s="2" t="s">
        <v>64</v>
      </c>
      <c r="M268" s="2" t="s">
        <v>64</v>
      </c>
      <c r="N268" s="2" t="s">
        <v>64</v>
      </c>
      <c r="O268" s="2" t="s">
        <v>64</v>
      </c>
      <c r="P268" s="2" t="s">
        <v>64</v>
      </c>
      <c r="Q268" s="2" t="str">
        <f t="shared" si="32"/>
        <v>Micronesia (Federated States of)|2015</v>
      </c>
      <c r="R268" s="2">
        <f t="shared" si="33"/>
        <v>4</v>
      </c>
      <c r="T268" s="2">
        <f t="shared" si="34"/>
        <v>0</v>
      </c>
      <c r="U268" s="2" t="str">
        <f t="shared" si="46"/>
        <v>null</v>
      </c>
      <c r="V268" s="2" t="str">
        <f t="shared" si="35"/>
        <v>null</v>
      </c>
      <c r="W268" s="2">
        <f t="shared" si="36"/>
        <v>88</v>
      </c>
      <c r="X268" s="2" t="b">
        <f t="shared" si="37"/>
        <v>0</v>
      </c>
      <c r="Y268" s="2" t="b">
        <f t="shared" si="38"/>
        <v>0</v>
      </c>
      <c r="Z268" s="2" t="str">
        <f t="shared" si="39"/>
        <v/>
      </c>
      <c r="AA268" s="2" t="str">
        <f t="shared" si="40"/>
        <v>Fully Accessible</v>
      </c>
      <c r="AB268" s="2" t="str">
        <f t="shared" si="41"/>
        <v>Fully Accessible</v>
      </c>
      <c r="AC268" s="2" t="b">
        <f t="shared" si="42"/>
        <v>0</v>
      </c>
      <c r="AO268" s="6"/>
      <c r="AP268" s="6"/>
      <c r="AQ268" s="6"/>
      <c r="AS268" s="6"/>
      <c r="AT268" s="6"/>
      <c r="AU268" s="6"/>
      <c r="AX268" s="2">
        <f t="shared" si="43"/>
        <v>222.6969986</v>
      </c>
      <c r="AY268" s="2">
        <f t="shared" si="44"/>
        <v>45.267999639999999</v>
      </c>
      <c r="AZ268" s="2">
        <f t="shared" si="45"/>
        <v>177.42899896</v>
      </c>
      <c r="BA268" s="16"/>
    </row>
    <row r="269" spans="1:53" x14ac:dyDescent="0.25">
      <c r="A269" s="2" t="s">
        <v>195</v>
      </c>
      <c r="B269" s="2">
        <v>2019</v>
      </c>
      <c r="C269" s="2">
        <v>113.810997</v>
      </c>
      <c r="D269" s="2">
        <v>22.812000269999999</v>
      </c>
      <c r="E269" s="2">
        <v>88.308156679999996</v>
      </c>
      <c r="F269" s="2">
        <v>0</v>
      </c>
      <c r="G269" s="2">
        <v>11.69184332</v>
      </c>
      <c r="H269" s="2" t="s">
        <v>64</v>
      </c>
      <c r="I269" s="2" t="s">
        <v>64</v>
      </c>
      <c r="J269" s="2" t="s">
        <v>64</v>
      </c>
      <c r="K269" s="2" t="s">
        <v>64</v>
      </c>
      <c r="L269" s="2" t="s">
        <v>64</v>
      </c>
      <c r="M269" s="2" t="s">
        <v>64</v>
      </c>
      <c r="N269" s="2" t="s">
        <v>64</v>
      </c>
      <c r="O269" s="2" t="s">
        <v>64</v>
      </c>
      <c r="P269" s="2" t="s">
        <v>64</v>
      </c>
      <c r="Q269" s="2" t="str">
        <f t="shared" si="32"/>
        <v>Micronesia (Federated States of)|2019</v>
      </c>
      <c r="R269" s="2" t="str">
        <f t="shared" si="33"/>
        <v xml:space="preserve"> </v>
      </c>
      <c r="T269" s="2" t="b">
        <f t="shared" si="34"/>
        <v>0</v>
      </c>
      <c r="U269" s="2" t="b">
        <f t="shared" si="46"/>
        <v>0</v>
      </c>
      <c r="V269" s="2" t="b">
        <f t="shared" si="35"/>
        <v>0</v>
      </c>
      <c r="W269" s="2">
        <f t="shared" si="36"/>
        <v>88</v>
      </c>
      <c r="X269" s="2" t="b">
        <f t="shared" si="37"/>
        <v>0</v>
      </c>
      <c r="Y269" s="2" t="b">
        <f t="shared" si="38"/>
        <v>0</v>
      </c>
      <c r="Z269" s="2" t="str">
        <f t="shared" si="39"/>
        <v/>
      </c>
      <c r="AA269" s="2" t="str">
        <f t="shared" si="40"/>
        <v/>
      </c>
      <c r="AB269" s="2" t="str">
        <f t="shared" si="41"/>
        <v/>
      </c>
      <c r="AC269" s="2">
        <f t="shared" si="42"/>
        <v>0</v>
      </c>
      <c r="AO269" s="6"/>
      <c r="AP269" s="6"/>
      <c r="AQ269" s="6"/>
      <c r="AS269" s="6"/>
      <c r="AT269" s="6"/>
      <c r="AU269" s="6"/>
      <c r="AX269" s="2" t="str">
        <f t="shared" si="43"/>
        <v>null</v>
      </c>
      <c r="AY269" s="2" t="str">
        <f t="shared" si="44"/>
        <v>null</v>
      </c>
      <c r="AZ269" s="2" t="str">
        <f t="shared" si="45"/>
        <v>null</v>
      </c>
      <c r="BA269" s="16"/>
    </row>
    <row r="270" spans="1:53" x14ac:dyDescent="0.25">
      <c r="A270" s="2" t="s">
        <v>196</v>
      </c>
      <c r="B270" s="2">
        <v>2015</v>
      </c>
      <c r="C270" s="2">
        <v>37.722999569999999</v>
      </c>
      <c r="D270" s="2">
        <v>100</v>
      </c>
      <c r="E270" s="2">
        <v>100</v>
      </c>
      <c r="F270" s="2">
        <v>0</v>
      </c>
      <c r="G270" s="2">
        <v>0</v>
      </c>
      <c r="H270" s="2">
        <v>0</v>
      </c>
      <c r="I270" s="2" t="s">
        <v>64</v>
      </c>
      <c r="J270" s="2" t="s">
        <v>64</v>
      </c>
      <c r="K270" s="2" t="s">
        <v>64</v>
      </c>
      <c r="L270" s="2" t="s">
        <v>64</v>
      </c>
      <c r="M270" s="2">
        <v>100</v>
      </c>
      <c r="N270" s="2">
        <v>0</v>
      </c>
      <c r="O270" s="2">
        <v>0</v>
      </c>
      <c r="P270" s="2">
        <v>0</v>
      </c>
      <c r="Q270" s="2" t="str">
        <f t="shared" si="32"/>
        <v>Monaco|2015</v>
      </c>
      <c r="R270" s="2">
        <f t="shared" si="33"/>
        <v>5</v>
      </c>
      <c r="T270" s="2">
        <f t="shared" si="34"/>
        <v>0</v>
      </c>
      <c r="U270" s="2" t="str">
        <f t="shared" si="46"/>
        <v>null</v>
      </c>
      <c r="V270" s="2">
        <f t="shared" si="35"/>
        <v>0</v>
      </c>
      <c r="W270" s="2">
        <f t="shared" si="36"/>
        <v>100</v>
      </c>
      <c r="X270" s="2" t="b">
        <f t="shared" si="37"/>
        <v>0</v>
      </c>
      <c r="Y270" s="2">
        <f t="shared" si="38"/>
        <v>100</v>
      </c>
      <c r="Z270" s="2" t="str">
        <f t="shared" si="39"/>
        <v/>
      </c>
      <c r="AA270" s="2" t="str">
        <f t="shared" si="40"/>
        <v>Fully Accessible</v>
      </c>
      <c r="AB270" s="2" t="str">
        <f t="shared" si="41"/>
        <v>Fully Accessible</v>
      </c>
      <c r="AC270" s="2" t="b">
        <f t="shared" si="42"/>
        <v>0</v>
      </c>
      <c r="AO270" s="6"/>
      <c r="AP270" s="6"/>
      <c r="AQ270" s="6"/>
      <c r="AS270" s="6"/>
      <c r="AT270" s="6"/>
      <c r="AU270" s="6"/>
      <c r="AX270" s="2">
        <f t="shared" si="43"/>
        <v>76.966999049999998</v>
      </c>
      <c r="AY270" s="2">
        <f t="shared" si="44"/>
        <v>200</v>
      </c>
      <c r="AZ270" s="2">
        <f t="shared" si="45"/>
        <v>-123.03300095</v>
      </c>
      <c r="BA270" s="6"/>
    </row>
    <row r="271" spans="1:53" x14ac:dyDescent="0.25">
      <c r="A271" s="2" t="s">
        <v>196</v>
      </c>
      <c r="B271" s="2">
        <v>2020</v>
      </c>
      <c r="C271" s="2">
        <v>39.243999479999999</v>
      </c>
      <c r="D271" s="2">
        <v>100</v>
      </c>
      <c r="E271" s="2">
        <v>100</v>
      </c>
      <c r="F271" s="2">
        <v>0</v>
      </c>
      <c r="G271" s="2">
        <v>0</v>
      </c>
      <c r="H271" s="2">
        <v>0</v>
      </c>
      <c r="I271" s="2" t="s">
        <v>64</v>
      </c>
      <c r="J271" s="2" t="s">
        <v>64</v>
      </c>
      <c r="K271" s="2" t="s">
        <v>64</v>
      </c>
      <c r="L271" s="2" t="s">
        <v>64</v>
      </c>
      <c r="M271" s="2">
        <v>100</v>
      </c>
      <c r="N271" s="2">
        <v>0</v>
      </c>
      <c r="O271" s="2">
        <v>0</v>
      </c>
      <c r="P271" s="2">
        <v>0</v>
      </c>
      <c r="Q271" s="2" t="str">
        <f t="shared" si="32"/>
        <v>Monaco|2020</v>
      </c>
      <c r="R271" s="2" t="str">
        <f t="shared" si="33"/>
        <v xml:space="preserve"> </v>
      </c>
      <c r="T271" s="2" t="b">
        <f t="shared" si="34"/>
        <v>0</v>
      </c>
      <c r="U271" s="2" t="b">
        <f t="shared" si="46"/>
        <v>0</v>
      </c>
      <c r="V271" s="2" t="b">
        <f t="shared" si="35"/>
        <v>0</v>
      </c>
      <c r="W271" s="2">
        <f t="shared" si="36"/>
        <v>100</v>
      </c>
      <c r="X271" s="2" t="b">
        <f t="shared" si="37"/>
        <v>0</v>
      </c>
      <c r="Y271" s="2">
        <f t="shared" si="38"/>
        <v>100</v>
      </c>
      <c r="Z271" s="2" t="str">
        <f t="shared" si="39"/>
        <v/>
      </c>
      <c r="AA271" s="2" t="str">
        <f t="shared" si="40"/>
        <v/>
      </c>
      <c r="AB271" s="2" t="str">
        <f t="shared" si="41"/>
        <v/>
      </c>
      <c r="AC271" s="2">
        <f t="shared" si="42"/>
        <v>0</v>
      </c>
      <c r="AO271" s="6"/>
      <c r="AP271" s="6"/>
      <c r="AQ271" s="6"/>
      <c r="AS271" s="6"/>
      <c r="AT271" s="6"/>
      <c r="AU271" s="6"/>
      <c r="AX271" s="2" t="str">
        <f t="shared" si="43"/>
        <v>null</v>
      </c>
      <c r="AY271" s="2" t="str">
        <f t="shared" si="44"/>
        <v>null</v>
      </c>
      <c r="AZ271" s="2" t="str">
        <f t="shared" si="45"/>
        <v>null</v>
      </c>
      <c r="BA271" s="6"/>
    </row>
    <row r="272" spans="1:53" x14ac:dyDescent="0.25">
      <c r="A272" s="2" t="s">
        <v>197</v>
      </c>
      <c r="B272" s="2">
        <v>2015</v>
      </c>
      <c r="C272" s="2">
        <v>2998.4331050000001</v>
      </c>
      <c r="D272" s="2">
        <v>68.229995729999999</v>
      </c>
      <c r="E272" s="2">
        <v>80.813012090000001</v>
      </c>
      <c r="F272" s="2">
        <v>3.905181378</v>
      </c>
      <c r="G272" s="2">
        <v>7.5786445809999998</v>
      </c>
      <c r="H272" s="2">
        <v>7.7031619500000001</v>
      </c>
      <c r="I272" s="2">
        <v>52.093888010000001</v>
      </c>
      <c r="J272" s="2">
        <v>5.3335891499999999</v>
      </c>
      <c r="K272" s="2">
        <v>18.718643360000002</v>
      </c>
      <c r="L272" s="2">
        <v>23.85387948</v>
      </c>
      <c r="M272" s="2">
        <v>94.185527239999999</v>
      </c>
      <c r="N272" s="2">
        <v>3.240070405</v>
      </c>
      <c r="O272" s="2">
        <v>2.3915155440000002</v>
      </c>
      <c r="P272" s="2">
        <v>0.1828868106</v>
      </c>
      <c r="Q272" s="2" t="str">
        <f t="shared" si="32"/>
        <v>Mongolia|2015</v>
      </c>
      <c r="R272" s="2">
        <f t="shared" si="33"/>
        <v>5</v>
      </c>
      <c r="T272" s="2">
        <f t="shared" si="34"/>
        <v>0.93652263600000085</v>
      </c>
      <c r="U272" s="2">
        <f t="shared" si="46"/>
        <v>1.7953726259999996</v>
      </c>
      <c r="V272" s="2">
        <f t="shared" si="35"/>
        <v>0.4920876679999992</v>
      </c>
      <c r="W272" s="2">
        <f t="shared" si="36"/>
        <v>81</v>
      </c>
      <c r="X272" s="2">
        <f t="shared" si="37"/>
        <v>52</v>
      </c>
      <c r="Y272" s="2">
        <f t="shared" si="38"/>
        <v>94</v>
      </c>
      <c r="Z272" s="2" t="str">
        <f t="shared" si="39"/>
        <v/>
      </c>
      <c r="AA272" s="2" t="str">
        <f t="shared" si="40"/>
        <v/>
      </c>
      <c r="AB272" s="2" t="str">
        <f t="shared" si="41"/>
        <v>Fully Accessible</v>
      </c>
      <c r="AC272" s="2">
        <f t="shared" si="42"/>
        <v>1.3032849580000003</v>
      </c>
      <c r="AO272" s="6"/>
      <c r="AP272" s="6"/>
      <c r="AQ272" s="6"/>
      <c r="AS272" s="6"/>
      <c r="AT272" s="6"/>
      <c r="AU272" s="6"/>
      <c r="AX272" s="2">
        <f t="shared" si="43"/>
        <v>6276.7250970000005</v>
      </c>
      <c r="AY272" s="2">
        <f t="shared" si="44"/>
        <v>136.88699341</v>
      </c>
      <c r="AZ272" s="2">
        <f t="shared" si="45"/>
        <v>6139.8381035900002</v>
      </c>
      <c r="BA272" s="6"/>
    </row>
    <row r="273" spans="1:53" x14ac:dyDescent="0.25">
      <c r="A273" s="2" t="s">
        <v>197</v>
      </c>
      <c r="B273" s="2">
        <v>2020</v>
      </c>
      <c r="C273" s="2">
        <v>3278.2919919999999</v>
      </c>
      <c r="D273" s="2">
        <v>68.656997680000003</v>
      </c>
      <c r="E273" s="2">
        <v>85.495625270000005</v>
      </c>
      <c r="F273" s="2">
        <v>2.1464289299999999</v>
      </c>
      <c r="G273" s="2">
        <v>6.6333667140000001</v>
      </c>
      <c r="H273" s="2">
        <v>5.7245790809999999</v>
      </c>
      <c r="I273" s="2">
        <v>61.070751139999999</v>
      </c>
      <c r="J273" s="2">
        <v>3.0841705720000001</v>
      </c>
      <c r="K273" s="2">
        <v>17.580781160000001</v>
      </c>
      <c r="L273" s="2">
        <v>18.264297129999999</v>
      </c>
      <c r="M273" s="2">
        <v>96.645965579999995</v>
      </c>
      <c r="N273" s="2">
        <v>1.718335079</v>
      </c>
      <c r="O273" s="2">
        <v>1.635699341</v>
      </c>
      <c r="P273" s="2">
        <v>0</v>
      </c>
      <c r="Q273" s="2" t="str">
        <f t="shared" si="32"/>
        <v>Mongolia|2020</v>
      </c>
      <c r="R273" s="2" t="str">
        <f t="shared" si="33"/>
        <v xml:space="preserve"> </v>
      </c>
      <c r="T273" s="2" t="b">
        <f t="shared" si="34"/>
        <v>0</v>
      </c>
      <c r="U273" s="2" t="b">
        <f t="shared" si="46"/>
        <v>0</v>
      </c>
      <c r="V273" s="2" t="b">
        <f t="shared" si="35"/>
        <v>0</v>
      </c>
      <c r="W273" s="2">
        <f t="shared" si="36"/>
        <v>85</v>
      </c>
      <c r="X273" s="2">
        <f t="shared" si="37"/>
        <v>61</v>
      </c>
      <c r="Y273" s="2">
        <f t="shared" si="38"/>
        <v>97</v>
      </c>
      <c r="Z273" s="2" t="str">
        <f t="shared" si="39"/>
        <v/>
      </c>
      <c r="AA273" s="2" t="str">
        <f t="shared" si="40"/>
        <v/>
      </c>
      <c r="AB273" s="2" t="str">
        <f t="shared" si="41"/>
        <v/>
      </c>
      <c r="AC273" s="2">
        <f t="shared" si="42"/>
        <v>0</v>
      </c>
      <c r="AO273" s="6"/>
      <c r="AP273" s="6"/>
      <c r="AQ273" s="6"/>
      <c r="AS273" s="6"/>
      <c r="AT273" s="6"/>
      <c r="AU273" s="6"/>
      <c r="AX273" s="2" t="str">
        <f t="shared" si="43"/>
        <v>null</v>
      </c>
      <c r="AY273" s="2" t="str">
        <f t="shared" si="44"/>
        <v>null</v>
      </c>
      <c r="AZ273" s="2" t="str">
        <f t="shared" si="45"/>
        <v>null</v>
      </c>
      <c r="BA273" s="6"/>
    </row>
    <row r="274" spans="1:53" x14ac:dyDescent="0.25">
      <c r="A274" s="2" t="s">
        <v>198</v>
      </c>
      <c r="B274" s="2">
        <v>2015</v>
      </c>
      <c r="C274" s="2">
        <v>626.9569702</v>
      </c>
      <c r="D274" s="2">
        <v>65.805999760000006</v>
      </c>
      <c r="E274" s="2">
        <v>97.391295369999995</v>
      </c>
      <c r="F274" s="2">
        <v>1.68690191</v>
      </c>
      <c r="G274" s="2">
        <v>0.88144584619999999</v>
      </c>
      <c r="H274" s="2">
        <v>4.035686954E-2</v>
      </c>
      <c r="I274" s="2">
        <v>95.96066218</v>
      </c>
      <c r="J274" s="2">
        <v>1.539303155</v>
      </c>
      <c r="K274" s="2">
        <v>2.3820114100000001</v>
      </c>
      <c r="L274" s="2">
        <v>0.1180232558</v>
      </c>
      <c r="M274" s="2">
        <v>98.134678449999996</v>
      </c>
      <c r="N274" s="2">
        <v>1.763596913</v>
      </c>
      <c r="O274" s="2">
        <v>0.10172463599999999</v>
      </c>
      <c r="P274" s="2">
        <v>0</v>
      </c>
      <c r="Q274" s="2" t="str">
        <f t="shared" si="32"/>
        <v>Montenegro|2015</v>
      </c>
      <c r="R274" s="2">
        <f t="shared" si="33"/>
        <v>5</v>
      </c>
      <c r="T274" s="2">
        <f t="shared" si="34"/>
        <v>0.29312423000000082</v>
      </c>
      <c r="U274" s="2">
        <f t="shared" si="46"/>
        <v>0.44024507199999902</v>
      </c>
      <c r="V274" s="2">
        <f t="shared" si="35"/>
        <v>0.21141222800000037</v>
      </c>
      <c r="W274" s="2">
        <f t="shared" si="36"/>
        <v>97</v>
      </c>
      <c r="X274" s="2">
        <f t="shared" si="37"/>
        <v>96</v>
      </c>
      <c r="Y274" s="2">
        <f t="shared" si="38"/>
        <v>98</v>
      </c>
      <c r="Z274" s="2" t="str">
        <f t="shared" si="39"/>
        <v/>
      </c>
      <c r="AA274" s="2" t="str">
        <f t="shared" si="40"/>
        <v/>
      </c>
      <c r="AB274" s="2" t="str">
        <f t="shared" si="41"/>
        <v>Fully Accessible</v>
      </c>
      <c r="AC274" s="2">
        <f t="shared" si="42"/>
        <v>0.22883284399999865</v>
      </c>
      <c r="AO274" s="6"/>
      <c r="AP274" s="6"/>
      <c r="AQ274" s="6"/>
      <c r="AS274" s="6"/>
      <c r="AT274" s="6"/>
      <c r="AU274" s="6"/>
      <c r="AX274" s="2">
        <f t="shared" si="43"/>
        <v>1255.0189819</v>
      </c>
      <c r="AY274" s="2">
        <f t="shared" si="44"/>
        <v>133.29400635000002</v>
      </c>
      <c r="AZ274" s="2">
        <f t="shared" si="45"/>
        <v>1121.72497555</v>
      </c>
      <c r="BA274" s="16"/>
    </row>
    <row r="275" spans="1:53" x14ac:dyDescent="0.25">
      <c r="A275" s="2" t="s">
        <v>198</v>
      </c>
      <c r="B275" s="2">
        <v>2020</v>
      </c>
      <c r="C275" s="2">
        <v>628.06201169999997</v>
      </c>
      <c r="D275" s="2">
        <v>67.488006589999998</v>
      </c>
      <c r="E275" s="2">
        <v>98.856916519999999</v>
      </c>
      <c r="F275" s="2">
        <v>0.54547882039999995</v>
      </c>
      <c r="G275" s="2">
        <v>0.59231201099999997</v>
      </c>
      <c r="H275" s="2">
        <v>5.2926508940000002E-3</v>
      </c>
      <c r="I275" s="2">
        <v>98.161887539999995</v>
      </c>
      <c r="J275" s="2">
        <v>0</v>
      </c>
      <c r="K275" s="2">
        <v>1.821833386</v>
      </c>
      <c r="L275" s="2">
        <v>1.6279069770000001E-2</v>
      </c>
      <c r="M275" s="2">
        <v>99.191739589999997</v>
      </c>
      <c r="N275" s="2">
        <v>0.80826041280000005</v>
      </c>
      <c r="O275" s="2">
        <v>0</v>
      </c>
      <c r="P275" s="2">
        <v>0</v>
      </c>
      <c r="Q275" s="2" t="str">
        <f t="shared" si="32"/>
        <v>Montenegro|2020</v>
      </c>
      <c r="R275" s="2" t="str">
        <f t="shared" si="33"/>
        <v xml:space="preserve"> </v>
      </c>
      <c r="T275" s="2" t="b">
        <f t="shared" si="34"/>
        <v>0</v>
      </c>
      <c r="U275" s="2" t="b">
        <f t="shared" si="46"/>
        <v>0</v>
      </c>
      <c r="V275" s="2" t="b">
        <f t="shared" si="35"/>
        <v>0</v>
      </c>
      <c r="W275" s="2">
        <f t="shared" si="36"/>
        <v>99</v>
      </c>
      <c r="X275" s="2">
        <f t="shared" si="37"/>
        <v>98</v>
      </c>
      <c r="Y275" s="2">
        <f t="shared" si="38"/>
        <v>99</v>
      </c>
      <c r="Z275" s="2" t="str">
        <f t="shared" si="39"/>
        <v/>
      </c>
      <c r="AA275" s="2" t="str">
        <f t="shared" si="40"/>
        <v/>
      </c>
      <c r="AB275" s="2" t="str">
        <f t="shared" si="41"/>
        <v/>
      </c>
      <c r="AC275" s="2">
        <f t="shared" si="42"/>
        <v>0</v>
      </c>
      <c r="AO275" s="6"/>
      <c r="AP275" s="6"/>
      <c r="AQ275" s="6"/>
      <c r="AS275" s="6"/>
      <c r="AT275" s="6"/>
      <c r="AU275" s="6"/>
      <c r="AX275" s="2" t="str">
        <f t="shared" si="43"/>
        <v>null</v>
      </c>
      <c r="AY275" s="2" t="str">
        <f t="shared" si="44"/>
        <v>null</v>
      </c>
      <c r="AZ275" s="2" t="str">
        <f t="shared" si="45"/>
        <v>null</v>
      </c>
      <c r="BA275" s="6"/>
    </row>
    <row r="276" spans="1:53" x14ac:dyDescent="0.25">
      <c r="A276" s="2" t="s">
        <v>199</v>
      </c>
      <c r="B276" s="2">
        <v>2015</v>
      </c>
      <c r="C276" s="2">
        <v>4.9660000799999997</v>
      </c>
      <c r="D276" s="2">
        <v>9.0410003660000005</v>
      </c>
      <c r="E276" s="2">
        <v>98.070820560000001</v>
      </c>
      <c r="F276" s="2">
        <v>0</v>
      </c>
      <c r="G276" s="2">
        <v>1.9291794390000001</v>
      </c>
      <c r="H276" s="2">
        <v>0</v>
      </c>
      <c r="I276" s="2" t="s">
        <v>64</v>
      </c>
      <c r="J276" s="2" t="s">
        <v>64</v>
      </c>
      <c r="K276" s="2" t="s">
        <v>64</v>
      </c>
      <c r="L276" s="2" t="s">
        <v>64</v>
      </c>
      <c r="M276" s="2" t="s">
        <v>64</v>
      </c>
      <c r="N276" s="2" t="s">
        <v>64</v>
      </c>
      <c r="O276" s="2" t="s">
        <v>64</v>
      </c>
      <c r="P276" s="2" t="s">
        <v>64</v>
      </c>
      <c r="Q276" s="2" t="str">
        <f t="shared" si="32"/>
        <v>Montserrat|2015</v>
      </c>
      <c r="R276" s="2">
        <f t="shared" si="33"/>
        <v>5</v>
      </c>
      <c r="T276" s="2">
        <f t="shared" si="34"/>
        <v>1.3324119999992945E-3</v>
      </c>
      <c r="U276" s="2" t="str">
        <f t="shared" si="46"/>
        <v>null</v>
      </c>
      <c r="V276" s="2" t="str">
        <f t="shared" si="35"/>
        <v>null</v>
      </c>
      <c r="W276" s="2">
        <f t="shared" si="36"/>
        <v>98</v>
      </c>
      <c r="X276" s="2" t="b">
        <f t="shared" si="37"/>
        <v>0</v>
      </c>
      <c r="Y276" s="2" t="b">
        <f t="shared" si="38"/>
        <v>0</v>
      </c>
      <c r="Z276" s="2" t="str">
        <f t="shared" si="39"/>
        <v/>
      </c>
      <c r="AA276" s="2" t="str">
        <f t="shared" si="40"/>
        <v>Fully Accessible</v>
      </c>
      <c r="AB276" s="2" t="str">
        <f t="shared" si="41"/>
        <v>Fully Accessible</v>
      </c>
      <c r="AC276" s="2" t="b">
        <f t="shared" si="42"/>
        <v>0</v>
      </c>
      <c r="AO276" s="6"/>
      <c r="AP276" s="6"/>
      <c r="AQ276" s="6"/>
      <c r="AS276" s="6"/>
      <c r="AT276" s="6"/>
      <c r="AU276" s="6"/>
      <c r="AX276" s="2">
        <f t="shared" si="43"/>
        <v>9.965000152</v>
      </c>
      <c r="AY276" s="2">
        <f t="shared" si="44"/>
        <v>18.156000136999999</v>
      </c>
      <c r="AZ276" s="2">
        <f t="shared" si="45"/>
        <v>-8.1909999849999995</v>
      </c>
      <c r="BA276" s="16"/>
    </row>
    <row r="277" spans="1:53" x14ac:dyDescent="0.25">
      <c r="A277" s="2" t="s">
        <v>199</v>
      </c>
      <c r="B277" s="2">
        <v>2020</v>
      </c>
      <c r="C277" s="2">
        <v>4.9990000720000003</v>
      </c>
      <c r="D277" s="2">
        <v>9.1149997710000008</v>
      </c>
      <c r="E277" s="2">
        <v>98.077482619999998</v>
      </c>
      <c r="F277" s="2">
        <v>0</v>
      </c>
      <c r="G277" s="2">
        <v>1.922517378</v>
      </c>
      <c r="H277" s="2">
        <v>0</v>
      </c>
      <c r="I277" s="2" t="s">
        <v>64</v>
      </c>
      <c r="J277" s="2" t="s">
        <v>64</v>
      </c>
      <c r="K277" s="2" t="s">
        <v>64</v>
      </c>
      <c r="L277" s="2" t="s">
        <v>64</v>
      </c>
      <c r="M277" s="2" t="s">
        <v>64</v>
      </c>
      <c r="N277" s="2" t="s">
        <v>64</v>
      </c>
      <c r="O277" s="2" t="s">
        <v>64</v>
      </c>
      <c r="P277" s="2" t="s">
        <v>64</v>
      </c>
      <c r="Q277" s="2" t="str">
        <f t="shared" si="32"/>
        <v>Montserrat|2020</v>
      </c>
      <c r="R277" s="2" t="str">
        <f t="shared" si="33"/>
        <v xml:space="preserve"> </v>
      </c>
      <c r="T277" s="2" t="b">
        <f t="shared" si="34"/>
        <v>0</v>
      </c>
      <c r="U277" s="2" t="b">
        <f t="shared" si="46"/>
        <v>0</v>
      </c>
      <c r="V277" s="2" t="b">
        <f t="shared" si="35"/>
        <v>0</v>
      </c>
      <c r="W277" s="2">
        <f t="shared" si="36"/>
        <v>98</v>
      </c>
      <c r="X277" s="2" t="b">
        <f t="shared" si="37"/>
        <v>0</v>
      </c>
      <c r="Y277" s="2" t="b">
        <f t="shared" si="38"/>
        <v>0</v>
      </c>
      <c r="Z277" s="2" t="str">
        <f t="shared" si="39"/>
        <v/>
      </c>
      <c r="AA277" s="2" t="str">
        <f t="shared" si="40"/>
        <v/>
      </c>
      <c r="AB277" s="2" t="str">
        <f t="shared" si="41"/>
        <v/>
      </c>
      <c r="AC277" s="2">
        <f t="shared" si="42"/>
        <v>0</v>
      </c>
      <c r="AO277" s="6"/>
      <c r="AP277" s="6"/>
      <c r="AQ277" s="6"/>
      <c r="AS277" s="6"/>
      <c r="AT277" s="6"/>
      <c r="AU277" s="6"/>
      <c r="AX277" s="2" t="str">
        <f t="shared" si="43"/>
        <v>null</v>
      </c>
      <c r="AY277" s="2" t="str">
        <f t="shared" si="44"/>
        <v>null</v>
      </c>
      <c r="AZ277" s="2" t="str">
        <f t="shared" si="45"/>
        <v>null</v>
      </c>
      <c r="BA277" s="16"/>
    </row>
    <row r="278" spans="1:53" x14ac:dyDescent="0.25">
      <c r="A278" s="2" t="s">
        <v>200</v>
      </c>
      <c r="B278" s="2">
        <v>2015</v>
      </c>
      <c r="C278" s="2">
        <v>34663.609380000002</v>
      </c>
      <c r="D278" s="2">
        <v>60.808998109999997</v>
      </c>
      <c r="E278" s="2">
        <v>83.75113288</v>
      </c>
      <c r="F278" s="2">
        <v>5.9371884149999996</v>
      </c>
      <c r="G278" s="2">
        <v>8.5178818580000009</v>
      </c>
      <c r="H278" s="2">
        <v>1.793796851</v>
      </c>
      <c r="I278" s="2">
        <v>64.172528740000004</v>
      </c>
      <c r="J278" s="2">
        <v>12.25581871</v>
      </c>
      <c r="K278" s="2">
        <v>19.029579640000001</v>
      </c>
      <c r="L278" s="2">
        <v>4.5420729140000002</v>
      </c>
      <c r="M278" s="2">
        <v>96.369415020000005</v>
      </c>
      <c r="N278" s="2">
        <v>1.864872571</v>
      </c>
      <c r="O278" s="2">
        <v>1.743161481</v>
      </c>
      <c r="P278" s="2">
        <v>2.255092798E-2</v>
      </c>
      <c r="Q278" s="2" t="str">
        <f t="shared" si="32"/>
        <v>Morocco|2015</v>
      </c>
      <c r="R278" s="2">
        <f t="shared" si="33"/>
        <v>5</v>
      </c>
      <c r="T278" s="2">
        <f t="shared" si="34"/>
        <v>1.3302423599999997</v>
      </c>
      <c r="U278" s="2">
        <f t="shared" si="46"/>
        <v>2.6347200439999994</v>
      </c>
      <c r="V278" s="2">
        <f t="shared" si="35"/>
        <v>0.30546619799999919</v>
      </c>
      <c r="W278" s="2">
        <f t="shared" si="36"/>
        <v>84</v>
      </c>
      <c r="X278" s="2">
        <f t="shared" si="37"/>
        <v>64</v>
      </c>
      <c r="Y278" s="2">
        <f t="shared" si="38"/>
        <v>96</v>
      </c>
      <c r="Z278" s="2" t="str">
        <f t="shared" si="39"/>
        <v/>
      </c>
      <c r="AA278" s="2" t="str">
        <f t="shared" si="40"/>
        <v/>
      </c>
      <c r="AB278" s="2" t="str">
        <f t="shared" si="41"/>
        <v>Fully Accessible</v>
      </c>
      <c r="AC278" s="2">
        <f t="shared" si="42"/>
        <v>2.3292538460000003</v>
      </c>
      <c r="AO278" s="6"/>
      <c r="AP278" s="6"/>
      <c r="AQ278" s="6"/>
      <c r="AS278" s="6"/>
      <c r="AT278" s="6"/>
      <c r="AU278" s="6"/>
      <c r="AX278" s="2">
        <f t="shared" si="43"/>
        <v>71574.16797000001</v>
      </c>
      <c r="AY278" s="2">
        <f t="shared" si="44"/>
        <v>124.34099578999999</v>
      </c>
      <c r="AZ278" s="2">
        <f t="shared" si="45"/>
        <v>71449.826974210009</v>
      </c>
      <c r="BA278" s="6"/>
    </row>
    <row r="279" spans="1:53" x14ac:dyDescent="0.25">
      <c r="A279" s="2" t="s">
        <v>200</v>
      </c>
      <c r="B279" s="2">
        <v>2020</v>
      </c>
      <c r="C279" s="2">
        <v>36910.558590000001</v>
      </c>
      <c r="D279" s="2">
        <v>63.531997680000003</v>
      </c>
      <c r="E279" s="2">
        <v>90.402344679999999</v>
      </c>
      <c r="F279" s="2">
        <v>5.2635496010000002</v>
      </c>
      <c r="G279" s="2">
        <v>2.8776725000000001</v>
      </c>
      <c r="H279" s="2">
        <v>1.456433219</v>
      </c>
      <c r="I279" s="2">
        <v>77.346128960000001</v>
      </c>
      <c r="J279" s="2">
        <v>12.03707816</v>
      </c>
      <c r="K279" s="2">
        <v>6.6230633729999999</v>
      </c>
      <c r="L279" s="2">
        <v>3.9937295019999999</v>
      </c>
      <c r="M279" s="2">
        <v>97.896746010000001</v>
      </c>
      <c r="N279" s="2">
        <v>1.375477117</v>
      </c>
      <c r="O279" s="2">
        <v>0.72777687589999995</v>
      </c>
      <c r="P279" s="2">
        <v>0</v>
      </c>
      <c r="Q279" s="2" t="str">
        <f t="shared" si="32"/>
        <v>Morocco|2020</v>
      </c>
      <c r="R279" s="2" t="str">
        <f t="shared" si="33"/>
        <v xml:space="preserve"> </v>
      </c>
      <c r="T279" s="2" t="b">
        <f t="shared" si="34"/>
        <v>0</v>
      </c>
      <c r="U279" s="2" t="b">
        <f t="shared" si="46"/>
        <v>0</v>
      </c>
      <c r="V279" s="2" t="b">
        <f t="shared" si="35"/>
        <v>0</v>
      </c>
      <c r="W279" s="2">
        <f t="shared" si="36"/>
        <v>90</v>
      </c>
      <c r="X279" s="2">
        <f t="shared" si="37"/>
        <v>77</v>
      </c>
      <c r="Y279" s="2">
        <f t="shared" si="38"/>
        <v>98</v>
      </c>
      <c r="Z279" s="2" t="str">
        <f t="shared" si="39"/>
        <v/>
      </c>
      <c r="AA279" s="2" t="str">
        <f t="shared" si="40"/>
        <v/>
      </c>
      <c r="AB279" s="2" t="str">
        <f t="shared" si="41"/>
        <v/>
      </c>
      <c r="AC279" s="2">
        <f t="shared" si="42"/>
        <v>0</v>
      </c>
      <c r="AO279" s="6"/>
      <c r="AP279" s="6"/>
      <c r="AQ279" s="6"/>
      <c r="AS279" s="6"/>
      <c r="AT279" s="6"/>
      <c r="AU279" s="6"/>
      <c r="AX279" s="2" t="str">
        <f t="shared" si="43"/>
        <v>null</v>
      </c>
      <c r="AY279" s="2" t="str">
        <f t="shared" si="44"/>
        <v>null</v>
      </c>
      <c r="AZ279" s="2" t="str">
        <f t="shared" si="45"/>
        <v>null</v>
      </c>
      <c r="BA279" s="6"/>
    </row>
    <row r="280" spans="1:53" x14ac:dyDescent="0.25">
      <c r="A280" s="2" t="s">
        <v>201</v>
      </c>
      <c r="B280" s="2">
        <v>2015</v>
      </c>
      <c r="C280" s="2">
        <v>27042.001950000002</v>
      </c>
      <c r="D280" s="2">
        <v>34.400001529999997</v>
      </c>
      <c r="E280" s="2">
        <v>51.176175209999997</v>
      </c>
      <c r="F280" s="2">
        <v>10.3714084</v>
      </c>
      <c r="G280" s="2">
        <v>26.513493149999999</v>
      </c>
      <c r="H280" s="2">
        <v>11.938923239999999</v>
      </c>
      <c r="I280" s="2">
        <v>35.97137876</v>
      </c>
      <c r="J280" s="2">
        <v>12.36707992</v>
      </c>
      <c r="K280" s="2">
        <v>34.814873949999999</v>
      </c>
      <c r="L280" s="2">
        <v>16.846667360000001</v>
      </c>
      <c r="M280" s="2">
        <v>80.171365829999999</v>
      </c>
      <c r="N280" s="2">
        <v>6.5657095710000002</v>
      </c>
      <c r="O280" s="2">
        <v>10.68295442</v>
      </c>
      <c r="P280" s="2">
        <v>2.5799701810000002</v>
      </c>
      <c r="Q280" s="2" t="str">
        <f t="shared" si="32"/>
        <v>Mozambique|2015</v>
      </c>
      <c r="R280" s="2">
        <f t="shared" si="33"/>
        <v>5</v>
      </c>
      <c r="T280" s="2">
        <f t="shared" si="34"/>
        <v>2.4386500840000012</v>
      </c>
      <c r="U280" s="2">
        <f t="shared" si="46"/>
        <v>2.5790615479999999</v>
      </c>
      <c r="V280" s="2">
        <f t="shared" si="35"/>
        <v>1.5627364180000001</v>
      </c>
      <c r="W280" s="2">
        <f t="shared" si="36"/>
        <v>51</v>
      </c>
      <c r="X280" s="2">
        <f t="shared" si="37"/>
        <v>36</v>
      </c>
      <c r="Y280" s="2">
        <f t="shared" si="38"/>
        <v>80</v>
      </c>
      <c r="Z280" s="2" t="str">
        <f t="shared" si="39"/>
        <v/>
      </c>
      <c r="AA280" s="2" t="str">
        <f t="shared" si="40"/>
        <v/>
      </c>
      <c r="AB280" s="2" t="str">
        <f t="shared" si="41"/>
        <v>Fully Accessible</v>
      </c>
      <c r="AC280" s="2">
        <f t="shared" si="42"/>
        <v>1.0163251299999998</v>
      </c>
      <c r="AO280" s="6"/>
      <c r="AP280" s="6"/>
      <c r="AQ280" s="6"/>
      <c r="AS280" s="6"/>
      <c r="AT280" s="6"/>
      <c r="AU280" s="6"/>
      <c r="AX280" s="2">
        <f t="shared" si="43"/>
        <v>58297.4375</v>
      </c>
      <c r="AY280" s="2">
        <f t="shared" si="44"/>
        <v>71.473999029999987</v>
      </c>
      <c r="AZ280" s="2">
        <f t="shared" si="45"/>
        <v>58225.96350097</v>
      </c>
      <c r="BA280" s="6"/>
    </row>
    <row r="281" spans="1:53" x14ac:dyDescent="0.25">
      <c r="A281" s="2" t="s">
        <v>201</v>
      </c>
      <c r="B281" s="2">
        <v>2020</v>
      </c>
      <c r="C281" s="2">
        <v>31255.435549999998</v>
      </c>
      <c r="D281" s="2">
        <v>37.073997499999997</v>
      </c>
      <c r="E281" s="2">
        <v>63.369425630000002</v>
      </c>
      <c r="F281" s="2">
        <v>9.9757845070000002</v>
      </c>
      <c r="G281" s="2">
        <v>16.726145110000001</v>
      </c>
      <c r="H281" s="2">
        <v>9.9286447590000009</v>
      </c>
      <c r="I281" s="2">
        <v>48.8666865</v>
      </c>
      <c r="J281" s="2">
        <v>12.64088359</v>
      </c>
      <c r="K281" s="2">
        <v>23.686256400000001</v>
      </c>
      <c r="L281" s="2">
        <v>14.80617352</v>
      </c>
      <c r="M281" s="2">
        <v>87.98504792</v>
      </c>
      <c r="N281" s="2">
        <v>5.4522910270000002</v>
      </c>
      <c r="O281" s="2">
        <v>4.9126846439999996</v>
      </c>
      <c r="P281" s="2">
        <v>1.649976404</v>
      </c>
      <c r="Q281" s="2" t="str">
        <f t="shared" si="32"/>
        <v>Mozambique|2020</v>
      </c>
      <c r="R281" s="2" t="str">
        <f t="shared" si="33"/>
        <v xml:space="preserve"> </v>
      </c>
      <c r="T281" s="2" t="b">
        <f t="shared" si="34"/>
        <v>0</v>
      </c>
      <c r="U281" s="2" t="b">
        <f t="shared" si="46"/>
        <v>0</v>
      </c>
      <c r="V281" s="2" t="b">
        <f t="shared" si="35"/>
        <v>0</v>
      </c>
      <c r="W281" s="2">
        <f t="shared" si="36"/>
        <v>63</v>
      </c>
      <c r="X281" s="2">
        <f t="shared" si="37"/>
        <v>49</v>
      </c>
      <c r="Y281" s="2">
        <f t="shared" si="38"/>
        <v>88</v>
      </c>
      <c r="Z281" s="2" t="str">
        <f t="shared" si="39"/>
        <v/>
      </c>
      <c r="AA281" s="2" t="str">
        <f t="shared" si="40"/>
        <v/>
      </c>
      <c r="AB281" s="2" t="str">
        <f t="shared" si="41"/>
        <v/>
      </c>
      <c r="AC281" s="2">
        <f t="shared" si="42"/>
        <v>0</v>
      </c>
      <c r="AO281" s="6"/>
      <c r="AP281" s="6"/>
      <c r="AQ281" s="6"/>
      <c r="AS281" s="6"/>
      <c r="AT281" s="6"/>
      <c r="AU281" s="6"/>
      <c r="AX281" s="2" t="str">
        <f t="shared" si="43"/>
        <v>null</v>
      </c>
      <c r="AY281" s="2" t="str">
        <f t="shared" si="44"/>
        <v>null</v>
      </c>
      <c r="AZ281" s="2" t="str">
        <f t="shared" si="45"/>
        <v>null</v>
      </c>
      <c r="BA281" s="6"/>
    </row>
    <row r="282" spans="1:53" x14ac:dyDescent="0.25">
      <c r="A282" s="2" t="s">
        <v>202</v>
      </c>
      <c r="B282" s="2">
        <v>2015</v>
      </c>
      <c r="C282" s="2">
        <v>52680.722659999999</v>
      </c>
      <c r="D282" s="2">
        <v>29.857999800000002</v>
      </c>
      <c r="E282" s="2">
        <v>73.587470499999995</v>
      </c>
      <c r="F282" s="2">
        <v>6.8355322689999998</v>
      </c>
      <c r="G282" s="2">
        <v>8.269037119</v>
      </c>
      <c r="H282" s="2">
        <v>11.30796011</v>
      </c>
      <c r="I282" s="2">
        <v>67.249613539999999</v>
      </c>
      <c r="J282" s="2">
        <v>8.0422803540000007</v>
      </c>
      <c r="K282" s="2">
        <v>10.1459869</v>
      </c>
      <c r="L282" s="2">
        <v>14.562119210000001</v>
      </c>
      <c r="M282" s="2">
        <v>88.476276290000001</v>
      </c>
      <c r="N282" s="2">
        <v>4.0006563789999996</v>
      </c>
      <c r="O282" s="2">
        <v>3.859732696</v>
      </c>
      <c r="P282" s="2">
        <v>3.6633346320000002</v>
      </c>
      <c r="Q282" s="2" t="str">
        <f t="shared" si="32"/>
        <v>Myanmar|2015</v>
      </c>
      <c r="R282" s="2">
        <f t="shared" si="33"/>
        <v>5</v>
      </c>
      <c r="T282" s="2">
        <f t="shared" si="34"/>
        <v>2.0261442820000015</v>
      </c>
      <c r="U282" s="2">
        <f t="shared" si="46"/>
        <v>2.2345902300000007</v>
      </c>
      <c r="V282" s="2">
        <f t="shared" si="35"/>
        <v>1.3903219540000009</v>
      </c>
      <c r="W282" s="2">
        <f t="shared" si="36"/>
        <v>74</v>
      </c>
      <c r="X282" s="2">
        <f t="shared" si="37"/>
        <v>67</v>
      </c>
      <c r="Y282" s="2">
        <f t="shared" si="38"/>
        <v>88</v>
      </c>
      <c r="Z282" s="2" t="str">
        <f t="shared" si="39"/>
        <v/>
      </c>
      <c r="AA282" s="2" t="str">
        <f t="shared" si="40"/>
        <v/>
      </c>
      <c r="AB282" s="2" t="str">
        <f t="shared" si="41"/>
        <v>Fully Accessible</v>
      </c>
      <c r="AC282" s="2">
        <f t="shared" si="42"/>
        <v>0.84426827599999976</v>
      </c>
      <c r="AO282" s="6"/>
      <c r="AP282" s="6"/>
      <c r="AQ282" s="6"/>
      <c r="AS282" s="6"/>
      <c r="AT282" s="6"/>
      <c r="AU282" s="6"/>
      <c r="AX282" s="2">
        <f t="shared" si="43"/>
        <v>107090.51563000001</v>
      </c>
      <c r="AY282" s="2">
        <f t="shared" si="44"/>
        <v>60.999000550000005</v>
      </c>
      <c r="AZ282" s="2">
        <f t="shared" si="45"/>
        <v>107029.51662945001</v>
      </c>
      <c r="BA282" s="16"/>
    </row>
    <row r="283" spans="1:53" x14ac:dyDescent="0.25">
      <c r="A283" s="2" t="s">
        <v>202</v>
      </c>
      <c r="B283" s="2">
        <v>2020</v>
      </c>
      <c r="C283" s="2">
        <v>54409.792970000002</v>
      </c>
      <c r="D283" s="2">
        <v>31.14100075</v>
      </c>
      <c r="E283" s="2">
        <v>83.718191910000002</v>
      </c>
      <c r="F283" s="2">
        <v>1.595436949</v>
      </c>
      <c r="G283" s="2">
        <v>5.1094247800000003</v>
      </c>
      <c r="H283" s="2">
        <v>9.5769463619999993</v>
      </c>
      <c r="I283" s="2">
        <v>78.422564690000002</v>
      </c>
      <c r="J283" s="2">
        <v>2.3169621419999999</v>
      </c>
      <c r="K283" s="2">
        <v>6.5923936940000001</v>
      </c>
      <c r="L283" s="2">
        <v>12.66807947</v>
      </c>
      <c r="M283" s="2">
        <v>95.427886060000006</v>
      </c>
      <c r="N283" s="2">
        <v>0</v>
      </c>
      <c r="O283" s="2">
        <v>1.8302830059999999</v>
      </c>
      <c r="P283" s="2">
        <v>2.741830931</v>
      </c>
      <c r="Q283" s="2" t="str">
        <f t="shared" si="32"/>
        <v>Myanmar|2020</v>
      </c>
      <c r="R283" s="2" t="str">
        <f t="shared" si="33"/>
        <v xml:space="preserve"> </v>
      </c>
      <c r="T283" s="2" t="b">
        <f t="shared" si="34"/>
        <v>0</v>
      </c>
      <c r="U283" s="2" t="b">
        <f t="shared" si="46"/>
        <v>0</v>
      </c>
      <c r="V283" s="2" t="b">
        <f t="shared" si="35"/>
        <v>0</v>
      </c>
      <c r="W283" s="2">
        <f t="shared" si="36"/>
        <v>84</v>
      </c>
      <c r="X283" s="2">
        <f t="shared" si="37"/>
        <v>78</v>
      </c>
      <c r="Y283" s="2">
        <f t="shared" si="38"/>
        <v>95</v>
      </c>
      <c r="Z283" s="2" t="str">
        <f t="shared" si="39"/>
        <v/>
      </c>
      <c r="AA283" s="2" t="str">
        <f t="shared" si="40"/>
        <v/>
      </c>
      <c r="AB283" s="2" t="str">
        <f t="shared" si="41"/>
        <v/>
      </c>
      <c r="AC283" s="2">
        <f t="shared" si="42"/>
        <v>0</v>
      </c>
      <c r="AO283" s="6"/>
      <c r="AP283" s="6"/>
      <c r="AQ283" s="6"/>
      <c r="AS283" s="6"/>
      <c r="AT283" s="6"/>
      <c r="AU283" s="6"/>
      <c r="AX283" s="2" t="str">
        <f t="shared" si="43"/>
        <v>null</v>
      </c>
      <c r="AY283" s="2" t="str">
        <f t="shared" si="44"/>
        <v>null</v>
      </c>
      <c r="AZ283" s="2" t="str">
        <f t="shared" si="45"/>
        <v>null</v>
      </c>
      <c r="BA283" s="6"/>
    </row>
    <row r="284" spans="1:53" x14ac:dyDescent="0.25">
      <c r="A284" s="2" t="s">
        <v>203</v>
      </c>
      <c r="B284" s="2">
        <v>2015</v>
      </c>
      <c r="C284" s="2">
        <v>2314.9008789999998</v>
      </c>
      <c r="D284" s="2">
        <v>46.90000534</v>
      </c>
      <c r="E284" s="2">
        <v>82.524135150000006</v>
      </c>
      <c r="F284" s="2">
        <v>7.2754761539999997</v>
      </c>
      <c r="G284" s="2">
        <v>4.4164614110000002</v>
      </c>
      <c r="H284" s="2">
        <v>5.7839272810000004</v>
      </c>
      <c r="I284" s="2">
        <v>70.141031380000001</v>
      </c>
      <c r="J284" s="2">
        <v>11.72007222</v>
      </c>
      <c r="K284" s="2">
        <v>7.6143896370000004</v>
      </c>
      <c r="L284" s="2">
        <v>10.52450676</v>
      </c>
      <c r="M284" s="2">
        <v>96.544235619999995</v>
      </c>
      <c r="N284" s="2">
        <v>2.2433222979999998</v>
      </c>
      <c r="O284" s="2">
        <v>0.79577988889999995</v>
      </c>
      <c r="P284" s="2">
        <v>0.41666219110000002</v>
      </c>
      <c r="Q284" s="2" t="str">
        <f t="shared" si="32"/>
        <v>Namibia|2015</v>
      </c>
      <c r="R284" s="2">
        <f t="shared" si="33"/>
        <v>5</v>
      </c>
      <c r="T284" s="2">
        <f t="shared" si="34"/>
        <v>0.34918022599999859</v>
      </c>
      <c r="U284" s="2">
        <f t="shared" si="46"/>
        <v>0.22302721000000075</v>
      </c>
      <c r="V284" s="2">
        <f t="shared" si="35"/>
        <v>-5.5454053999997657E-2</v>
      </c>
      <c r="W284" s="2">
        <f t="shared" si="36"/>
        <v>83</v>
      </c>
      <c r="X284" s="2">
        <f t="shared" si="37"/>
        <v>70</v>
      </c>
      <c r="Y284" s="2">
        <f t="shared" si="38"/>
        <v>97</v>
      </c>
      <c r="Z284" s="2" t="str">
        <f t="shared" si="39"/>
        <v/>
      </c>
      <c r="AA284" s="2" t="str">
        <f t="shared" si="40"/>
        <v/>
      </c>
      <c r="AB284" s="2" t="str">
        <f t="shared" si="41"/>
        <v>Fully Accessible</v>
      </c>
      <c r="AC284" s="2">
        <f t="shared" si="42"/>
        <v>0.2784812639999984</v>
      </c>
      <c r="AO284" s="6"/>
      <c r="AP284" s="6"/>
      <c r="AQ284" s="6"/>
      <c r="AS284" s="6"/>
      <c r="AT284" s="6"/>
      <c r="AU284" s="6"/>
      <c r="AX284" s="2">
        <f t="shared" si="43"/>
        <v>4855.8168949999999</v>
      </c>
      <c r="AY284" s="2">
        <f t="shared" si="44"/>
        <v>98.933006290000009</v>
      </c>
      <c r="AZ284" s="2">
        <f t="shared" si="45"/>
        <v>4756.8838887100001</v>
      </c>
      <c r="BA284" s="16"/>
    </row>
    <row r="285" spans="1:53" x14ac:dyDescent="0.25">
      <c r="A285" s="2" t="s">
        <v>203</v>
      </c>
      <c r="B285" s="2">
        <v>2020</v>
      </c>
      <c r="C285" s="2">
        <v>2540.9160160000001</v>
      </c>
      <c r="D285" s="2">
        <v>52.033000950000002</v>
      </c>
      <c r="E285" s="2">
        <v>84.270036279999999</v>
      </c>
      <c r="F285" s="2">
        <v>7.0876275099999999</v>
      </c>
      <c r="G285" s="2">
        <v>3.740143722</v>
      </c>
      <c r="H285" s="2">
        <v>4.9021924849999996</v>
      </c>
      <c r="I285" s="2">
        <v>71.256167430000005</v>
      </c>
      <c r="J285" s="2">
        <v>11.97218925</v>
      </c>
      <c r="K285" s="2">
        <v>7.0818037589999996</v>
      </c>
      <c r="L285" s="2">
        <v>9.6898395629999996</v>
      </c>
      <c r="M285" s="2">
        <v>96.266965350000007</v>
      </c>
      <c r="N285" s="2">
        <v>2.5847589649999998</v>
      </c>
      <c r="O285" s="2">
        <v>0.65961026379999999</v>
      </c>
      <c r="P285" s="2">
        <v>0.4886654211</v>
      </c>
      <c r="Q285" s="2" t="str">
        <f t="shared" si="32"/>
        <v>Namibia|2020</v>
      </c>
      <c r="R285" s="2" t="str">
        <f t="shared" si="33"/>
        <v xml:space="preserve"> </v>
      </c>
      <c r="T285" s="2" t="b">
        <f t="shared" si="34"/>
        <v>0</v>
      </c>
      <c r="U285" s="2" t="b">
        <f t="shared" si="46"/>
        <v>0</v>
      </c>
      <c r="V285" s="2" t="b">
        <f t="shared" si="35"/>
        <v>0</v>
      </c>
      <c r="W285" s="2">
        <f t="shared" si="36"/>
        <v>84</v>
      </c>
      <c r="X285" s="2">
        <f t="shared" si="37"/>
        <v>71</v>
      </c>
      <c r="Y285" s="2">
        <f t="shared" si="38"/>
        <v>96</v>
      </c>
      <c r="Z285" s="2" t="str">
        <f t="shared" si="39"/>
        <v/>
      </c>
      <c r="AA285" s="2" t="str">
        <f t="shared" si="40"/>
        <v/>
      </c>
      <c r="AB285" s="2" t="str">
        <f t="shared" si="41"/>
        <v/>
      </c>
      <c r="AC285" s="2">
        <f t="shared" si="42"/>
        <v>0</v>
      </c>
      <c r="AO285" s="6"/>
      <c r="AP285" s="6"/>
      <c r="AQ285" s="6"/>
      <c r="AS285" s="6"/>
      <c r="AT285" s="6"/>
      <c r="AU285" s="6"/>
      <c r="AX285" s="2" t="str">
        <f t="shared" si="43"/>
        <v>null</v>
      </c>
      <c r="AY285" s="2" t="str">
        <f t="shared" si="44"/>
        <v>null</v>
      </c>
      <c r="AZ285" s="2" t="str">
        <f t="shared" si="45"/>
        <v>null</v>
      </c>
      <c r="BA285" s="16"/>
    </row>
    <row r="286" spans="1:53" x14ac:dyDescent="0.25">
      <c r="A286" s="2" t="s">
        <v>204</v>
      </c>
      <c r="B286" s="2">
        <v>2015</v>
      </c>
      <c r="C286" s="2">
        <v>10.373999599999999</v>
      </c>
      <c r="D286" s="2">
        <v>100</v>
      </c>
      <c r="E286" s="2">
        <v>100</v>
      </c>
      <c r="F286" s="2">
        <v>0</v>
      </c>
      <c r="G286" s="2">
        <v>0</v>
      </c>
      <c r="H286" s="2">
        <v>0</v>
      </c>
      <c r="I286" s="2" t="s">
        <v>64</v>
      </c>
      <c r="J286" s="2" t="s">
        <v>64</v>
      </c>
      <c r="K286" s="2" t="s">
        <v>64</v>
      </c>
      <c r="L286" s="2" t="s">
        <v>64</v>
      </c>
      <c r="M286" s="2">
        <v>100</v>
      </c>
      <c r="N286" s="2">
        <v>0</v>
      </c>
      <c r="O286" s="2">
        <v>0</v>
      </c>
      <c r="P286" s="2">
        <v>0</v>
      </c>
      <c r="Q286" s="2" t="str">
        <f t="shared" si="32"/>
        <v>Nauru|2015</v>
      </c>
      <c r="R286" s="2">
        <f t="shared" si="33"/>
        <v>5</v>
      </c>
      <c r="T286" s="2">
        <f t="shared" si="34"/>
        <v>0</v>
      </c>
      <c r="U286" s="2" t="str">
        <f t="shared" si="46"/>
        <v>null</v>
      </c>
      <c r="V286" s="2">
        <f t="shared" si="35"/>
        <v>0</v>
      </c>
      <c r="W286" s="2">
        <f t="shared" si="36"/>
        <v>100</v>
      </c>
      <c r="X286" s="2" t="b">
        <f t="shared" si="37"/>
        <v>0</v>
      </c>
      <c r="Y286" s="2">
        <f t="shared" si="38"/>
        <v>100</v>
      </c>
      <c r="Z286" s="2" t="str">
        <f t="shared" si="39"/>
        <v/>
      </c>
      <c r="AA286" s="2" t="str">
        <f t="shared" si="40"/>
        <v>Fully Accessible</v>
      </c>
      <c r="AB286" s="2" t="str">
        <f t="shared" si="41"/>
        <v>Fully Accessible</v>
      </c>
      <c r="AC286" s="2" t="b">
        <f t="shared" si="42"/>
        <v>0</v>
      </c>
      <c r="AO286" s="6"/>
      <c r="AP286" s="6"/>
      <c r="AQ286" s="6"/>
      <c r="AS286" s="6"/>
      <c r="AT286" s="6"/>
      <c r="AU286" s="6"/>
      <c r="AX286" s="2">
        <f t="shared" si="43"/>
        <v>21.207999229999999</v>
      </c>
      <c r="AY286" s="2">
        <f t="shared" si="44"/>
        <v>200</v>
      </c>
      <c r="AZ286" s="2">
        <f t="shared" si="45"/>
        <v>-178.79200077000002</v>
      </c>
      <c r="BA286" s="6"/>
    </row>
    <row r="287" spans="1:53" x14ac:dyDescent="0.25">
      <c r="A287" s="2" t="s">
        <v>204</v>
      </c>
      <c r="B287" s="2">
        <v>2020</v>
      </c>
      <c r="C287" s="2">
        <v>10.833999629999999</v>
      </c>
      <c r="D287" s="2">
        <v>100</v>
      </c>
      <c r="E287" s="2">
        <v>100</v>
      </c>
      <c r="F287" s="2">
        <v>0</v>
      </c>
      <c r="G287" s="2">
        <v>0</v>
      </c>
      <c r="H287" s="2">
        <v>0</v>
      </c>
      <c r="I287" s="2" t="s">
        <v>64</v>
      </c>
      <c r="J287" s="2" t="s">
        <v>64</v>
      </c>
      <c r="K287" s="2" t="s">
        <v>64</v>
      </c>
      <c r="L287" s="2" t="s">
        <v>64</v>
      </c>
      <c r="M287" s="2">
        <v>100</v>
      </c>
      <c r="N287" s="2">
        <v>0</v>
      </c>
      <c r="O287" s="2">
        <v>0</v>
      </c>
      <c r="P287" s="2">
        <v>0</v>
      </c>
      <c r="Q287" s="2" t="str">
        <f t="shared" si="32"/>
        <v>Nauru|2020</v>
      </c>
      <c r="R287" s="2" t="str">
        <f t="shared" si="33"/>
        <v xml:space="preserve"> </v>
      </c>
      <c r="T287" s="2" t="b">
        <f t="shared" si="34"/>
        <v>0</v>
      </c>
      <c r="U287" s="2" t="b">
        <f t="shared" si="46"/>
        <v>0</v>
      </c>
      <c r="V287" s="2" t="b">
        <f t="shared" si="35"/>
        <v>0</v>
      </c>
      <c r="W287" s="2">
        <f t="shared" si="36"/>
        <v>100</v>
      </c>
      <c r="X287" s="2" t="b">
        <f t="shared" si="37"/>
        <v>0</v>
      </c>
      <c r="Y287" s="2">
        <f t="shared" si="38"/>
        <v>100</v>
      </c>
      <c r="Z287" s="2" t="str">
        <f t="shared" si="39"/>
        <v/>
      </c>
      <c r="AA287" s="2" t="str">
        <f t="shared" si="40"/>
        <v/>
      </c>
      <c r="AB287" s="2" t="str">
        <f t="shared" si="41"/>
        <v/>
      </c>
      <c r="AC287" s="2">
        <f t="shared" si="42"/>
        <v>0</v>
      </c>
      <c r="AO287" s="6"/>
      <c r="AP287" s="6"/>
      <c r="AQ287" s="6"/>
      <c r="AS287" s="6"/>
      <c r="AT287" s="6"/>
      <c r="AU287" s="6"/>
      <c r="AX287" s="2" t="str">
        <f t="shared" si="43"/>
        <v>null</v>
      </c>
      <c r="AY287" s="2" t="str">
        <f t="shared" si="44"/>
        <v>null</v>
      </c>
      <c r="AZ287" s="2" t="str">
        <f t="shared" si="45"/>
        <v>null</v>
      </c>
      <c r="BA287" s="6"/>
    </row>
    <row r="288" spans="1:53" x14ac:dyDescent="0.25">
      <c r="A288" s="2" t="s">
        <v>205</v>
      </c>
      <c r="B288" s="2">
        <v>2015</v>
      </c>
      <c r="C288" s="2">
        <v>27015.033200000002</v>
      </c>
      <c r="D288" s="2">
        <v>18.556999210000001</v>
      </c>
      <c r="E288" s="2">
        <v>87.808467590000006</v>
      </c>
      <c r="F288" s="2">
        <v>3.1679044589999998</v>
      </c>
      <c r="G288" s="2">
        <v>7.2642085280000002</v>
      </c>
      <c r="H288" s="2">
        <v>1.759419423</v>
      </c>
      <c r="I288" s="2">
        <v>87.241979639999997</v>
      </c>
      <c r="J288" s="2">
        <v>3.3102712580000002</v>
      </c>
      <c r="K288" s="2">
        <v>7.5313174839999997</v>
      </c>
      <c r="L288" s="2">
        <v>1.9164316180000001</v>
      </c>
      <c r="M288" s="2">
        <v>90.294671100000002</v>
      </c>
      <c r="N288" s="2">
        <v>2.5430847519999999</v>
      </c>
      <c r="O288" s="2">
        <v>6.091920182</v>
      </c>
      <c r="P288" s="2">
        <v>1.07032397</v>
      </c>
      <c r="Q288" s="2" t="str">
        <f t="shared" si="32"/>
        <v>Nepal|2015</v>
      </c>
      <c r="R288" s="2">
        <f t="shared" si="33"/>
        <v>5</v>
      </c>
      <c r="T288" s="2">
        <f t="shared" si="34"/>
        <v>0.45321483999999829</v>
      </c>
      <c r="U288" s="2">
        <f t="shared" si="46"/>
        <v>0.59225840200000168</v>
      </c>
      <c r="V288" s="2">
        <f t="shared" si="35"/>
        <v>-0.14340758799999948</v>
      </c>
      <c r="W288" s="2">
        <f t="shared" si="36"/>
        <v>88</v>
      </c>
      <c r="X288" s="2">
        <f t="shared" si="37"/>
        <v>87</v>
      </c>
      <c r="Y288" s="2">
        <f t="shared" si="38"/>
        <v>90</v>
      </c>
      <c r="Z288" s="2" t="str">
        <f t="shared" si="39"/>
        <v/>
      </c>
      <c r="AA288" s="2" t="str">
        <f t="shared" si="40"/>
        <v/>
      </c>
      <c r="AB288" s="2" t="str">
        <f t="shared" si="41"/>
        <v>Fully Accessible</v>
      </c>
      <c r="AC288" s="2">
        <f t="shared" si="42"/>
        <v>0.7356659900000011</v>
      </c>
      <c r="AO288" s="6"/>
      <c r="AP288" s="6"/>
      <c r="AQ288" s="6"/>
      <c r="AS288" s="6"/>
      <c r="AT288" s="6"/>
      <c r="AU288" s="6"/>
      <c r="AX288" s="2">
        <f t="shared" si="43"/>
        <v>56151.841790000006</v>
      </c>
      <c r="AY288" s="2">
        <f t="shared" si="44"/>
        <v>39.132999420000004</v>
      </c>
      <c r="AZ288" s="2">
        <f t="shared" si="45"/>
        <v>56112.708790580007</v>
      </c>
      <c r="BA288" s="6"/>
    </row>
    <row r="289" spans="1:53" x14ac:dyDescent="0.25">
      <c r="A289" s="2" t="s">
        <v>205</v>
      </c>
      <c r="B289" s="2">
        <v>2020</v>
      </c>
      <c r="C289" s="2">
        <v>29136.808590000001</v>
      </c>
      <c r="D289" s="2">
        <v>20.57600021</v>
      </c>
      <c r="E289" s="2">
        <v>90.074541789999998</v>
      </c>
      <c r="F289" s="2">
        <v>3.979825725</v>
      </c>
      <c r="G289" s="2">
        <v>4.699081176</v>
      </c>
      <c r="H289" s="2">
        <v>1.246551314</v>
      </c>
      <c r="I289" s="2">
        <v>90.203271650000005</v>
      </c>
      <c r="J289" s="2">
        <v>4.2073482459999996</v>
      </c>
      <c r="K289" s="2">
        <v>4.2690239510000003</v>
      </c>
      <c r="L289" s="2">
        <v>1.320356149</v>
      </c>
      <c r="M289" s="2">
        <v>89.577633160000005</v>
      </c>
      <c r="N289" s="2">
        <v>3.1015814110000002</v>
      </c>
      <c r="O289" s="2">
        <v>6.359123168</v>
      </c>
      <c r="P289" s="2">
        <v>0.96166225849999998</v>
      </c>
      <c r="Q289" s="2" t="str">
        <f t="shared" si="32"/>
        <v>Nepal|2020</v>
      </c>
      <c r="R289" s="2" t="str">
        <f t="shared" si="33"/>
        <v xml:space="preserve"> </v>
      </c>
      <c r="T289" s="2" t="b">
        <f t="shared" si="34"/>
        <v>0</v>
      </c>
      <c r="U289" s="2" t="b">
        <f t="shared" si="46"/>
        <v>0</v>
      </c>
      <c r="V289" s="2" t="b">
        <f t="shared" si="35"/>
        <v>0</v>
      </c>
      <c r="W289" s="2">
        <f t="shared" si="36"/>
        <v>90</v>
      </c>
      <c r="X289" s="2">
        <f t="shared" si="37"/>
        <v>90</v>
      </c>
      <c r="Y289" s="2">
        <f t="shared" si="38"/>
        <v>90</v>
      </c>
      <c r="Z289" s="2" t="str">
        <f t="shared" si="39"/>
        <v/>
      </c>
      <c r="AA289" s="2" t="str">
        <f t="shared" si="40"/>
        <v/>
      </c>
      <c r="AB289" s="2" t="str">
        <f t="shared" si="41"/>
        <v/>
      </c>
      <c r="AC289" s="2">
        <f t="shared" si="42"/>
        <v>0</v>
      </c>
      <c r="AO289" s="6"/>
      <c r="AP289" s="6"/>
      <c r="AQ289" s="6"/>
      <c r="AS289" s="6"/>
      <c r="AT289" s="6"/>
      <c r="AU289" s="6"/>
      <c r="AX289" s="2" t="str">
        <f t="shared" si="43"/>
        <v>null</v>
      </c>
      <c r="AY289" s="2" t="str">
        <f t="shared" si="44"/>
        <v>null</v>
      </c>
      <c r="AZ289" s="2" t="str">
        <f t="shared" si="45"/>
        <v>null</v>
      </c>
      <c r="BA289" s="6"/>
    </row>
    <row r="290" spans="1:53" x14ac:dyDescent="0.25">
      <c r="A290" s="2" t="s">
        <v>206</v>
      </c>
      <c r="B290" s="2">
        <v>2015</v>
      </c>
      <c r="C290" s="2">
        <v>16938.492190000001</v>
      </c>
      <c r="D290" s="2">
        <v>90.172996519999998</v>
      </c>
      <c r="E290" s="2">
        <v>99.999998559999995</v>
      </c>
      <c r="F290" s="2">
        <v>0</v>
      </c>
      <c r="G290" s="2">
        <v>1.441336238E-6</v>
      </c>
      <c r="H290" s="2">
        <v>0</v>
      </c>
      <c r="I290" s="2">
        <v>100</v>
      </c>
      <c r="J290" s="2">
        <v>0</v>
      </c>
      <c r="K290" s="2">
        <v>0</v>
      </c>
      <c r="L290" s="2">
        <v>0</v>
      </c>
      <c r="M290" s="2">
        <v>100</v>
      </c>
      <c r="N290" s="2">
        <v>0</v>
      </c>
      <c r="O290" s="2">
        <v>0</v>
      </c>
      <c r="P290" s="2">
        <v>0</v>
      </c>
      <c r="Q290" s="2" t="str">
        <f t="shared" si="32"/>
        <v>Netherlands|2015</v>
      </c>
      <c r="R290" s="2">
        <f t="shared" si="33"/>
        <v>5</v>
      </c>
      <c r="T290" s="2">
        <f t="shared" si="34"/>
        <v>1.4600000213249588E-7</v>
      </c>
      <c r="U290" s="2">
        <f t="shared" si="46"/>
        <v>0</v>
      </c>
      <c r="V290" s="2">
        <f t="shared" si="35"/>
        <v>0</v>
      </c>
      <c r="W290" s="2">
        <f t="shared" si="36"/>
        <v>100</v>
      </c>
      <c r="X290" s="2">
        <f t="shared" si="37"/>
        <v>100</v>
      </c>
      <c r="Y290" s="2">
        <f t="shared" si="38"/>
        <v>100</v>
      </c>
      <c r="Z290" s="2" t="str">
        <f t="shared" si="39"/>
        <v/>
      </c>
      <c r="AA290" s="2" t="str">
        <f t="shared" si="40"/>
        <v/>
      </c>
      <c r="AB290" s="2" t="str">
        <f t="shared" si="41"/>
        <v>Fully Accessible</v>
      </c>
      <c r="AC290" s="2">
        <f t="shared" si="42"/>
        <v>0</v>
      </c>
      <c r="AO290" s="6"/>
      <c r="AP290" s="6"/>
      <c r="AQ290" s="6"/>
      <c r="AS290" s="6"/>
      <c r="AT290" s="6"/>
      <c r="AU290" s="6"/>
      <c r="AX290" s="2">
        <f t="shared" si="43"/>
        <v>34073.365239999999</v>
      </c>
      <c r="AY290" s="2">
        <f t="shared" si="44"/>
        <v>182.40899658000001</v>
      </c>
      <c r="AZ290" s="2">
        <f t="shared" si="45"/>
        <v>33890.956243419998</v>
      </c>
      <c r="BA290" s="16"/>
    </row>
    <row r="291" spans="1:53" x14ac:dyDescent="0.25">
      <c r="A291" s="2" t="s">
        <v>206</v>
      </c>
      <c r="B291" s="2">
        <v>2020</v>
      </c>
      <c r="C291" s="2">
        <v>17134.873049999998</v>
      </c>
      <c r="D291" s="2">
        <v>92.236000059999995</v>
      </c>
      <c r="E291" s="2">
        <v>99.999999290000005</v>
      </c>
      <c r="F291" s="2">
        <v>0</v>
      </c>
      <c r="G291" s="2">
        <v>7.1240862099999999E-7</v>
      </c>
      <c r="H291" s="2">
        <v>0</v>
      </c>
      <c r="I291" s="2">
        <v>100</v>
      </c>
      <c r="J291" s="2">
        <v>0</v>
      </c>
      <c r="K291" s="2">
        <v>0</v>
      </c>
      <c r="L291" s="2">
        <v>0</v>
      </c>
      <c r="M291" s="2">
        <v>100</v>
      </c>
      <c r="N291" s="2">
        <v>0</v>
      </c>
      <c r="O291" s="2">
        <v>0</v>
      </c>
      <c r="P291" s="2">
        <v>0</v>
      </c>
      <c r="Q291" s="2" t="str">
        <f t="shared" si="32"/>
        <v>Netherlands|2020</v>
      </c>
      <c r="R291" s="2" t="str">
        <f t="shared" si="33"/>
        <v xml:space="preserve"> </v>
      </c>
      <c r="T291" s="2" t="b">
        <f t="shared" si="34"/>
        <v>0</v>
      </c>
      <c r="U291" s="2" t="b">
        <f t="shared" si="46"/>
        <v>0</v>
      </c>
      <c r="V291" s="2" t="b">
        <f t="shared" si="35"/>
        <v>0</v>
      </c>
      <c r="W291" s="2">
        <f t="shared" si="36"/>
        <v>100</v>
      </c>
      <c r="X291" s="2">
        <f t="shared" si="37"/>
        <v>100</v>
      </c>
      <c r="Y291" s="2">
        <f t="shared" si="38"/>
        <v>100</v>
      </c>
      <c r="Z291" s="2" t="str">
        <f t="shared" si="39"/>
        <v/>
      </c>
      <c r="AA291" s="2" t="str">
        <f t="shared" si="40"/>
        <v/>
      </c>
      <c r="AB291" s="2" t="str">
        <f t="shared" si="41"/>
        <v/>
      </c>
      <c r="AC291" s="2">
        <f t="shared" si="42"/>
        <v>0</v>
      </c>
      <c r="AO291" s="6"/>
      <c r="AP291" s="6"/>
      <c r="AQ291" s="6"/>
      <c r="AS291" s="6"/>
      <c r="AT291" s="6"/>
      <c r="AU291" s="6"/>
      <c r="AX291" s="2" t="str">
        <f t="shared" si="43"/>
        <v>null</v>
      </c>
      <c r="AY291" s="2" t="str">
        <f t="shared" si="44"/>
        <v>null</v>
      </c>
      <c r="AZ291" s="2" t="str">
        <f t="shared" si="45"/>
        <v>null</v>
      </c>
      <c r="BA291" s="6"/>
    </row>
    <row r="292" spans="1:53" x14ac:dyDescent="0.25">
      <c r="A292" s="2" t="s">
        <v>207</v>
      </c>
      <c r="B292" s="2">
        <v>2015</v>
      </c>
      <c r="C292" s="2">
        <v>271.06201170000003</v>
      </c>
      <c r="D292" s="2">
        <v>69.379005430000007</v>
      </c>
      <c r="E292" s="2">
        <v>98.138558489999994</v>
      </c>
      <c r="F292" s="2">
        <v>0</v>
      </c>
      <c r="G292" s="2">
        <v>1.861441508</v>
      </c>
      <c r="H292" s="2">
        <v>0</v>
      </c>
      <c r="I292" s="2" t="s">
        <v>64</v>
      </c>
      <c r="J292" s="2" t="s">
        <v>64</v>
      </c>
      <c r="K292" s="2" t="s">
        <v>64</v>
      </c>
      <c r="L292" s="2" t="s">
        <v>64</v>
      </c>
      <c r="M292" s="2" t="s">
        <v>64</v>
      </c>
      <c r="N292" s="2" t="s">
        <v>64</v>
      </c>
      <c r="O292" s="2" t="s">
        <v>64</v>
      </c>
      <c r="P292" s="2" t="s">
        <v>64</v>
      </c>
      <c r="Q292" s="2" t="str">
        <f t="shared" si="32"/>
        <v>New Caledonia|2015</v>
      </c>
      <c r="R292" s="2">
        <f t="shared" si="33"/>
        <v>5</v>
      </c>
      <c r="T292" s="2">
        <f t="shared" si="34"/>
        <v>0.23335241600000245</v>
      </c>
      <c r="U292" s="2" t="str">
        <f t="shared" si="46"/>
        <v>null</v>
      </c>
      <c r="V292" s="2" t="str">
        <f t="shared" si="35"/>
        <v>null</v>
      </c>
      <c r="W292" s="2">
        <f t="shared" si="36"/>
        <v>98</v>
      </c>
      <c r="X292" s="2" t="b">
        <f t="shared" si="37"/>
        <v>0</v>
      </c>
      <c r="Y292" s="2" t="b">
        <f t="shared" si="38"/>
        <v>0</v>
      </c>
      <c r="Z292" s="2" t="str">
        <f t="shared" si="39"/>
        <v/>
      </c>
      <c r="AA292" s="2" t="str">
        <f t="shared" si="40"/>
        <v>Fully Accessible</v>
      </c>
      <c r="AB292" s="2" t="str">
        <f t="shared" si="41"/>
        <v>Fully Accessible</v>
      </c>
      <c r="AC292" s="2" t="b">
        <f t="shared" si="42"/>
        <v>0</v>
      </c>
      <c r="AO292" s="6"/>
      <c r="AP292" s="6"/>
      <c r="AQ292" s="6"/>
      <c r="AS292" s="6"/>
      <c r="AT292" s="6"/>
      <c r="AU292" s="6"/>
      <c r="AX292" s="2">
        <f t="shared" si="43"/>
        <v>556.55300899999997</v>
      </c>
      <c r="AY292" s="2">
        <f t="shared" si="44"/>
        <v>140.89700317</v>
      </c>
      <c r="AZ292" s="2">
        <f t="shared" si="45"/>
        <v>415.65600582999997</v>
      </c>
      <c r="BA292" s="16"/>
    </row>
    <row r="293" spans="1:53" x14ac:dyDescent="0.25">
      <c r="A293" s="2" t="s">
        <v>207</v>
      </c>
      <c r="B293" s="2">
        <v>2020</v>
      </c>
      <c r="C293" s="2">
        <v>285.4909973</v>
      </c>
      <c r="D293" s="2">
        <v>71.517997739999998</v>
      </c>
      <c r="E293" s="2">
        <v>99.305320570000006</v>
      </c>
      <c r="F293" s="2">
        <v>0</v>
      </c>
      <c r="G293" s="2">
        <v>0.69467942780000003</v>
      </c>
      <c r="H293" s="2">
        <v>0</v>
      </c>
      <c r="I293" s="2" t="s">
        <v>64</v>
      </c>
      <c r="J293" s="2" t="s">
        <v>64</v>
      </c>
      <c r="K293" s="2" t="s">
        <v>64</v>
      </c>
      <c r="L293" s="2" t="s">
        <v>64</v>
      </c>
      <c r="M293" s="2" t="s">
        <v>64</v>
      </c>
      <c r="N293" s="2" t="s">
        <v>64</v>
      </c>
      <c r="O293" s="2" t="s">
        <v>64</v>
      </c>
      <c r="P293" s="2" t="s">
        <v>64</v>
      </c>
      <c r="Q293" s="2" t="str">
        <f t="shared" si="32"/>
        <v>New Caledonia|2020</v>
      </c>
      <c r="R293" s="2" t="str">
        <f t="shared" si="33"/>
        <v xml:space="preserve"> </v>
      </c>
      <c r="T293" s="2" t="b">
        <f t="shared" si="34"/>
        <v>0</v>
      </c>
      <c r="U293" s="2" t="b">
        <f t="shared" si="46"/>
        <v>0</v>
      </c>
      <c r="V293" s="2" t="b">
        <f t="shared" si="35"/>
        <v>0</v>
      </c>
      <c r="W293" s="2">
        <f t="shared" si="36"/>
        <v>99</v>
      </c>
      <c r="X293" s="2" t="b">
        <f t="shared" si="37"/>
        <v>0</v>
      </c>
      <c r="Y293" s="2" t="b">
        <f t="shared" si="38"/>
        <v>0</v>
      </c>
      <c r="Z293" s="2" t="str">
        <f t="shared" si="39"/>
        <v/>
      </c>
      <c r="AA293" s="2" t="str">
        <f t="shared" si="40"/>
        <v/>
      </c>
      <c r="AB293" s="2" t="str">
        <f t="shared" si="41"/>
        <v/>
      </c>
      <c r="AC293" s="2">
        <f t="shared" si="42"/>
        <v>0</v>
      </c>
      <c r="AO293" s="6"/>
      <c r="AP293" s="6"/>
      <c r="AQ293" s="6"/>
      <c r="AS293" s="6"/>
      <c r="AT293" s="6"/>
      <c r="AU293" s="6"/>
      <c r="AX293" s="2" t="str">
        <f t="shared" si="43"/>
        <v>null</v>
      </c>
      <c r="AY293" s="2" t="str">
        <f t="shared" si="44"/>
        <v>null</v>
      </c>
      <c r="AZ293" s="2" t="str">
        <f t="shared" si="45"/>
        <v>null</v>
      </c>
      <c r="BA293" s="16"/>
    </row>
    <row r="294" spans="1:53" x14ac:dyDescent="0.25">
      <c r="A294" s="2" t="s">
        <v>208</v>
      </c>
      <c r="B294" s="2">
        <v>2015</v>
      </c>
      <c r="C294" s="2">
        <v>4614.5268550000001</v>
      </c>
      <c r="D294" s="2">
        <v>86.340995789999994</v>
      </c>
      <c r="E294" s="2">
        <v>99.999997350000001</v>
      </c>
      <c r="F294" s="2">
        <v>0</v>
      </c>
      <c r="G294" s="2">
        <v>2.6453484029999998E-6</v>
      </c>
      <c r="H294" s="2">
        <v>0</v>
      </c>
      <c r="I294" s="2">
        <v>100</v>
      </c>
      <c r="J294" s="2">
        <v>0</v>
      </c>
      <c r="K294" s="2">
        <v>0</v>
      </c>
      <c r="L294" s="2">
        <v>0</v>
      </c>
      <c r="M294" s="2">
        <v>100</v>
      </c>
      <c r="N294" s="2">
        <v>0</v>
      </c>
      <c r="O294" s="2">
        <v>0</v>
      </c>
      <c r="P294" s="2">
        <v>0</v>
      </c>
      <c r="Q294" s="2" t="str">
        <f t="shared" si="32"/>
        <v>New Zealand|2015</v>
      </c>
      <c r="R294" s="2">
        <f t="shared" si="33"/>
        <v>5</v>
      </c>
      <c r="T294" s="2">
        <f t="shared" si="34"/>
        <v>7.8999999857387589E-7</v>
      </c>
      <c r="U294" s="2">
        <f t="shared" si="46"/>
        <v>0</v>
      </c>
      <c r="V294" s="2">
        <f t="shared" si="35"/>
        <v>0</v>
      </c>
      <c r="W294" s="2">
        <f t="shared" si="36"/>
        <v>100</v>
      </c>
      <c r="X294" s="2">
        <f t="shared" si="37"/>
        <v>100</v>
      </c>
      <c r="Y294" s="2">
        <f t="shared" si="38"/>
        <v>100</v>
      </c>
      <c r="Z294" s="2" t="str">
        <f t="shared" si="39"/>
        <v/>
      </c>
      <c r="AA294" s="2" t="str">
        <f t="shared" si="40"/>
        <v/>
      </c>
      <c r="AB294" s="2" t="str">
        <f t="shared" si="41"/>
        <v>Fully Accessible</v>
      </c>
      <c r="AC294" s="2">
        <f t="shared" si="42"/>
        <v>0</v>
      </c>
      <c r="AO294" s="6"/>
      <c r="AP294" s="6"/>
      <c r="AQ294" s="6"/>
      <c r="AS294" s="6"/>
      <c r="AT294" s="6"/>
      <c r="AU294" s="6"/>
      <c r="AX294" s="2">
        <f t="shared" si="43"/>
        <v>9436.7597649999989</v>
      </c>
      <c r="AY294" s="2">
        <f t="shared" si="44"/>
        <v>173.03999328999998</v>
      </c>
      <c r="AZ294" s="2">
        <f t="shared" si="45"/>
        <v>9263.7197717099989</v>
      </c>
      <c r="BA294" s="6"/>
    </row>
    <row r="295" spans="1:53" x14ac:dyDescent="0.25">
      <c r="A295" s="2" t="s">
        <v>208</v>
      </c>
      <c r="B295" s="2">
        <v>2020</v>
      </c>
      <c r="C295" s="2">
        <v>4822.2329099999997</v>
      </c>
      <c r="D295" s="2">
        <v>86.698997500000004</v>
      </c>
      <c r="E295" s="2">
        <v>100.00000129999999</v>
      </c>
      <c r="F295" s="2">
        <v>0</v>
      </c>
      <c r="G295" s="2">
        <v>0</v>
      </c>
      <c r="H295" s="2">
        <v>0</v>
      </c>
      <c r="I295" s="2">
        <v>100</v>
      </c>
      <c r="J295" s="2">
        <v>0</v>
      </c>
      <c r="K295" s="2">
        <v>0</v>
      </c>
      <c r="L295" s="2">
        <v>0</v>
      </c>
      <c r="M295" s="2">
        <v>100</v>
      </c>
      <c r="N295" s="2">
        <v>0</v>
      </c>
      <c r="O295" s="2">
        <v>0</v>
      </c>
      <c r="P295" s="2">
        <v>0</v>
      </c>
      <c r="Q295" s="2" t="str">
        <f t="shared" si="32"/>
        <v>New Zealand|2020</v>
      </c>
      <c r="R295" s="2" t="str">
        <f t="shared" si="33"/>
        <v xml:space="preserve"> </v>
      </c>
      <c r="T295" s="2" t="b">
        <f t="shared" si="34"/>
        <v>0</v>
      </c>
      <c r="U295" s="2" t="b">
        <f t="shared" si="46"/>
        <v>0</v>
      </c>
      <c r="V295" s="2" t="b">
        <f t="shared" si="35"/>
        <v>0</v>
      </c>
      <c r="W295" s="2">
        <f t="shared" si="36"/>
        <v>100</v>
      </c>
      <c r="X295" s="2">
        <f t="shared" si="37"/>
        <v>100</v>
      </c>
      <c r="Y295" s="2">
        <f t="shared" si="38"/>
        <v>100</v>
      </c>
      <c r="Z295" s="2" t="str">
        <f t="shared" si="39"/>
        <v/>
      </c>
      <c r="AA295" s="2" t="str">
        <f t="shared" si="40"/>
        <v/>
      </c>
      <c r="AB295" s="2" t="str">
        <f t="shared" si="41"/>
        <v/>
      </c>
      <c r="AC295" s="2">
        <f t="shared" si="42"/>
        <v>0</v>
      </c>
      <c r="AO295" s="6"/>
      <c r="AP295" s="6"/>
      <c r="AQ295" s="6"/>
      <c r="AS295" s="6"/>
      <c r="AT295" s="6"/>
      <c r="AU295" s="6"/>
      <c r="AX295" s="2" t="str">
        <f t="shared" si="43"/>
        <v>null</v>
      </c>
      <c r="AY295" s="2" t="str">
        <f t="shared" si="44"/>
        <v>null</v>
      </c>
      <c r="AZ295" s="2" t="str">
        <f t="shared" si="45"/>
        <v>null</v>
      </c>
      <c r="BA295" s="6"/>
    </row>
    <row r="296" spans="1:53" x14ac:dyDescent="0.25">
      <c r="A296" s="2" t="s">
        <v>209</v>
      </c>
      <c r="B296" s="2">
        <v>2015</v>
      </c>
      <c r="C296" s="2">
        <v>6223.2338870000003</v>
      </c>
      <c r="D296" s="2">
        <v>57.894996640000002</v>
      </c>
      <c r="E296" s="2">
        <v>81.35312854</v>
      </c>
      <c r="F296" s="2">
        <v>1.4259273880000001</v>
      </c>
      <c r="G296" s="2">
        <v>13.835758999999999</v>
      </c>
      <c r="H296" s="2">
        <v>3.3851850699999999</v>
      </c>
      <c r="I296" s="2">
        <v>59.50465784</v>
      </c>
      <c r="J296" s="2">
        <v>3.2389618649999998</v>
      </c>
      <c r="K296" s="2">
        <v>29.55960602</v>
      </c>
      <c r="L296" s="2">
        <v>7.6967742709999998</v>
      </c>
      <c r="M296" s="2">
        <v>97.242754880000007</v>
      </c>
      <c r="N296" s="2">
        <v>0.1073710103</v>
      </c>
      <c r="O296" s="2">
        <v>2.4003566219999999</v>
      </c>
      <c r="P296" s="2">
        <v>0.24951748460000001</v>
      </c>
      <c r="Q296" s="2" t="str">
        <f t="shared" si="32"/>
        <v>Nicaragua|2015</v>
      </c>
      <c r="R296" s="2">
        <f t="shared" si="33"/>
        <v>5</v>
      </c>
      <c r="T296" s="2">
        <f t="shared" si="34"/>
        <v>7.11250519999993E-2</v>
      </c>
      <c r="U296" s="2">
        <f t="shared" si="46"/>
        <v>-7.9442242000000357E-2</v>
      </c>
      <c r="V296" s="2">
        <f t="shared" si="35"/>
        <v>3.2840345999997564E-2</v>
      </c>
      <c r="W296" s="2">
        <f t="shared" si="36"/>
        <v>81</v>
      </c>
      <c r="X296" s="2">
        <f t="shared" si="37"/>
        <v>60</v>
      </c>
      <c r="Y296" s="2">
        <f t="shared" si="38"/>
        <v>97</v>
      </c>
      <c r="Z296" s="2" t="str">
        <f t="shared" si="39"/>
        <v/>
      </c>
      <c r="AA296" s="2" t="str">
        <f t="shared" si="40"/>
        <v/>
      </c>
      <c r="AB296" s="2" t="str">
        <f t="shared" si="41"/>
        <v>Fully Accessible</v>
      </c>
      <c r="AC296" s="2">
        <f t="shared" si="42"/>
        <v>-0.11228258799999792</v>
      </c>
      <c r="AO296" s="6"/>
      <c r="AP296" s="6"/>
      <c r="AQ296" s="6"/>
      <c r="AS296" s="6"/>
      <c r="AT296" s="6"/>
      <c r="AU296" s="6"/>
      <c r="AX296" s="2">
        <f t="shared" si="43"/>
        <v>12847.788086</v>
      </c>
      <c r="AY296" s="2">
        <f t="shared" si="44"/>
        <v>116.90699768</v>
      </c>
      <c r="AZ296" s="2">
        <f t="shared" si="45"/>
        <v>12730.88108832</v>
      </c>
      <c r="BA296" s="6"/>
    </row>
    <row r="297" spans="1:53" x14ac:dyDescent="0.25">
      <c r="A297" s="2" t="s">
        <v>209</v>
      </c>
      <c r="B297" s="2">
        <v>2020</v>
      </c>
      <c r="C297" s="2">
        <v>6624.5541990000002</v>
      </c>
      <c r="D297" s="2">
        <v>59.012001040000001</v>
      </c>
      <c r="E297" s="2">
        <v>81.708753799999997</v>
      </c>
      <c r="F297" s="2">
        <v>1.506645682</v>
      </c>
      <c r="G297" s="2">
        <v>13.530531140000001</v>
      </c>
      <c r="H297" s="2">
        <v>3.2540693780000001</v>
      </c>
      <c r="I297" s="2">
        <v>59.107446629999998</v>
      </c>
      <c r="J297" s="2">
        <v>3.5209742849999999</v>
      </c>
      <c r="K297" s="2">
        <v>29.780173680000001</v>
      </c>
      <c r="L297" s="2">
        <v>7.5914054000000002</v>
      </c>
      <c r="M297" s="2">
        <v>97.406956609999995</v>
      </c>
      <c r="N297" s="2">
        <v>0.10755231429999999</v>
      </c>
      <c r="O297" s="2">
        <v>2.244007656</v>
      </c>
      <c r="P297" s="2">
        <v>0.24148342289999999</v>
      </c>
      <c r="Q297" s="2" t="str">
        <f t="shared" si="32"/>
        <v>Nicaragua|2020</v>
      </c>
      <c r="R297" s="2" t="str">
        <f t="shared" si="33"/>
        <v xml:space="preserve"> </v>
      </c>
      <c r="T297" s="2" t="b">
        <f t="shared" si="34"/>
        <v>0</v>
      </c>
      <c r="U297" s="2" t="b">
        <f t="shared" si="46"/>
        <v>0</v>
      </c>
      <c r="V297" s="2" t="b">
        <f t="shared" si="35"/>
        <v>0</v>
      </c>
      <c r="W297" s="2">
        <f t="shared" si="36"/>
        <v>82</v>
      </c>
      <c r="X297" s="2">
        <f t="shared" si="37"/>
        <v>59</v>
      </c>
      <c r="Y297" s="2">
        <f t="shared" si="38"/>
        <v>97</v>
      </c>
      <c r="Z297" s="2" t="str">
        <f t="shared" si="39"/>
        <v/>
      </c>
      <c r="AA297" s="2" t="str">
        <f t="shared" si="40"/>
        <v/>
      </c>
      <c r="AB297" s="2" t="str">
        <f t="shared" si="41"/>
        <v/>
      </c>
      <c r="AC297" s="2">
        <f t="shared" si="42"/>
        <v>0</v>
      </c>
      <c r="AO297" s="6"/>
      <c r="AP297" s="6"/>
      <c r="AQ297" s="6"/>
      <c r="AS297" s="6"/>
      <c r="AT297" s="6"/>
      <c r="AU297" s="6"/>
      <c r="AX297" s="2" t="str">
        <f t="shared" si="43"/>
        <v>null</v>
      </c>
      <c r="AY297" s="2" t="str">
        <f t="shared" si="44"/>
        <v>null</v>
      </c>
      <c r="AZ297" s="2" t="str">
        <f t="shared" si="45"/>
        <v>null</v>
      </c>
      <c r="BA297" s="6"/>
    </row>
    <row r="298" spans="1:53" x14ac:dyDescent="0.25">
      <c r="A298" s="2" t="s">
        <v>210</v>
      </c>
      <c r="B298" s="2">
        <v>2015</v>
      </c>
      <c r="C298" s="2">
        <v>20001.662110000001</v>
      </c>
      <c r="D298" s="2">
        <v>16.24699974</v>
      </c>
      <c r="E298" s="2">
        <v>45.482458059999999</v>
      </c>
      <c r="F298" s="2">
        <v>16.128836960000001</v>
      </c>
      <c r="G298" s="2">
        <v>34.719560010000002</v>
      </c>
      <c r="H298" s="2">
        <v>3.6691449719999998</v>
      </c>
      <c r="I298" s="2">
        <v>37.329941650000002</v>
      </c>
      <c r="J298" s="2">
        <v>17.64359486</v>
      </c>
      <c r="K298" s="2">
        <v>40.888487750000003</v>
      </c>
      <c r="L298" s="2">
        <v>4.1379757509999999</v>
      </c>
      <c r="M298" s="2">
        <v>87.508539040000002</v>
      </c>
      <c r="N298" s="2">
        <v>8.3202861959999996</v>
      </c>
      <c r="O298" s="2">
        <v>2.918844344</v>
      </c>
      <c r="P298" s="2">
        <v>1.252330425</v>
      </c>
      <c r="Q298" s="2" t="str">
        <f t="shared" si="32"/>
        <v>Niger|2015</v>
      </c>
      <c r="R298" s="2">
        <f t="shared" si="33"/>
        <v>5</v>
      </c>
      <c r="T298" s="2">
        <f t="shared" si="34"/>
        <v>0.28586788200000085</v>
      </c>
      <c r="U298" s="2">
        <f t="shared" si="46"/>
        <v>0.36484353399999919</v>
      </c>
      <c r="V298" s="2">
        <f t="shared" si="35"/>
        <v>-0.33893985600000176</v>
      </c>
      <c r="W298" s="2">
        <f t="shared" si="36"/>
        <v>45</v>
      </c>
      <c r="X298" s="2">
        <f t="shared" si="37"/>
        <v>37</v>
      </c>
      <c r="Y298" s="2">
        <f t="shared" si="38"/>
        <v>88</v>
      </c>
      <c r="Z298" s="2" t="str">
        <f t="shared" si="39"/>
        <v/>
      </c>
      <c r="AA298" s="2" t="str">
        <f t="shared" si="40"/>
        <v/>
      </c>
      <c r="AB298" s="2" t="str">
        <f t="shared" si="41"/>
        <v>Fully Accessible</v>
      </c>
      <c r="AC298" s="2">
        <f t="shared" si="42"/>
        <v>0.70378339000000101</v>
      </c>
      <c r="AO298" s="6"/>
      <c r="AP298" s="6"/>
      <c r="AQ298" s="6"/>
      <c r="AS298" s="6"/>
      <c r="AT298" s="6"/>
      <c r="AU298" s="6"/>
      <c r="AX298" s="2">
        <f t="shared" si="43"/>
        <v>44208.29883</v>
      </c>
      <c r="AY298" s="2">
        <f t="shared" si="44"/>
        <v>32.872999190000002</v>
      </c>
      <c r="AZ298" s="2">
        <f t="shared" si="45"/>
        <v>44175.425830809996</v>
      </c>
      <c r="BA298" s="16"/>
    </row>
    <row r="299" spans="1:53" x14ac:dyDescent="0.25">
      <c r="A299" s="2" t="s">
        <v>210</v>
      </c>
      <c r="B299" s="2">
        <v>2020</v>
      </c>
      <c r="C299" s="2">
        <v>24206.636719999999</v>
      </c>
      <c r="D299" s="2">
        <v>16.625999449999998</v>
      </c>
      <c r="E299" s="2">
        <v>46.911797470000003</v>
      </c>
      <c r="F299" s="2">
        <v>21.653898699999999</v>
      </c>
      <c r="G299" s="2">
        <v>27.027512439999999</v>
      </c>
      <c r="H299" s="2">
        <v>4.4067913919999997</v>
      </c>
      <c r="I299" s="2">
        <v>39.154159319999998</v>
      </c>
      <c r="J299" s="2">
        <v>23.987740389999999</v>
      </c>
      <c r="K299" s="2">
        <v>31.991506480000002</v>
      </c>
      <c r="L299" s="2">
        <v>4.8665938129999997</v>
      </c>
      <c r="M299" s="2">
        <v>85.813839759999993</v>
      </c>
      <c r="N299" s="2">
        <v>9.9504408289999997</v>
      </c>
      <c r="O299" s="2">
        <v>2.1346877800000001</v>
      </c>
      <c r="P299" s="2">
        <v>2.1010316339999999</v>
      </c>
      <c r="Q299" s="2" t="str">
        <f t="shared" si="32"/>
        <v>Niger|2020</v>
      </c>
      <c r="R299" s="2" t="str">
        <f t="shared" si="33"/>
        <v xml:space="preserve"> </v>
      </c>
      <c r="T299" s="2" t="b">
        <f t="shared" si="34"/>
        <v>0</v>
      </c>
      <c r="U299" s="2" t="b">
        <f t="shared" si="46"/>
        <v>0</v>
      </c>
      <c r="V299" s="2" t="b">
        <f t="shared" si="35"/>
        <v>0</v>
      </c>
      <c r="W299" s="2">
        <f t="shared" si="36"/>
        <v>47</v>
      </c>
      <c r="X299" s="2">
        <f t="shared" si="37"/>
        <v>39</v>
      </c>
      <c r="Y299" s="2">
        <f t="shared" si="38"/>
        <v>86</v>
      </c>
      <c r="Z299" s="2" t="str">
        <f t="shared" si="39"/>
        <v/>
      </c>
      <c r="AA299" s="2" t="str">
        <f t="shared" si="40"/>
        <v/>
      </c>
      <c r="AB299" s="2" t="str">
        <f t="shared" si="41"/>
        <v/>
      </c>
      <c r="AC299" s="2">
        <f t="shared" si="42"/>
        <v>0</v>
      </c>
      <c r="AO299" s="6"/>
      <c r="AP299" s="6"/>
      <c r="AQ299" s="6"/>
      <c r="AS299" s="6"/>
      <c r="AT299" s="6"/>
      <c r="AU299" s="6"/>
      <c r="AX299" s="2" t="str">
        <f t="shared" si="43"/>
        <v>null</v>
      </c>
      <c r="AY299" s="2" t="str">
        <f t="shared" si="44"/>
        <v>null</v>
      </c>
      <c r="AZ299" s="2" t="str">
        <f t="shared" si="45"/>
        <v>null</v>
      </c>
      <c r="BA299" s="6"/>
    </row>
    <row r="300" spans="1:53" x14ac:dyDescent="0.25">
      <c r="A300" s="2" t="s">
        <v>211</v>
      </c>
      <c r="B300" s="2">
        <v>2015</v>
      </c>
      <c r="C300" s="2">
        <v>181137.45310000001</v>
      </c>
      <c r="D300" s="2">
        <v>47.837997440000002</v>
      </c>
      <c r="E300" s="2">
        <v>68.779755460000004</v>
      </c>
      <c r="F300" s="2">
        <v>6.7135509960000004</v>
      </c>
      <c r="G300" s="2">
        <v>14.733762459999999</v>
      </c>
      <c r="H300" s="2">
        <v>9.7729310859999998</v>
      </c>
      <c r="I300" s="2">
        <v>53.492449000000001</v>
      </c>
      <c r="J300" s="2">
        <v>7.1064402710000003</v>
      </c>
      <c r="K300" s="2">
        <v>23.107160100000002</v>
      </c>
      <c r="L300" s="2">
        <v>16.29395062</v>
      </c>
      <c r="M300" s="2">
        <v>85.448858319999999</v>
      </c>
      <c r="N300" s="2">
        <v>6.2851490559999998</v>
      </c>
      <c r="O300" s="2">
        <v>5.6035061180000003</v>
      </c>
      <c r="P300" s="2">
        <v>2.6624865010000001</v>
      </c>
      <c r="Q300" s="2" t="str">
        <f t="shared" si="32"/>
        <v>Nigeria|2015</v>
      </c>
      <c r="R300" s="2">
        <f t="shared" si="33"/>
        <v>5</v>
      </c>
      <c r="T300" s="2">
        <f t="shared" si="34"/>
        <v>1.7658595840000004</v>
      </c>
      <c r="U300" s="2">
        <f t="shared" si="46"/>
        <v>1.6331522059999997</v>
      </c>
      <c r="V300" s="2">
        <f t="shared" si="35"/>
        <v>1.381769374000001</v>
      </c>
      <c r="W300" s="2">
        <f t="shared" si="36"/>
        <v>69</v>
      </c>
      <c r="X300" s="2">
        <f t="shared" si="37"/>
        <v>53</v>
      </c>
      <c r="Y300" s="2">
        <f t="shared" si="38"/>
        <v>85</v>
      </c>
      <c r="Z300" s="2" t="str">
        <f t="shared" si="39"/>
        <v/>
      </c>
      <c r="AA300" s="2" t="str">
        <f t="shared" si="40"/>
        <v/>
      </c>
      <c r="AB300" s="2" t="str">
        <f t="shared" si="41"/>
        <v>Fully Accessible</v>
      </c>
      <c r="AC300" s="2">
        <f t="shared" si="42"/>
        <v>0.25138283199999867</v>
      </c>
      <c r="AO300" s="6"/>
      <c r="AP300" s="6"/>
      <c r="AQ300" s="6"/>
      <c r="AS300" s="6"/>
      <c r="AT300" s="6"/>
      <c r="AU300" s="6"/>
      <c r="AX300" s="2">
        <f t="shared" si="43"/>
        <v>387277.04690000002</v>
      </c>
      <c r="AY300" s="2">
        <f t="shared" si="44"/>
        <v>99.795997620000009</v>
      </c>
      <c r="AZ300" s="2">
        <f t="shared" si="45"/>
        <v>387177.25090238004</v>
      </c>
      <c r="BA300" s="16"/>
    </row>
    <row r="301" spans="1:53" x14ac:dyDescent="0.25">
      <c r="A301" s="2" t="s">
        <v>211</v>
      </c>
      <c r="B301" s="2">
        <v>2020</v>
      </c>
      <c r="C301" s="2">
        <v>206139.5938</v>
      </c>
      <c r="D301" s="2">
        <v>51.958000179999999</v>
      </c>
      <c r="E301" s="2">
        <v>77.609053380000006</v>
      </c>
      <c r="F301" s="2">
        <v>4.9793993429999999</v>
      </c>
      <c r="G301" s="2">
        <v>11.79691148</v>
      </c>
      <c r="H301" s="2">
        <v>5.6146357939999998</v>
      </c>
      <c r="I301" s="2">
        <v>61.658210029999999</v>
      </c>
      <c r="J301" s="2">
        <v>7.1289245829999999</v>
      </c>
      <c r="K301" s="2">
        <v>20.924875350000001</v>
      </c>
      <c r="L301" s="2">
        <v>10.28799004</v>
      </c>
      <c r="M301" s="2">
        <v>92.357705190000004</v>
      </c>
      <c r="N301" s="2">
        <v>2.9918806500000001</v>
      </c>
      <c r="O301" s="2">
        <v>3.356908786</v>
      </c>
      <c r="P301" s="2">
        <v>1.2935053700000001</v>
      </c>
      <c r="Q301" s="2" t="str">
        <f t="shared" si="32"/>
        <v>Nigeria|2020</v>
      </c>
      <c r="R301" s="2" t="str">
        <f t="shared" si="33"/>
        <v xml:space="preserve"> </v>
      </c>
      <c r="T301" s="2" t="b">
        <f t="shared" si="34"/>
        <v>0</v>
      </c>
      <c r="U301" s="2" t="b">
        <f t="shared" si="46"/>
        <v>0</v>
      </c>
      <c r="V301" s="2" t="b">
        <f t="shared" si="35"/>
        <v>0</v>
      </c>
      <c r="W301" s="2">
        <f t="shared" si="36"/>
        <v>78</v>
      </c>
      <c r="X301" s="2">
        <f t="shared" si="37"/>
        <v>62</v>
      </c>
      <c r="Y301" s="2">
        <f t="shared" si="38"/>
        <v>92</v>
      </c>
      <c r="Z301" s="2" t="str">
        <f t="shared" si="39"/>
        <v/>
      </c>
      <c r="AA301" s="2" t="str">
        <f t="shared" si="40"/>
        <v/>
      </c>
      <c r="AB301" s="2" t="str">
        <f t="shared" si="41"/>
        <v/>
      </c>
      <c r="AC301" s="2">
        <f t="shared" si="42"/>
        <v>0</v>
      </c>
      <c r="AO301" s="6"/>
      <c r="AP301" s="6"/>
      <c r="AQ301" s="6"/>
      <c r="AS301" s="6"/>
      <c r="AT301" s="6"/>
      <c r="AU301" s="6"/>
      <c r="AX301" s="2" t="str">
        <f t="shared" si="43"/>
        <v>null</v>
      </c>
      <c r="AY301" s="2" t="str">
        <f t="shared" si="44"/>
        <v>null</v>
      </c>
      <c r="AZ301" s="2" t="str">
        <f t="shared" si="45"/>
        <v>null</v>
      </c>
      <c r="BA301" s="16"/>
    </row>
    <row r="302" spans="1:53" x14ac:dyDescent="0.25">
      <c r="A302" s="2" t="s">
        <v>212</v>
      </c>
      <c r="B302" s="2">
        <v>2015</v>
      </c>
      <c r="C302" s="2">
        <v>1.6100000139999999</v>
      </c>
      <c r="D302" s="2">
        <v>42.568000789999999</v>
      </c>
      <c r="E302" s="2">
        <v>97.606139409999997</v>
      </c>
      <c r="F302" s="2">
        <v>0</v>
      </c>
      <c r="G302" s="2">
        <v>2.393860594</v>
      </c>
      <c r="H302" s="2">
        <v>0</v>
      </c>
      <c r="I302" s="2" t="s">
        <v>64</v>
      </c>
      <c r="J302" s="2" t="s">
        <v>64</v>
      </c>
      <c r="K302" s="2" t="s">
        <v>64</v>
      </c>
      <c r="L302" s="2" t="s">
        <v>64</v>
      </c>
      <c r="M302" s="2" t="s">
        <v>64</v>
      </c>
      <c r="N302" s="2" t="s">
        <v>64</v>
      </c>
      <c r="O302" s="2" t="s">
        <v>64</v>
      </c>
      <c r="P302" s="2" t="s">
        <v>64</v>
      </c>
      <c r="Q302" s="2" t="str">
        <f t="shared" si="32"/>
        <v>Niue|2015</v>
      </c>
      <c r="R302" s="2">
        <f t="shared" si="33"/>
        <v>5</v>
      </c>
      <c r="T302" s="2">
        <f t="shared" si="34"/>
        <v>-0.1190526460000001</v>
      </c>
      <c r="U302" s="2" t="str">
        <f t="shared" si="46"/>
        <v>null</v>
      </c>
      <c r="V302" s="2" t="str">
        <f t="shared" si="35"/>
        <v>null</v>
      </c>
      <c r="W302" s="2">
        <f t="shared" si="36"/>
        <v>98</v>
      </c>
      <c r="X302" s="2" t="b">
        <f t="shared" si="37"/>
        <v>0</v>
      </c>
      <c r="Y302" s="2" t="b">
        <f t="shared" si="38"/>
        <v>0</v>
      </c>
      <c r="Z302" s="2" t="str">
        <f t="shared" si="39"/>
        <v/>
      </c>
      <c r="AA302" s="2" t="str">
        <f t="shared" si="40"/>
        <v>Fully Accessible</v>
      </c>
      <c r="AB302" s="2" t="str">
        <f t="shared" si="41"/>
        <v>Fully Accessible</v>
      </c>
      <c r="AC302" s="2" t="b">
        <f t="shared" si="42"/>
        <v>0</v>
      </c>
      <c r="AO302" s="6"/>
      <c r="AP302" s="6"/>
      <c r="AQ302" s="6"/>
      <c r="AS302" s="6"/>
      <c r="AT302" s="6"/>
      <c r="AU302" s="6"/>
      <c r="AX302" s="2">
        <f t="shared" si="43"/>
        <v>3.2280000449999999</v>
      </c>
      <c r="AY302" s="2">
        <f t="shared" si="44"/>
        <v>88.770004270000001</v>
      </c>
      <c r="AZ302" s="2">
        <f t="shared" si="45"/>
        <v>-85.542004224999999</v>
      </c>
      <c r="BA302" s="6"/>
    </row>
    <row r="303" spans="1:53" x14ac:dyDescent="0.25">
      <c r="A303" s="2" t="s">
        <v>212</v>
      </c>
      <c r="B303" s="2">
        <v>2020</v>
      </c>
      <c r="C303" s="2">
        <v>1.618000031</v>
      </c>
      <c r="D303" s="2">
        <v>46.202003480000002</v>
      </c>
      <c r="E303" s="2">
        <v>97.010876179999997</v>
      </c>
      <c r="F303" s="2">
        <v>0</v>
      </c>
      <c r="G303" s="2">
        <v>2.9891238219999998</v>
      </c>
      <c r="H303" s="2">
        <v>0</v>
      </c>
      <c r="I303" s="2" t="s">
        <v>64</v>
      </c>
      <c r="J303" s="2" t="s">
        <v>64</v>
      </c>
      <c r="K303" s="2" t="s">
        <v>64</v>
      </c>
      <c r="L303" s="2" t="s">
        <v>64</v>
      </c>
      <c r="M303" s="2" t="s">
        <v>64</v>
      </c>
      <c r="N303" s="2" t="s">
        <v>64</v>
      </c>
      <c r="O303" s="2" t="s">
        <v>64</v>
      </c>
      <c r="P303" s="2" t="s">
        <v>64</v>
      </c>
      <c r="Q303" s="2" t="str">
        <f t="shared" si="32"/>
        <v>Niue|2020</v>
      </c>
      <c r="R303" s="2" t="str">
        <f t="shared" si="33"/>
        <v xml:space="preserve"> </v>
      </c>
      <c r="T303" s="2" t="b">
        <f t="shared" si="34"/>
        <v>0</v>
      </c>
      <c r="U303" s="2" t="b">
        <f t="shared" si="46"/>
        <v>0</v>
      </c>
      <c r="V303" s="2" t="b">
        <f t="shared" si="35"/>
        <v>0</v>
      </c>
      <c r="W303" s="2">
        <f t="shared" si="36"/>
        <v>97</v>
      </c>
      <c r="X303" s="2" t="b">
        <f t="shared" si="37"/>
        <v>0</v>
      </c>
      <c r="Y303" s="2" t="b">
        <f t="shared" si="38"/>
        <v>0</v>
      </c>
      <c r="Z303" s="2" t="str">
        <f t="shared" si="39"/>
        <v/>
      </c>
      <c r="AA303" s="2" t="str">
        <f t="shared" si="40"/>
        <v/>
      </c>
      <c r="AB303" s="2" t="str">
        <f t="shared" si="41"/>
        <v/>
      </c>
      <c r="AC303" s="2">
        <f t="shared" si="42"/>
        <v>0</v>
      </c>
      <c r="AO303" s="6"/>
      <c r="AP303" s="6"/>
      <c r="AQ303" s="6"/>
      <c r="AS303" s="6"/>
      <c r="AT303" s="6"/>
      <c r="AU303" s="6"/>
      <c r="AX303" s="2" t="str">
        <f t="shared" si="43"/>
        <v>null</v>
      </c>
      <c r="AY303" s="2" t="str">
        <f t="shared" si="44"/>
        <v>null</v>
      </c>
      <c r="AZ303" s="2" t="str">
        <f t="shared" si="45"/>
        <v>null</v>
      </c>
      <c r="BA303" s="6"/>
    </row>
    <row r="304" spans="1:53" x14ac:dyDescent="0.25">
      <c r="A304" s="2" t="s">
        <v>213</v>
      </c>
      <c r="B304" s="2">
        <v>2015</v>
      </c>
      <c r="C304" s="2">
        <v>2079.334961</v>
      </c>
      <c r="D304" s="2">
        <v>57.407997129999998</v>
      </c>
      <c r="E304" s="2">
        <v>97.472332829999999</v>
      </c>
      <c r="F304" s="2">
        <v>1.8859917129999999</v>
      </c>
      <c r="G304" s="2">
        <v>0.59247317450000003</v>
      </c>
      <c r="H304" s="2">
        <v>4.9202279760000002E-2</v>
      </c>
      <c r="I304" s="2">
        <v>97.633233129999994</v>
      </c>
      <c r="J304" s="2">
        <v>1.2224645000000001</v>
      </c>
      <c r="K304" s="2">
        <v>1.0287823730000001</v>
      </c>
      <c r="L304" s="2">
        <v>0.11552</v>
      </c>
      <c r="M304" s="2">
        <v>97.352958079999993</v>
      </c>
      <c r="N304" s="2">
        <v>2.37827419</v>
      </c>
      <c r="O304" s="2">
        <v>0.2687677275</v>
      </c>
      <c r="P304" s="2">
        <v>0</v>
      </c>
      <c r="Q304" s="2" t="str">
        <f t="shared" si="32"/>
        <v>North Macedonia|2015</v>
      </c>
      <c r="R304" s="2">
        <f t="shared" si="33"/>
        <v>5</v>
      </c>
      <c r="T304" s="2">
        <f t="shared" si="34"/>
        <v>5.4096591999999076E-2</v>
      </c>
      <c r="U304" s="2">
        <f t="shared" si="46"/>
        <v>-3.2903711999998107E-2</v>
      </c>
      <c r="V304" s="2">
        <f t="shared" si="35"/>
        <v>0.11688898200000039</v>
      </c>
      <c r="W304" s="2">
        <f t="shared" si="36"/>
        <v>97</v>
      </c>
      <c r="X304" s="2">
        <f t="shared" si="37"/>
        <v>98</v>
      </c>
      <c r="Y304" s="2">
        <f t="shared" si="38"/>
        <v>97</v>
      </c>
      <c r="Z304" s="2" t="str">
        <f t="shared" si="39"/>
        <v/>
      </c>
      <c r="AA304" s="2" t="str">
        <f t="shared" si="40"/>
        <v/>
      </c>
      <c r="AB304" s="2" t="str">
        <f t="shared" si="41"/>
        <v>Fully Accessible</v>
      </c>
      <c r="AC304" s="2">
        <f t="shared" si="42"/>
        <v>-0.14979269399999851</v>
      </c>
      <c r="AO304" s="6"/>
      <c r="AP304" s="6"/>
      <c r="AQ304" s="6"/>
      <c r="AS304" s="6"/>
      <c r="AT304" s="6"/>
      <c r="AU304" s="6"/>
      <c r="AX304" s="2">
        <f t="shared" si="43"/>
        <v>4162.7148440000001</v>
      </c>
      <c r="AY304" s="2">
        <f t="shared" si="44"/>
        <v>115.88999557</v>
      </c>
      <c r="AZ304" s="2">
        <f t="shared" si="45"/>
        <v>4046.8248484300002</v>
      </c>
      <c r="BA304" s="6"/>
    </row>
    <row r="305" spans="1:53" x14ac:dyDescent="0.25">
      <c r="A305" s="2" t="s">
        <v>213</v>
      </c>
      <c r="B305" s="2">
        <v>2020</v>
      </c>
      <c r="C305" s="2">
        <v>2083.3798830000001</v>
      </c>
      <c r="D305" s="2">
        <v>58.481998439999998</v>
      </c>
      <c r="E305" s="2">
        <v>97.742815789999995</v>
      </c>
      <c r="F305" s="2">
        <v>1.6349941400000001</v>
      </c>
      <c r="G305" s="2">
        <v>0.57422847619999995</v>
      </c>
      <c r="H305" s="2">
        <v>4.796159706E-2</v>
      </c>
      <c r="I305" s="2">
        <v>97.468714570000003</v>
      </c>
      <c r="J305" s="2">
        <v>1.505202232</v>
      </c>
      <c r="K305" s="2">
        <v>0.91056319819999998</v>
      </c>
      <c r="L305" s="2">
        <v>0.11552</v>
      </c>
      <c r="M305" s="2">
        <v>97.937402989999995</v>
      </c>
      <c r="N305" s="2">
        <v>1.7271369539999999</v>
      </c>
      <c r="O305" s="2">
        <v>0.33546005629999998</v>
      </c>
      <c r="P305" s="2">
        <v>0</v>
      </c>
      <c r="Q305" s="2" t="str">
        <f t="shared" si="32"/>
        <v>North Macedonia|2020</v>
      </c>
      <c r="R305" s="2" t="str">
        <f t="shared" si="33"/>
        <v xml:space="preserve"> </v>
      </c>
      <c r="T305" s="2" t="b">
        <f t="shared" si="34"/>
        <v>0</v>
      </c>
      <c r="U305" s="2" t="b">
        <f t="shared" si="46"/>
        <v>0</v>
      </c>
      <c r="V305" s="2" t="b">
        <f t="shared" si="35"/>
        <v>0</v>
      </c>
      <c r="W305" s="2">
        <f t="shared" si="36"/>
        <v>98</v>
      </c>
      <c r="X305" s="2">
        <f t="shared" si="37"/>
        <v>97</v>
      </c>
      <c r="Y305" s="2">
        <f t="shared" si="38"/>
        <v>98</v>
      </c>
      <c r="Z305" s="2" t="str">
        <f t="shared" si="39"/>
        <v/>
      </c>
      <c r="AA305" s="2" t="str">
        <f t="shared" si="40"/>
        <v/>
      </c>
      <c r="AB305" s="2" t="str">
        <f t="shared" si="41"/>
        <v/>
      </c>
      <c r="AC305" s="2">
        <f t="shared" si="42"/>
        <v>0</v>
      </c>
      <c r="AO305" s="6"/>
      <c r="AP305" s="6"/>
      <c r="AQ305" s="6"/>
      <c r="AS305" s="6"/>
      <c r="AT305" s="6"/>
      <c r="AU305" s="6"/>
      <c r="AX305" s="2" t="str">
        <f t="shared" si="43"/>
        <v>null</v>
      </c>
      <c r="AY305" s="2" t="str">
        <f t="shared" si="44"/>
        <v>null</v>
      </c>
      <c r="AZ305" s="2" t="str">
        <f t="shared" si="45"/>
        <v>null</v>
      </c>
      <c r="BA305" s="6"/>
    </row>
    <row r="306" spans="1:53" x14ac:dyDescent="0.25">
      <c r="A306" s="2" t="s">
        <v>214</v>
      </c>
      <c r="B306" s="2">
        <v>2015</v>
      </c>
      <c r="C306" s="2">
        <v>55.778999329999998</v>
      </c>
      <c r="D306" s="2">
        <v>91.356994630000003</v>
      </c>
      <c r="E306" s="2">
        <v>99.980183389999993</v>
      </c>
      <c r="F306" s="2">
        <v>0</v>
      </c>
      <c r="G306" s="2">
        <v>1.9816611519999999E-2</v>
      </c>
      <c r="H306" s="2">
        <v>0</v>
      </c>
      <c r="I306" s="2" t="s">
        <v>64</v>
      </c>
      <c r="J306" s="2" t="s">
        <v>64</v>
      </c>
      <c r="K306" s="2" t="s">
        <v>64</v>
      </c>
      <c r="L306" s="2" t="s">
        <v>64</v>
      </c>
      <c r="M306" s="2" t="s">
        <v>64</v>
      </c>
      <c r="N306" s="2" t="s">
        <v>64</v>
      </c>
      <c r="O306" s="2" t="s">
        <v>64</v>
      </c>
      <c r="P306" s="2" t="s">
        <v>64</v>
      </c>
      <c r="Q306" s="2" t="str">
        <f t="shared" si="32"/>
        <v>Northern Mariana Islands|2015</v>
      </c>
      <c r="R306" s="2">
        <f t="shared" si="33"/>
        <v>5</v>
      </c>
      <c r="T306" s="2">
        <f t="shared" si="34"/>
        <v>3.9633220000013123E-3</v>
      </c>
      <c r="U306" s="2" t="str">
        <f t="shared" si="46"/>
        <v>null</v>
      </c>
      <c r="V306" s="2" t="str">
        <f t="shared" si="35"/>
        <v>null</v>
      </c>
      <c r="W306" s="2">
        <f t="shared" si="36"/>
        <v>100</v>
      </c>
      <c r="X306" s="2" t="b">
        <f t="shared" si="37"/>
        <v>0</v>
      </c>
      <c r="Y306" s="2" t="b">
        <f t="shared" si="38"/>
        <v>0</v>
      </c>
      <c r="Z306" s="2" t="str">
        <f t="shared" si="39"/>
        <v/>
      </c>
      <c r="AA306" s="2" t="str">
        <f t="shared" si="40"/>
        <v>Fully Accessible</v>
      </c>
      <c r="AB306" s="2" t="str">
        <f t="shared" si="41"/>
        <v>Fully Accessible</v>
      </c>
      <c r="AC306" s="2" t="b">
        <f t="shared" si="42"/>
        <v>0</v>
      </c>
      <c r="AO306" s="6"/>
      <c r="AP306" s="6"/>
      <c r="AQ306" s="6"/>
      <c r="AS306" s="6"/>
      <c r="AT306" s="6"/>
      <c r="AU306" s="6"/>
      <c r="AX306" s="2">
        <f t="shared" si="43"/>
        <v>113.33599853999999</v>
      </c>
      <c r="AY306" s="2">
        <f t="shared" si="44"/>
        <v>183.15499115</v>
      </c>
      <c r="AZ306" s="2">
        <f t="shared" si="45"/>
        <v>-69.818992610000009</v>
      </c>
      <c r="BA306" s="16"/>
    </row>
    <row r="307" spans="1:53" x14ac:dyDescent="0.25">
      <c r="A307" s="2" t="s">
        <v>214</v>
      </c>
      <c r="B307" s="2">
        <v>2020</v>
      </c>
      <c r="C307" s="2">
        <v>57.556999210000001</v>
      </c>
      <c r="D307" s="2">
        <v>91.797996519999998</v>
      </c>
      <c r="E307" s="2">
        <v>100</v>
      </c>
      <c r="F307" s="2">
        <v>0</v>
      </c>
      <c r="G307" s="2">
        <v>0</v>
      </c>
      <c r="H307" s="2">
        <v>0</v>
      </c>
      <c r="I307" s="2" t="s">
        <v>64</v>
      </c>
      <c r="J307" s="2" t="s">
        <v>64</v>
      </c>
      <c r="K307" s="2" t="s">
        <v>64</v>
      </c>
      <c r="L307" s="2" t="s">
        <v>64</v>
      </c>
      <c r="M307" s="2" t="s">
        <v>64</v>
      </c>
      <c r="N307" s="2" t="s">
        <v>64</v>
      </c>
      <c r="O307" s="2" t="s">
        <v>64</v>
      </c>
      <c r="P307" s="2" t="s">
        <v>64</v>
      </c>
      <c r="Q307" s="2" t="str">
        <f t="shared" si="32"/>
        <v>Northern Mariana Islands|2020</v>
      </c>
      <c r="R307" s="2" t="str">
        <f t="shared" si="33"/>
        <v xml:space="preserve"> </v>
      </c>
      <c r="T307" s="2" t="b">
        <f t="shared" si="34"/>
        <v>0</v>
      </c>
      <c r="U307" s="2" t="b">
        <f t="shared" si="46"/>
        <v>0</v>
      </c>
      <c r="V307" s="2" t="b">
        <f t="shared" si="35"/>
        <v>0</v>
      </c>
      <c r="W307" s="2">
        <f t="shared" si="36"/>
        <v>100</v>
      </c>
      <c r="X307" s="2" t="b">
        <f t="shared" si="37"/>
        <v>0</v>
      </c>
      <c r="Y307" s="2" t="b">
        <f t="shared" si="38"/>
        <v>0</v>
      </c>
      <c r="Z307" s="2" t="str">
        <f t="shared" si="39"/>
        <v/>
      </c>
      <c r="AA307" s="2" t="str">
        <f t="shared" si="40"/>
        <v/>
      </c>
      <c r="AB307" s="2" t="str">
        <f t="shared" si="41"/>
        <v/>
      </c>
      <c r="AC307" s="2">
        <f t="shared" si="42"/>
        <v>0</v>
      </c>
      <c r="AO307" s="6"/>
      <c r="AP307" s="6"/>
      <c r="AQ307" s="6"/>
      <c r="AS307" s="6"/>
      <c r="AT307" s="6"/>
      <c r="AU307" s="6"/>
      <c r="AX307" s="2" t="str">
        <f t="shared" si="43"/>
        <v>null</v>
      </c>
      <c r="AY307" s="2" t="str">
        <f t="shared" si="44"/>
        <v>null</v>
      </c>
      <c r="AZ307" s="2" t="str">
        <f t="shared" si="45"/>
        <v>null</v>
      </c>
      <c r="BA307" s="6"/>
    </row>
    <row r="308" spans="1:53" x14ac:dyDescent="0.25">
      <c r="A308" s="2" t="s">
        <v>215</v>
      </c>
      <c r="B308" s="2">
        <v>2015</v>
      </c>
      <c r="C308" s="2">
        <v>5199.8271480000003</v>
      </c>
      <c r="D308" s="2">
        <v>81.090995789999994</v>
      </c>
      <c r="E308" s="2">
        <v>100.0000012</v>
      </c>
      <c r="F308" s="2">
        <v>0</v>
      </c>
      <c r="G308" s="2">
        <v>0</v>
      </c>
      <c r="H308" s="2">
        <v>0</v>
      </c>
      <c r="I308" s="2">
        <v>100</v>
      </c>
      <c r="J308" s="2">
        <v>0</v>
      </c>
      <c r="K308" s="2">
        <v>0</v>
      </c>
      <c r="L308" s="2">
        <v>0</v>
      </c>
      <c r="M308" s="2">
        <v>100</v>
      </c>
      <c r="N308" s="2">
        <v>0</v>
      </c>
      <c r="O308" s="2">
        <v>0</v>
      </c>
      <c r="P308" s="2">
        <v>0</v>
      </c>
      <c r="Q308" s="2" t="str">
        <f t="shared" si="32"/>
        <v>Norway|2015</v>
      </c>
      <c r="R308" s="2">
        <f t="shared" si="33"/>
        <v>5</v>
      </c>
      <c r="T308" s="2">
        <f t="shared" si="34"/>
        <v>-1.1400000005323819E-6</v>
      </c>
      <c r="U308" s="2">
        <f t="shared" si="46"/>
        <v>0</v>
      </c>
      <c r="V308" s="2">
        <f t="shared" si="35"/>
        <v>0</v>
      </c>
      <c r="W308" s="2">
        <f t="shared" si="36"/>
        <v>100</v>
      </c>
      <c r="X308" s="2">
        <f t="shared" si="37"/>
        <v>100</v>
      </c>
      <c r="Y308" s="2">
        <f t="shared" si="38"/>
        <v>100</v>
      </c>
      <c r="Z308" s="2" t="str">
        <f t="shared" si="39"/>
        <v/>
      </c>
      <c r="AA308" s="2" t="str">
        <f t="shared" si="40"/>
        <v/>
      </c>
      <c r="AB308" s="2" t="str">
        <f t="shared" si="41"/>
        <v>Fully Accessible</v>
      </c>
      <c r="AC308" s="2">
        <f t="shared" si="42"/>
        <v>0</v>
      </c>
      <c r="AO308" s="6"/>
      <c r="AP308" s="6"/>
      <c r="AQ308" s="6"/>
      <c r="AS308" s="6"/>
      <c r="AT308" s="6"/>
      <c r="AU308" s="6"/>
      <c r="AX308" s="2">
        <f t="shared" si="43"/>
        <v>10621.069336</v>
      </c>
      <c r="AY308" s="2">
        <f t="shared" si="44"/>
        <v>164.06498718</v>
      </c>
      <c r="AZ308" s="2">
        <f t="shared" si="45"/>
        <v>10457.004348820001</v>
      </c>
      <c r="BA308" s="16"/>
    </row>
    <row r="309" spans="1:53" x14ac:dyDescent="0.25">
      <c r="A309" s="2" t="s">
        <v>215</v>
      </c>
      <c r="B309" s="2">
        <v>2020</v>
      </c>
      <c r="C309" s="2">
        <v>5421.2421880000002</v>
      </c>
      <c r="D309" s="2">
        <v>82.973991389999995</v>
      </c>
      <c r="E309" s="2">
        <v>99.999995499999997</v>
      </c>
      <c r="F309" s="2">
        <v>0</v>
      </c>
      <c r="G309" s="2">
        <v>4.5034074529999998E-6</v>
      </c>
      <c r="H309" s="2">
        <v>0</v>
      </c>
      <c r="I309" s="2">
        <v>100</v>
      </c>
      <c r="J309" s="2">
        <v>0</v>
      </c>
      <c r="K309" s="2">
        <v>0</v>
      </c>
      <c r="L309" s="2">
        <v>0</v>
      </c>
      <c r="M309" s="2">
        <v>100</v>
      </c>
      <c r="N309" s="2">
        <v>0</v>
      </c>
      <c r="O309" s="2">
        <v>0</v>
      </c>
      <c r="P309" s="2">
        <v>0</v>
      </c>
      <c r="Q309" s="2" t="str">
        <f t="shared" si="32"/>
        <v>Norway|2020</v>
      </c>
      <c r="R309" s="2" t="str">
        <f t="shared" si="33"/>
        <v xml:space="preserve"> </v>
      </c>
      <c r="T309" s="2" t="b">
        <f t="shared" si="34"/>
        <v>0</v>
      </c>
      <c r="U309" s="2" t="b">
        <f t="shared" si="46"/>
        <v>0</v>
      </c>
      <c r="V309" s="2" t="b">
        <f t="shared" si="35"/>
        <v>0</v>
      </c>
      <c r="W309" s="2">
        <f t="shared" si="36"/>
        <v>100</v>
      </c>
      <c r="X309" s="2">
        <f t="shared" si="37"/>
        <v>100</v>
      </c>
      <c r="Y309" s="2">
        <f t="shared" si="38"/>
        <v>100</v>
      </c>
      <c r="Z309" s="2" t="str">
        <f t="shared" si="39"/>
        <v/>
      </c>
      <c r="AA309" s="2" t="str">
        <f t="shared" si="40"/>
        <v/>
      </c>
      <c r="AB309" s="2" t="str">
        <f t="shared" si="41"/>
        <v/>
      </c>
      <c r="AC309" s="2">
        <f t="shared" si="42"/>
        <v>0</v>
      </c>
      <c r="AO309" s="6"/>
      <c r="AP309" s="6"/>
      <c r="AQ309" s="6"/>
      <c r="AS309" s="6"/>
      <c r="AT309" s="6"/>
      <c r="AU309" s="6"/>
      <c r="AX309" s="2" t="str">
        <f t="shared" si="43"/>
        <v>null</v>
      </c>
      <c r="AY309" s="2" t="str">
        <f t="shared" si="44"/>
        <v>null</v>
      </c>
      <c r="AZ309" s="2" t="str">
        <f t="shared" si="45"/>
        <v>null</v>
      </c>
      <c r="BA309" s="16"/>
    </row>
    <row r="310" spans="1:53" x14ac:dyDescent="0.25">
      <c r="A310" s="2" t="s">
        <v>216</v>
      </c>
      <c r="B310" s="2">
        <v>2015</v>
      </c>
      <c r="C310" s="2">
        <v>4267.3408200000003</v>
      </c>
      <c r="D310" s="2">
        <v>81.349998470000003</v>
      </c>
      <c r="E310" s="2">
        <v>90.238485639999993</v>
      </c>
      <c r="F310" s="2">
        <v>8.2088027879999999</v>
      </c>
      <c r="G310" s="2">
        <v>1.473142599</v>
      </c>
      <c r="H310" s="2">
        <v>7.9568975099999995E-2</v>
      </c>
      <c r="I310" s="2">
        <v>74.366908460000005</v>
      </c>
      <c r="J310" s="2">
        <v>21.097672360000001</v>
      </c>
      <c r="K310" s="2">
        <v>4.3867318319999997</v>
      </c>
      <c r="L310" s="2">
        <v>0.14868735080000001</v>
      </c>
      <c r="M310" s="2">
        <v>93.877145080000005</v>
      </c>
      <c r="N310" s="2">
        <v>5.2539479289999997</v>
      </c>
      <c r="O310" s="2">
        <v>0.80518384210000005</v>
      </c>
      <c r="P310" s="2">
        <v>6.3723150359999994E-2</v>
      </c>
      <c r="Q310" s="2" t="str">
        <f t="shared" si="32"/>
        <v>Oman|2015</v>
      </c>
      <c r="R310" s="2">
        <f t="shared" si="33"/>
        <v>5</v>
      </c>
      <c r="T310" s="2">
        <f t="shared" si="34"/>
        <v>0.38590781000000052</v>
      </c>
      <c r="U310" s="2">
        <f t="shared" si="46"/>
        <v>0.37677429000000018</v>
      </c>
      <c r="V310" s="2">
        <f t="shared" si="35"/>
        <v>0.1645709839999995</v>
      </c>
      <c r="W310" s="2">
        <f t="shared" si="36"/>
        <v>90</v>
      </c>
      <c r="X310" s="2">
        <f t="shared" si="37"/>
        <v>74</v>
      </c>
      <c r="Y310" s="2">
        <f t="shared" si="38"/>
        <v>94</v>
      </c>
      <c r="Z310" s="2" t="str">
        <f t="shared" si="39"/>
        <v/>
      </c>
      <c r="AA310" s="2" t="str">
        <f t="shared" si="40"/>
        <v/>
      </c>
      <c r="AB310" s="2" t="str">
        <f t="shared" si="41"/>
        <v>Fully Accessible</v>
      </c>
      <c r="AC310" s="2">
        <f t="shared" si="42"/>
        <v>0.21220330600000067</v>
      </c>
      <c r="AO310" s="6"/>
      <c r="AP310" s="6"/>
      <c r="AQ310" s="6"/>
      <c r="AS310" s="6"/>
      <c r="AT310" s="6"/>
      <c r="AU310" s="6"/>
      <c r="AX310" s="2">
        <f t="shared" si="43"/>
        <v>9373.9628900000007</v>
      </c>
      <c r="AY310" s="2">
        <f t="shared" si="44"/>
        <v>167.62599182</v>
      </c>
      <c r="AZ310" s="2">
        <f t="shared" si="45"/>
        <v>9206.3368981800013</v>
      </c>
      <c r="BA310" s="6"/>
    </row>
    <row r="311" spans="1:53" x14ac:dyDescent="0.25">
      <c r="A311" s="2" t="s">
        <v>216</v>
      </c>
      <c r="B311" s="2">
        <v>2020</v>
      </c>
      <c r="C311" s="2">
        <v>5106.6220700000003</v>
      </c>
      <c r="D311" s="2">
        <v>86.275993349999993</v>
      </c>
      <c r="E311" s="2">
        <v>92.168024689999996</v>
      </c>
      <c r="F311" s="2">
        <v>7.5414198929999996</v>
      </c>
      <c r="G311" s="2">
        <v>0.26040520360000002</v>
      </c>
      <c r="H311" s="2">
        <v>3.0150217449999999E-2</v>
      </c>
      <c r="I311" s="2">
        <v>76.250779910000006</v>
      </c>
      <c r="J311" s="2">
        <v>21.632121130000002</v>
      </c>
      <c r="K311" s="2">
        <v>1.897409218</v>
      </c>
      <c r="L311" s="2">
        <v>0.21968973750000001</v>
      </c>
      <c r="M311" s="2">
        <v>94.7</v>
      </c>
      <c r="N311" s="2">
        <v>5.3</v>
      </c>
      <c r="O311" s="2">
        <v>0</v>
      </c>
      <c r="P311" s="2">
        <v>0</v>
      </c>
      <c r="Q311" s="2" t="str">
        <f t="shared" si="32"/>
        <v>Oman|2020</v>
      </c>
      <c r="R311" s="2" t="str">
        <f t="shared" si="33"/>
        <v xml:space="preserve"> </v>
      </c>
      <c r="T311" s="2" t="b">
        <f t="shared" si="34"/>
        <v>0</v>
      </c>
      <c r="U311" s="2" t="b">
        <f t="shared" si="46"/>
        <v>0</v>
      </c>
      <c r="V311" s="2" t="b">
        <f t="shared" si="35"/>
        <v>0</v>
      </c>
      <c r="W311" s="2">
        <f t="shared" si="36"/>
        <v>92</v>
      </c>
      <c r="X311" s="2">
        <f t="shared" si="37"/>
        <v>76</v>
      </c>
      <c r="Y311" s="2">
        <f t="shared" si="38"/>
        <v>95</v>
      </c>
      <c r="Z311" s="2" t="str">
        <f t="shared" si="39"/>
        <v/>
      </c>
      <c r="AA311" s="2" t="str">
        <f t="shared" si="40"/>
        <v/>
      </c>
      <c r="AB311" s="2" t="str">
        <f t="shared" si="41"/>
        <v/>
      </c>
      <c r="AC311" s="2">
        <f t="shared" si="42"/>
        <v>0</v>
      </c>
      <c r="AO311" s="6"/>
      <c r="AP311" s="6"/>
      <c r="AQ311" s="6"/>
      <c r="AS311" s="6"/>
      <c r="AT311" s="6"/>
      <c r="AU311" s="6"/>
      <c r="AX311" s="2" t="str">
        <f t="shared" si="43"/>
        <v>null</v>
      </c>
      <c r="AY311" s="2" t="str">
        <f t="shared" si="44"/>
        <v>null</v>
      </c>
      <c r="AZ311" s="2" t="str">
        <f t="shared" si="45"/>
        <v>null</v>
      </c>
      <c r="BA311" s="6"/>
    </row>
    <row r="312" spans="1:53" x14ac:dyDescent="0.25">
      <c r="A312" s="2" t="s">
        <v>217</v>
      </c>
      <c r="B312" s="2">
        <v>2015</v>
      </c>
      <c r="C312" s="2">
        <v>199426.95310000001</v>
      </c>
      <c r="D312" s="2">
        <v>36.026000979999999</v>
      </c>
      <c r="E312" s="2">
        <v>89.454982340000001</v>
      </c>
      <c r="F312" s="2">
        <v>3.6559530200000001</v>
      </c>
      <c r="G312" s="2">
        <v>4.4216911899999998</v>
      </c>
      <c r="H312" s="2">
        <v>2.4673734469999999</v>
      </c>
      <c r="I312" s="2">
        <v>87.15095676</v>
      </c>
      <c r="J312" s="2">
        <v>3.9565638390000002</v>
      </c>
      <c r="K312" s="2">
        <v>5.2364128790000004</v>
      </c>
      <c r="L312" s="2">
        <v>3.6560665229999998</v>
      </c>
      <c r="M312" s="2">
        <v>93.546408839999998</v>
      </c>
      <c r="N312" s="2">
        <v>3.1221364330000001</v>
      </c>
      <c r="O312" s="2">
        <v>2.9749303889999998</v>
      </c>
      <c r="P312" s="2">
        <v>0.35652434</v>
      </c>
      <c r="Q312" s="2" t="str">
        <f t="shared" si="32"/>
        <v>Pakistan|2015</v>
      </c>
      <c r="R312" s="2">
        <f t="shared" si="33"/>
        <v>5</v>
      </c>
      <c r="T312" s="2">
        <f t="shared" si="34"/>
        <v>0.13879654799999913</v>
      </c>
      <c r="U312" s="2">
        <f t="shared" si="46"/>
        <v>0.28978079999999978</v>
      </c>
      <c r="V312" s="2">
        <f t="shared" si="35"/>
        <v>-0.15567179800000019</v>
      </c>
      <c r="W312" s="2">
        <f t="shared" si="36"/>
        <v>89</v>
      </c>
      <c r="X312" s="2">
        <f t="shared" si="37"/>
        <v>87</v>
      </c>
      <c r="Y312" s="2">
        <f t="shared" si="38"/>
        <v>94</v>
      </c>
      <c r="Z312" s="2" t="str">
        <f t="shared" si="39"/>
        <v/>
      </c>
      <c r="AA312" s="2" t="str">
        <f t="shared" si="40"/>
        <v/>
      </c>
      <c r="AB312" s="2" t="str">
        <f t="shared" si="41"/>
        <v>Fully Accessible</v>
      </c>
      <c r="AC312" s="2">
        <f t="shared" si="42"/>
        <v>0.44545259799999998</v>
      </c>
      <c r="AO312" s="6"/>
      <c r="AP312" s="6"/>
      <c r="AQ312" s="6"/>
      <c r="AS312" s="6"/>
      <c r="AT312" s="6"/>
      <c r="AU312" s="6"/>
      <c r="AX312" s="2">
        <f t="shared" si="43"/>
        <v>420319.28120000003</v>
      </c>
      <c r="AY312" s="2">
        <f t="shared" si="44"/>
        <v>73.191001900000003</v>
      </c>
      <c r="AZ312" s="2">
        <f t="shared" si="45"/>
        <v>420246.09019810002</v>
      </c>
      <c r="BA312" s="6"/>
    </row>
    <row r="313" spans="1:53" x14ac:dyDescent="0.25">
      <c r="A313" s="2" t="s">
        <v>217</v>
      </c>
      <c r="B313" s="2">
        <v>2020</v>
      </c>
      <c r="C313" s="2">
        <v>220892.32810000001</v>
      </c>
      <c r="D313" s="2">
        <v>37.165000919999997</v>
      </c>
      <c r="E313" s="2">
        <v>90.148965079999996</v>
      </c>
      <c r="F313" s="2">
        <v>3.8222795249999999</v>
      </c>
      <c r="G313" s="2">
        <v>4.4133075740000001</v>
      </c>
      <c r="H313" s="2">
        <v>1.61544782</v>
      </c>
      <c r="I313" s="2">
        <v>88.599860759999999</v>
      </c>
      <c r="J313" s="2">
        <v>3.852278117</v>
      </c>
      <c r="K313" s="2">
        <v>5.1745965089999997</v>
      </c>
      <c r="L313" s="2">
        <v>2.3732646169999998</v>
      </c>
      <c r="M313" s="2">
        <v>92.768049849999997</v>
      </c>
      <c r="N313" s="2">
        <v>3.7715611619999998</v>
      </c>
      <c r="O313" s="2">
        <v>3.126184571</v>
      </c>
      <c r="P313" s="2">
        <v>0.33420442230000003</v>
      </c>
      <c r="Q313" s="2" t="str">
        <f t="shared" si="32"/>
        <v>Pakistan|2020</v>
      </c>
      <c r="R313" s="2" t="str">
        <f t="shared" si="33"/>
        <v xml:space="preserve"> </v>
      </c>
      <c r="T313" s="2" t="b">
        <f t="shared" si="34"/>
        <v>0</v>
      </c>
      <c r="U313" s="2" t="b">
        <f t="shared" si="46"/>
        <v>0</v>
      </c>
      <c r="V313" s="2" t="b">
        <f t="shared" si="35"/>
        <v>0</v>
      </c>
      <c r="W313" s="2">
        <f t="shared" si="36"/>
        <v>90</v>
      </c>
      <c r="X313" s="2">
        <f t="shared" si="37"/>
        <v>89</v>
      </c>
      <c r="Y313" s="2">
        <f t="shared" si="38"/>
        <v>93</v>
      </c>
      <c r="Z313" s="2" t="str">
        <f t="shared" si="39"/>
        <v/>
      </c>
      <c r="AA313" s="2" t="str">
        <f t="shared" si="40"/>
        <v/>
      </c>
      <c r="AB313" s="2" t="str">
        <f t="shared" si="41"/>
        <v/>
      </c>
      <c r="AC313" s="2">
        <f t="shared" si="42"/>
        <v>0</v>
      </c>
      <c r="AO313" s="6"/>
      <c r="AP313" s="6"/>
      <c r="AQ313" s="6"/>
      <c r="AS313" s="6"/>
      <c r="AT313" s="6"/>
      <c r="AU313" s="6"/>
      <c r="AX313" s="2" t="str">
        <f t="shared" si="43"/>
        <v>null</v>
      </c>
      <c r="AY313" s="2" t="str">
        <f t="shared" si="44"/>
        <v>null</v>
      </c>
      <c r="AZ313" s="2" t="str">
        <f t="shared" si="45"/>
        <v>null</v>
      </c>
      <c r="BA313" s="6"/>
    </row>
    <row r="314" spans="1:53" x14ac:dyDescent="0.25">
      <c r="A314" s="2" t="s">
        <v>218</v>
      </c>
      <c r="B314" s="2">
        <v>2015</v>
      </c>
      <c r="C314" s="2">
        <v>17.665000920000001</v>
      </c>
      <c r="D314" s="2">
        <v>78.158996579999993</v>
      </c>
      <c r="E314" s="2">
        <v>99.630150850000007</v>
      </c>
      <c r="F314" s="2">
        <v>0</v>
      </c>
      <c r="G314" s="2">
        <v>0.36984914990000001</v>
      </c>
      <c r="H314" s="2">
        <v>0</v>
      </c>
      <c r="I314" s="2">
        <v>99.61387148</v>
      </c>
      <c r="J314" s="2">
        <v>0</v>
      </c>
      <c r="K314" s="2">
        <v>0.38612851729999997</v>
      </c>
      <c r="L314" s="2">
        <v>0</v>
      </c>
      <c r="M314" s="2">
        <v>99.634701730000003</v>
      </c>
      <c r="N314" s="2">
        <v>0</v>
      </c>
      <c r="O314" s="2">
        <v>0.36529827059999997</v>
      </c>
      <c r="P314" s="2">
        <v>0</v>
      </c>
      <c r="Q314" s="2" t="str">
        <f t="shared" si="32"/>
        <v>Palau|2015</v>
      </c>
      <c r="R314" s="2">
        <f t="shared" si="33"/>
        <v>5</v>
      </c>
      <c r="T314" s="2">
        <f t="shared" si="34"/>
        <v>5.4789299999981724E-3</v>
      </c>
      <c r="U314" s="2">
        <f t="shared" si="46"/>
        <v>2.8622709999999073E-2</v>
      </c>
      <c r="V314" s="2">
        <f t="shared" si="35"/>
        <v>-9.9948000001859325E-5</v>
      </c>
      <c r="W314" s="2">
        <f t="shared" si="36"/>
        <v>100</v>
      </c>
      <c r="X314" s="2">
        <f t="shared" si="37"/>
        <v>100</v>
      </c>
      <c r="Y314" s="2">
        <f t="shared" si="38"/>
        <v>100</v>
      </c>
      <c r="Z314" s="2" t="str">
        <f t="shared" si="39"/>
        <v/>
      </c>
      <c r="AA314" s="2" t="str">
        <f t="shared" si="40"/>
        <v/>
      </c>
      <c r="AB314" s="2" t="str">
        <f t="shared" si="41"/>
        <v>Fully Accessible</v>
      </c>
      <c r="AC314" s="2">
        <f t="shared" si="42"/>
        <v>2.8722658000000931E-2</v>
      </c>
      <c r="AO314" s="6"/>
      <c r="AP314" s="6"/>
      <c r="AQ314" s="6"/>
      <c r="AS314" s="6"/>
      <c r="AT314" s="6"/>
      <c r="AU314" s="6"/>
      <c r="AX314" s="2">
        <f t="shared" si="43"/>
        <v>35.756999969999995</v>
      </c>
      <c r="AY314" s="2">
        <f t="shared" si="44"/>
        <v>159.14699553999998</v>
      </c>
      <c r="AZ314" s="2">
        <f t="shared" si="45"/>
        <v>-123.38999556999998</v>
      </c>
      <c r="BA314" s="16"/>
    </row>
    <row r="315" spans="1:53" x14ac:dyDescent="0.25">
      <c r="A315" s="2" t="s">
        <v>218</v>
      </c>
      <c r="B315" s="2">
        <v>2020</v>
      </c>
      <c r="C315" s="2">
        <v>18.091999049999998</v>
      </c>
      <c r="D315" s="2">
        <v>80.987998959999999</v>
      </c>
      <c r="E315" s="2">
        <v>99.657545499999998</v>
      </c>
      <c r="F315" s="2">
        <v>0</v>
      </c>
      <c r="G315" s="2">
        <v>0.34245449839999997</v>
      </c>
      <c r="H315" s="2">
        <v>0</v>
      </c>
      <c r="I315" s="2">
        <v>99.756985029999996</v>
      </c>
      <c r="J315" s="2">
        <v>0</v>
      </c>
      <c r="K315" s="2">
        <v>0.2430149677</v>
      </c>
      <c r="L315" s="2">
        <v>0</v>
      </c>
      <c r="M315" s="2">
        <v>99.634201989999994</v>
      </c>
      <c r="N315" s="2">
        <v>0</v>
      </c>
      <c r="O315" s="2">
        <v>0.36579800779999999</v>
      </c>
      <c r="P315" s="2">
        <v>0</v>
      </c>
      <c r="Q315" s="2" t="str">
        <f t="shared" si="32"/>
        <v>Palau|2020</v>
      </c>
      <c r="R315" s="2" t="str">
        <f t="shared" si="33"/>
        <v xml:space="preserve"> </v>
      </c>
      <c r="T315" s="2" t="b">
        <f t="shared" si="34"/>
        <v>0</v>
      </c>
      <c r="U315" s="2" t="b">
        <f t="shared" si="46"/>
        <v>0</v>
      </c>
      <c r="V315" s="2" t="b">
        <f t="shared" si="35"/>
        <v>0</v>
      </c>
      <c r="W315" s="2">
        <f t="shared" si="36"/>
        <v>100</v>
      </c>
      <c r="X315" s="2">
        <f t="shared" si="37"/>
        <v>100</v>
      </c>
      <c r="Y315" s="2">
        <f t="shared" si="38"/>
        <v>100</v>
      </c>
      <c r="Z315" s="2" t="str">
        <f t="shared" si="39"/>
        <v/>
      </c>
      <c r="AA315" s="2" t="str">
        <f t="shared" si="40"/>
        <v/>
      </c>
      <c r="AB315" s="2" t="str">
        <f t="shared" si="41"/>
        <v/>
      </c>
      <c r="AC315" s="2">
        <f t="shared" si="42"/>
        <v>0</v>
      </c>
      <c r="AO315" s="6"/>
      <c r="AP315" s="6"/>
      <c r="AQ315" s="6"/>
      <c r="AS315" s="6"/>
      <c r="AT315" s="6"/>
      <c r="AU315" s="6"/>
      <c r="AX315" s="2" t="str">
        <f t="shared" si="43"/>
        <v>null</v>
      </c>
      <c r="AY315" s="2" t="str">
        <f t="shared" si="44"/>
        <v>null</v>
      </c>
      <c r="AZ315" s="2" t="str">
        <f t="shared" si="45"/>
        <v>null</v>
      </c>
      <c r="BA315" s="6"/>
    </row>
    <row r="316" spans="1:53" x14ac:dyDescent="0.25">
      <c r="A316" s="2" t="s">
        <v>219</v>
      </c>
      <c r="B316" s="2">
        <v>2015</v>
      </c>
      <c r="C316" s="2">
        <v>3968.48999</v>
      </c>
      <c r="D316" s="2">
        <v>66.695999150000006</v>
      </c>
      <c r="E316" s="2">
        <v>92.904365609999999</v>
      </c>
      <c r="F316" s="2">
        <v>1.845644171</v>
      </c>
      <c r="G316" s="2">
        <v>3.160016841</v>
      </c>
      <c r="H316" s="2">
        <v>2.08997338</v>
      </c>
      <c r="I316" s="2">
        <v>83.679579529999998</v>
      </c>
      <c r="J316" s="2">
        <v>1.737106037</v>
      </c>
      <c r="K316" s="2">
        <v>8.379298168</v>
      </c>
      <c r="L316" s="2">
        <v>6.2040162600000004</v>
      </c>
      <c r="M316" s="2">
        <v>97.510677389999998</v>
      </c>
      <c r="N316" s="2">
        <v>1.899841721</v>
      </c>
      <c r="O316" s="2">
        <v>0.55381483909999996</v>
      </c>
      <c r="P316" s="2">
        <v>3.5666046159999999E-2</v>
      </c>
      <c r="Q316" s="2" t="str">
        <f t="shared" si="32"/>
        <v>Panama|2015</v>
      </c>
      <c r="R316" s="2">
        <f t="shared" si="33"/>
        <v>5</v>
      </c>
      <c r="T316" s="2">
        <f t="shared" si="34"/>
        <v>0.29363575000000142</v>
      </c>
      <c r="U316" s="2">
        <f t="shared" si="46"/>
        <v>0.52870074600000128</v>
      </c>
      <c r="V316" s="2">
        <f t="shared" si="35"/>
        <v>0.11564305600000183</v>
      </c>
      <c r="W316" s="2">
        <f t="shared" si="36"/>
        <v>93</v>
      </c>
      <c r="X316" s="2">
        <f t="shared" si="37"/>
        <v>84</v>
      </c>
      <c r="Y316" s="2">
        <f t="shared" si="38"/>
        <v>98</v>
      </c>
      <c r="Z316" s="2" t="str">
        <f t="shared" si="39"/>
        <v/>
      </c>
      <c r="AA316" s="2" t="str">
        <f t="shared" si="40"/>
        <v/>
      </c>
      <c r="AB316" s="2" t="str">
        <f t="shared" si="41"/>
        <v>Fully Accessible</v>
      </c>
      <c r="AC316" s="2">
        <f t="shared" si="42"/>
        <v>0.41305768999999948</v>
      </c>
      <c r="AO316" s="6"/>
      <c r="AP316" s="6"/>
      <c r="AQ316" s="6"/>
      <c r="AS316" s="6"/>
      <c r="AT316" s="6"/>
      <c r="AU316" s="6"/>
      <c r="AX316" s="2">
        <f t="shared" si="43"/>
        <v>8283.2580559999988</v>
      </c>
      <c r="AY316" s="2">
        <f t="shared" si="44"/>
        <v>135.11000060999999</v>
      </c>
      <c r="AZ316" s="2">
        <f t="shared" si="45"/>
        <v>8148.1480553899992</v>
      </c>
      <c r="BA316" s="16"/>
    </row>
    <row r="317" spans="1:53" x14ac:dyDescent="0.25">
      <c r="A317" s="2" t="s">
        <v>219</v>
      </c>
      <c r="B317" s="2">
        <v>2020</v>
      </c>
      <c r="C317" s="2">
        <v>4314.7680659999996</v>
      </c>
      <c r="D317" s="2">
        <v>68.414001459999994</v>
      </c>
      <c r="E317" s="2">
        <v>94.372544360000006</v>
      </c>
      <c r="F317" s="2">
        <v>1.8734805919999999</v>
      </c>
      <c r="G317" s="2">
        <v>2.2623042469999999</v>
      </c>
      <c r="H317" s="2">
        <v>1.491670799</v>
      </c>
      <c r="I317" s="2">
        <v>86.323083260000004</v>
      </c>
      <c r="J317" s="2">
        <v>1.791982583</v>
      </c>
      <c r="K317" s="2">
        <v>7.1623643420000001</v>
      </c>
      <c r="L317" s="2">
        <v>4.7225698109999996</v>
      </c>
      <c r="M317" s="2">
        <v>98.088892670000007</v>
      </c>
      <c r="N317" s="2">
        <v>1.9111073329999999</v>
      </c>
      <c r="O317" s="2">
        <v>0</v>
      </c>
      <c r="P317" s="2">
        <v>0</v>
      </c>
      <c r="Q317" s="2" t="str">
        <f t="shared" si="32"/>
        <v>Panama|2020</v>
      </c>
      <c r="R317" s="2" t="str">
        <f t="shared" si="33"/>
        <v xml:space="preserve"> </v>
      </c>
      <c r="T317" s="2" t="b">
        <f t="shared" si="34"/>
        <v>0</v>
      </c>
      <c r="U317" s="2" t="b">
        <f t="shared" si="46"/>
        <v>0</v>
      </c>
      <c r="V317" s="2" t="b">
        <f t="shared" si="35"/>
        <v>0</v>
      </c>
      <c r="W317" s="2">
        <f t="shared" si="36"/>
        <v>94</v>
      </c>
      <c r="X317" s="2">
        <f t="shared" si="37"/>
        <v>86</v>
      </c>
      <c r="Y317" s="2">
        <f t="shared" si="38"/>
        <v>98</v>
      </c>
      <c r="Z317" s="2" t="str">
        <f t="shared" si="39"/>
        <v/>
      </c>
      <c r="AA317" s="2" t="str">
        <f t="shared" si="40"/>
        <v/>
      </c>
      <c r="AB317" s="2" t="str">
        <f t="shared" si="41"/>
        <v/>
      </c>
      <c r="AC317" s="2">
        <f t="shared" si="42"/>
        <v>0</v>
      </c>
      <c r="AO317" s="6"/>
      <c r="AP317" s="6"/>
      <c r="AQ317" s="6"/>
      <c r="AS317" s="6"/>
      <c r="AT317" s="6"/>
      <c r="AU317" s="6"/>
      <c r="AX317" s="2" t="str">
        <f t="shared" si="43"/>
        <v>null</v>
      </c>
      <c r="AY317" s="2" t="str">
        <f t="shared" si="44"/>
        <v>null</v>
      </c>
      <c r="AZ317" s="2" t="str">
        <f t="shared" si="45"/>
        <v>null</v>
      </c>
      <c r="BA317" s="16"/>
    </row>
    <row r="318" spans="1:53" x14ac:dyDescent="0.25">
      <c r="A318" s="2" t="s">
        <v>220</v>
      </c>
      <c r="B318" s="2">
        <v>2015</v>
      </c>
      <c r="C318" s="2">
        <v>8107.7719729999999</v>
      </c>
      <c r="D318" s="2">
        <v>13.01200008</v>
      </c>
      <c r="E318" s="2">
        <v>41.485508439999997</v>
      </c>
      <c r="F318" s="2">
        <v>1.8099530800000001</v>
      </c>
      <c r="G318" s="2">
        <v>21.261051999999999</v>
      </c>
      <c r="H318" s="2">
        <v>35.443486479999997</v>
      </c>
      <c r="I318" s="2">
        <v>34.990633000000003</v>
      </c>
      <c r="J318" s="2">
        <v>1.8047244330000001</v>
      </c>
      <c r="K318" s="2">
        <v>23.25354875</v>
      </c>
      <c r="L318" s="2">
        <v>39.951093819999997</v>
      </c>
      <c r="M318" s="2">
        <v>84.90514306</v>
      </c>
      <c r="N318" s="2">
        <v>1.844907912</v>
      </c>
      <c r="O318" s="2">
        <v>7.9407764350000001</v>
      </c>
      <c r="P318" s="2">
        <v>5.309172598</v>
      </c>
      <c r="Q318" s="2" t="str">
        <f t="shared" si="32"/>
        <v>Papua New Guinea|2015</v>
      </c>
      <c r="R318" s="2">
        <f t="shared" si="33"/>
        <v>5</v>
      </c>
      <c r="T318" s="2">
        <f t="shared" si="34"/>
        <v>0.77170181600000087</v>
      </c>
      <c r="U318" s="2">
        <f t="shared" si="46"/>
        <v>0.81614213399999902</v>
      </c>
      <c r="V318" s="2">
        <f t="shared" si="35"/>
        <v>0.2340257159999993</v>
      </c>
      <c r="W318" s="2">
        <f t="shared" si="36"/>
        <v>41</v>
      </c>
      <c r="X318" s="2">
        <f t="shared" si="37"/>
        <v>35</v>
      </c>
      <c r="Y318" s="2">
        <f t="shared" si="38"/>
        <v>85</v>
      </c>
      <c r="Z318" s="2" t="str">
        <f t="shared" si="39"/>
        <v/>
      </c>
      <c r="AA318" s="2" t="str">
        <f t="shared" si="40"/>
        <v/>
      </c>
      <c r="AB318" s="2" t="str">
        <f t="shared" si="41"/>
        <v>Fully Accessible</v>
      </c>
      <c r="AC318" s="2">
        <f t="shared" si="42"/>
        <v>0.58211641799999969</v>
      </c>
      <c r="AO318" s="6"/>
      <c r="AP318" s="6"/>
      <c r="AQ318" s="6"/>
      <c r="AS318" s="6"/>
      <c r="AT318" s="6"/>
      <c r="AU318" s="6"/>
      <c r="AX318" s="2">
        <f t="shared" si="43"/>
        <v>17054.799317000001</v>
      </c>
      <c r="AY318" s="2">
        <f t="shared" si="44"/>
        <v>26.35700035</v>
      </c>
      <c r="AZ318" s="2">
        <f t="shared" si="45"/>
        <v>17028.442316650002</v>
      </c>
      <c r="BA318" s="6"/>
    </row>
    <row r="319" spans="1:53" x14ac:dyDescent="0.25">
      <c r="A319" s="2" t="s">
        <v>220</v>
      </c>
      <c r="B319" s="2">
        <v>2020</v>
      </c>
      <c r="C319" s="2">
        <v>8947.0273440000001</v>
      </c>
      <c r="D319" s="2">
        <v>13.34500027</v>
      </c>
      <c r="E319" s="2">
        <v>45.344017520000001</v>
      </c>
      <c r="F319" s="2">
        <v>2.128564452</v>
      </c>
      <c r="G319" s="2">
        <v>22.157624949999999</v>
      </c>
      <c r="H319" s="2">
        <v>30.369793080000001</v>
      </c>
      <c r="I319" s="2">
        <v>39.071343669999997</v>
      </c>
      <c r="J319" s="2">
        <v>2.4298502929999999</v>
      </c>
      <c r="K319" s="2">
        <v>24.431800859999999</v>
      </c>
      <c r="L319" s="2">
        <v>34.067005170000002</v>
      </c>
      <c r="M319" s="2">
        <v>86.075271639999997</v>
      </c>
      <c r="N319" s="2">
        <v>0.17218226079999999</v>
      </c>
      <c r="O319" s="2">
        <v>7.3903855639999998</v>
      </c>
      <c r="P319" s="2">
        <v>6.3621605319999999</v>
      </c>
      <c r="Q319" s="2" t="str">
        <f t="shared" si="32"/>
        <v>Papua New Guinea|2020</v>
      </c>
      <c r="R319" s="2" t="str">
        <f t="shared" si="33"/>
        <v xml:space="preserve"> </v>
      </c>
      <c r="T319" s="2" t="b">
        <f t="shared" si="34"/>
        <v>0</v>
      </c>
      <c r="U319" s="2" t="b">
        <f t="shared" si="46"/>
        <v>0</v>
      </c>
      <c r="V319" s="2" t="b">
        <f t="shared" si="35"/>
        <v>0</v>
      </c>
      <c r="W319" s="2">
        <f t="shared" si="36"/>
        <v>45</v>
      </c>
      <c r="X319" s="2">
        <f t="shared" si="37"/>
        <v>39</v>
      </c>
      <c r="Y319" s="2">
        <f t="shared" si="38"/>
        <v>86</v>
      </c>
      <c r="Z319" s="2" t="str">
        <f t="shared" si="39"/>
        <v/>
      </c>
      <c r="AA319" s="2" t="str">
        <f t="shared" si="40"/>
        <v/>
      </c>
      <c r="AB319" s="2" t="str">
        <f t="shared" si="41"/>
        <v/>
      </c>
      <c r="AC319" s="2">
        <f t="shared" si="42"/>
        <v>0</v>
      </c>
      <c r="AO319" s="6"/>
      <c r="AP319" s="6"/>
      <c r="AQ319" s="6"/>
      <c r="AS319" s="6"/>
      <c r="AT319" s="6"/>
      <c r="AU319" s="6"/>
      <c r="AX319" s="2" t="str">
        <f t="shared" si="43"/>
        <v>null</v>
      </c>
      <c r="AY319" s="2" t="str">
        <f t="shared" si="44"/>
        <v>null</v>
      </c>
      <c r="AZ319" s="2" t="str">
        <f t="shared" si="45"/>
        <v>null</v>
      </c>
      <c r="BA319" s="6"/>
    </row>
    <row r="320" spans="1:53" x14ac:dyDescent="0.25">
      <c r="A320" s="2" t="s">
        <v>221</v>
      </c>
      <c r="B320" s="2">
        <v>2015</v>
      </c>
      <c r="C320" s="2">
        <v>6688.7460940000001</v>
      </c>
      <c r="D320" s="2">
        <v>60.75</v>
      </c>
      <c r="E320" s="2">
        <v>96.836214530000007</v>
      </c>
      <c r="F320" s="2">
        <v>0.32842400300000002</v>
      </c>
      <c r="G320" s="2">
        <v>2.7567681990000001</v>
      </c>
      <c r="H320" s="2">
        <v>7.8593266980000007E-2</v>
      </c>
      <c r="I320" s="2">
        <v>93.344700290000006</v>
      </c>
      <c r="J320" s="2">
        <v>0.69766643969999997</v>
      </c>
      <c r="K320" s="2">
        <v>5.757395646</v>
      </c>
      <c r="L320" s="2">
        <v>0.20023762880000001</v>
      </c>
      <c r="M320" s="2">
        <v>99.092048730000002</v>
      </c>
      <c r="N320" s="2">
        <v>8.9859971169999997E-2</v>
      </c>
      <c r="O320" s="2">
        <v>0.81809130100000005</v>
      </c>
      <c r="P320" s="2">
        <v>0</v>
      </c>
      <c r="Q320" s="2" t="str">
        <f t="shared" si="32"/>
        <v>Paraguay|2015</v>
      </c>
      <c r="R320" s="2">
        <f t="shared" si="33"/>
        <v>5</v>
      </c>
      <c r="T320" s="2">
        <f t="shared" si="34"/>
        <v>0.55145035999999836</v>
      </c>
      <c r="U320" s="2">
        <f t="shared" si="46"/>
        <v>1.1533054479999976</v>
      </c>
      <c r="V320" s="2">
        <f t="shared" si="35"/>
        <v>0.15893996199999946</v>
      </c>
      <c r="W320" s="2">
        <f t="shared" si="36"/>
        <v>97</v>
      </c>
      <c r="X320" s="2">
        <f t="shared" si="37"/>
        <v>93</v>
      </c>
      <c r="Y320" s="2">
        <f t="shared" si="38"/>
        <v>99</v>
      </c>
      <c r="Z320" s="2" t="str">
        <f t="shared" si="39"/>
        <v/>
      </c>
      <c r="AA320" s="2" t="str">
        <f t="shared" si="40"/>
        <v/>
      </c>
      <c r="AB320" s="2" t="str">
        <f t="shared" si="41"/>
        <v>Fully Accessible</v>
      </c>
      <c r="AC320" s="2">
        <f t="shared" si="42"/>
        <v>0.99436548599999808</v>
      </c>
      <c r="AO320" s="6"/>
      <c r="AP320" s="6"/>
      <c r="AQ320" s="6"/>
      <c r="AS320" s="6"/>
      <c r="AT320" s="6"/>
      <c r="AU320" s="6"/>
      <c r="AX320" s="2">
        <f t="shared" si="43"/>
        <v>13821.275879000001</v>
      </c>
      <c r="AY320" s="2">
        <f t="shared" si="44"/>
        <v>122.93299483999999</v>
      </c>
      <c r="AZ320" s="2">
        <f t="shared" si="45"/>
        <v>13698.34288416</v>
      </c>
      <c r="BA320" s="6"/>
    </row>
    <row r="321" spans="1:53" x14ac:dyDescent="0.25">
      <c r="A321" s="2" t="s">
        <v>221</v>
      </c>
      <c r="B321" s="2">
        <v>2020</v>
      </c>
      <c r="C321" s="2">
        <v>7132.5297849999997</v>
      </c>
      <c r="D321" s="2">
        <v>62.182994839999999</v>
      </c>
      <c r="E321" s="2">
        <v>99.593466329999998</v>
      </c>
      <c r="F321" s="2">
        <v>0.40653024389999998</v>
      </c>
      <c r="G321" s="2">
        <v>3.4229177000000001E-6</v>
      </c>
      <c r="H321" s="2">
        <v>0</v>
      </c>
      <c r="I321" s="2">
        <v>99.111227529999994</v>
      </c>
      <c r="J321" s="2">
        <v>0.88877246840000002</v>
      </c>
      <c r="K321" s="2">
        <v>0</v>
      </c>
      <c r="L321" s="2">
        <v>0</v>
      </c>
      <c r="M321" s="2">
        <v>99.886748539999999</v>
      </c>
      <c r="N321" s="2">
        <v>0.11325146429999999</v>
      </c>
      <c r="O321" s="2">
        <v>0</v>
      </c>
      <c r="P321" s="2">
        <v>0</v>
      </c>
      <c r="Q321" s="2" t="str">
        <f t="shared" si="32"/>
        <v>Paraguay|2020</v>
      </c>
      <c r="R321" s="2" t="str">
        <f t="shared" si="33"/>
        <v xml:space="preserve"> </v>
      </c>
      <c r="T321" s="2" t="b">
        <f t="shared" si="34"/>
        <v>0</v>
      </c>
      <c r="U321" s="2" t="b">
        <f t="shared" si="46"/>
        <v>0</v>
      </c>
      <c r="V321" s="2" t="b">
        <f t="shared" si="35"/>
        <v>0</v>
      </c>
      <c r="W321" s="2">
        <f t="shared" si="36"/>
        <v>100</v>
      </c>
      <c r="X321" s="2">
        <f t="shared" si="37"/>
        <v>99</v>
      </c>
      <c r="Y321" s="2">
        <f t="shared" si="38"/>
        <v>100</v>
      </c>
      <c r="Z321" s="2" t="str">
        <f t="shared" si="39"/>
        <v/>
      </c>
      <c r="AA321" s="2" t="str">
        <f t="shared" si="40"/>
        <v/>
      </c>
      <c r="AB321" s="2" t="str">
        <f t="shared" si="41"/>
        <v/>
      </c>
      <c r="AC321" s="2">
        <f t="shared" si="42"/>
        <v>0</v>
      </c>
      <c r="AO321" s="6"/>
      <c r="AP321" s="6"/>
      <c r="AQ321" s="6"/>
      <c r="AS321" s="6"/>
      <c r="AT321" s="6"/>
      <c r="AU321" s="6"/>
      <c r="AX321" s="2" t="str">
        <f t="shared" si="43"/>
        <v>null</v>
      </c>
      <c r="AY321" s="2" t="str">
        <f t="shared" si="44"/>
        <v>null</v>
      </c>
      <c r="AZ321" s="2" t="str">
        <f t="shared" si="45"/>
        <v>null</v>
      </c>
      <c r="BA321" s="6"/>
    </row>
    <row r="322" spans="1:53" x14ac:dyDescent="0.25">
      <c r="A322" s="2" t="s">
        <v>222</v>
      </c>
      <c r="B322" s="2">
        <v>2015</v>
      </c>
      <c r="C322" s="2">
        <v>30470.738280000001</v>
      </c>
      <c r="D322" s="2">
        <v>77.357002260000002</v>
      </c>
      <c r="E322" s="2">
        <v>90.282003040000006</v>
      </c>
      <c r="F322" s="2">
        <v>0.93258347190000002</v>
      </c>
      <c r="G322" s="2">
        <v>5.7636260549999996</v>
      </c>
      <c r="H322" s="2">
        <v>3.0217874390000001</v>
      </c>
      <c r="I322" s="2">
        <v>73.287623839999995</v>
      </c>
      <c r="J322" s="2">
        <v>1.5230403370000001</v>
      </c>
      <c r="K322" s="2">
        <v>12.99206766</v>
      </c>
      <c r="L322" s="2">
        <v>12.197268169999999</v>
      </c>
      <c r="M322" s="2">
        <v>95.256387020000005</v>
      </c>
      <c r="N322" s="2">
        <v>0.75975208999999999</v>
      </c>
      <c r="O322" s="2">
        <v>3.6478085579999999</v>
      </c>
      <c r="P322" s="2">
        <v>0.33605232909999999</v>
      </c>
      <c r="Q322" s="2" t="str">
        <f t="shared" si="32"/>
        <v>Peru|2015</v>
      </c>
      <c r="R322" s="2">
        <f t="shared" si="33"/>
        <v>5</v>
      </c>
      <c r="T322" s="2">
        <f t="shared" si="34"/>
        <v>0.57147263399999981</v>
      </c>
      <c r="U322" s="2">
        <f t="shared" si="46"/>
        <v>1.502362930000001</v>
      </c>
      <c r="V322" s="2">
        <f t="shared" si="35"/>
        <v>0.2606914119999999</v>
      </c>
      <c r="W322" s="2">
        <f t="shared" si="36"/>
        <v>90</v>
      </c>
      <c r="X322" s="2">
        <f t="shared" si="37"/>
        <v>73</v>
      </c>
      <c r="Y322" s="2">
        <f t="shared" si="38"/>
        <v>95</v>
      </c>
      <c r="Z322" s="2" t="str">
        <f t="shared" si="39"/>
        <v/>
      </c>
      <c r="AA322" s="2" t="str">
        <f t="shared" si="40"/>
        <v/>
      </c>
      <c r="AB322" s="2" t="str">
        <f t="shared" si="41"/>
        <v>Fully Accessible</v>
      </c>
      <c r="AC322" s="2">
        <f t="shared" si="42"/>
        <v>1.2416715180000011</v>
      </c>
      <c r="AO322" s="6"/>
      <c r="AP322" s="6"/>
      <c r="AQ322" s="6"/>
      <c r="AS322" s="6"/>
      <c r="AT322" s="6"/>
      <c r="AU322" s="6"/>
      <c r="AX322" s="2">
        <f t="shared" si="43"/>
        <v>63442.585940000004</v>
      </c>
      <c r="AY322" s="2">
        <f t="shared" si="44"/>
        <v>155.65400696</v>
      </c>
      <c r="AZ322" s="2">
        <f t="shared" si="45"/>
        <v>63286.931933040003</v>
      </c>
      <c r="BA322" s="16"/>
    </row>
    <row r="323" spans="1:53" x14ac:dyDescent="0.25">
      <c r="A323" s="2" t="s">
        <v>222</v>
      </c>
      <c r="B323" s="2">
        <v>2020</v>
      </c>
      <c r="C323" s="2">
        <v>32971.847659999999</v>
      </c>
      <c r="D323" s="2">
        <v>78.297004700000002</v>
      </c>
      <c r="E323" s="2">
        <v>93.139366210000006</v>
      </c>
      <c r="F323" s="2">
        <v>0.84955935110000003</v>
      </c>
      <c r="G323" s="2">
        <v>4.1504683489999996</v>
      </c>
      <c r="H323" s="2">
        <v>1.8606060870000001</v>
      </c>
      <c r="I323" s="2">
        <v>80.79943849</v>
      </c>
      <c r="J323" s="2">
        <v>1.5969437710000001</v>
      </c>
      <c r="K323" s="2">
        <v>9.6126911629999992</v>
      </c>
      <c r="L323" s="2">
        <v>7.9909265779999998</v>
      </c>
      <c r="M323" s="2">
        <v>96.559844080000005</v>
      </c>
      <c r="N323" s="2">
        <v>0.64239323559999995</v>
      </c>
      <c r="O323" s="2">
        <v>2.6364086929999999</v>
      </c>
      <c r="P323" s="2">
        <v>0.1613539953</v>
      </c>
      <c r="Q323" s="2" t="str">
        <f t="shared" si="32"/>
        <v>Peru|2020</v>
      </c>
      <c r="R323" s="2" t="str">
        <f t="shared" si="33"/>
        <v xml:space="preserve"> </v>
      </c>
      <c r="T323" s="2" t="b">
        <f t="shared" si="34"/>
        <v>0</v>
      </c>
      <c r="U323" s="2" t="b">
        <f t="shared" si="46"/>
        <v>0</v>
      </c>
      <c r="V323" s="2" t="b">
        <f t="shared" si="35"/>
        <v>0</v>
      </c>
      <c r="W323" s="2">
        <f t="shared" si="36"/>
        <v>93</v>
      </c>
      <c r="X323" s="2">
        <f t="shared" si="37"/>
        <v>81</v>
      </c>
      <c r="Y323" s="2">
        <f t="shared" si="38"/>
        <v>97</v>
      </c>
      <c r="Z323" s="2" t="str">
        <f t="shared" si="39"/>
        <v/>
      </c>
      <c r="AA323" s="2" t="str">
        <f t="shared" si="40"/>
        <v/>
      </c>
      <c r="AB323" s="2" t="str">
        <f t="shared" si="41"/>
        <v/>
      </c>
      <c r="AC323" s="2">
        <f t="shared" si="42"/>
        <v>0</v>
      </c>
      <c r="AO323" s="6"/>
      <c r="AP323" s="6"/>
      <c r="AQ323" s="6"/>
      <c r="AS323" s="6"/>
      <c r="AT323" s="6"/>
      <c r="AU323" s="6"/>
      <c r="AX323" s="2" t="str">
        <f t="shared" si="43"/>
        <v>null</v>
      </c>
      <c r="AY323" s="2" t="str">
        <f t="shared" si="44"/>
        <v>null</v>
      </c>
      <c r="AZ323" s="2" t="str">
        <f t="shared" si="45"/>
        <v>null</v>
      </c>
      <c r="BA323" s="6"/>
    </row>
    <row r="324" spans="1:53" x14ac:dyDescent="0.25">
      <c r="A324" s="2" t="s">
        <v>223</v>
      </c>
      <c r="B324" s="2">
        <v>2015</v>
      </c>
      <c r="C324" s="2">
        <v>102113.2031</v>
      </c>
      <c r="D324" s="2">
        <v>46.284000399999996</v>
      </c>
      <c r="E324" s="2">
        <v>92.017701020000004</v>
      </c>
      <c r="F324" s="2">
        <v>2.9204293190000001</v>
      </c>
      <c r="G324" s="2">
        <v>4.5321384619999998</v>
      </c>
      <c r="H324" s="2">
        <v>0.52973119440000005</v>
      </c>
      <c r="I324" s="2">
        <v>88.208162329999993</v>
      </c>
      <c r="J324" s="2">
        <v>3.8258925420000001</v>
      </c>
      <c r="K324" s="2">
        <v>7.1112130369999997</v>
      </c>
      <c r="L324" s="2">
        <v>0.85473209370000003</v>
      </c>
      <c r="M324" s="2">
        <v>96.438952139999998</v>
      </c>
      <c r="N324" s="2">
        <v>1.8695723529999999</v>
      </c>
      <c r="O324" s="2">
        <v>1.5389318729999999</v>
      </c>
      <c r="P324" s="2">
        <v>0.15254363930000001</v>
      </c>
      <c r="Q324" s="2" t="str">
        <f t="shared" si="32"/>
        <v>Philippines|2015</v>
      </c>
      <c r="R324" s="2">
        <f t="shared" si="33"/>
        <v>5</v>
      </c>
      <c r="T324" s="2">
        <f t="shared" si="34"/>
        <v>0.41826670799999877</v>
      </c>
      <c r="U324" s="2">
        <f t="shared" si="46"/>
        <v>0.57075417800000139</v>
      </c>
      <c r="V324" s="2">
        <f t="shared" si="35"/>
        <v>0.21007607200000109</v>
      </c>
      <c r="W324" s="2">
        <f t="shared" si="36"/>
        <v>92</v>
      </c>
      <c r="X324" s="2">
        <f t="shared" si="37"/>
        <v>88</v>
      </c>
      <c r="Y324" s="2">
        <f t="shared" si="38"/>
        <v>96</v>
      </c>
      <c r="Z324" s="2" t="str">
        <f t="shared" si="39"/>
        <v/>
      </c>
      <c r="AA324" s="2" t="str">
        <f t="shared" si="40"/>
        <v/>
      </c>
      <c r="AB324" s="2" t="str">
        <f t="shared" si="41"/>
        <v>Fully Accessible</v>
      </c>
      <c r="AC324" s="2">
        <f t="shared" si="42"/>
        <v>0.36067810600000028</v>
      </c>
      <c r="AO324" s="6"/>
      <c r="AP324" s="6"/>
      <c r="AQ324" s="6"/>
      <c r="AS324" s="6"/>
      <c r="AT324" s="6"/>
      <c r="AU324" s="6"/>
      <c r="AX324" s="2">
        <f t="shared" si="43"/>
        <v>211694.28899999999</v>
      </c>
      <c r="AY324" s="2">
        <f t="shared" si="44"/>
        <v>93.691997529999995</v>
      </c>
      <c r="AZ324" s="2">
        <f t="shared" si="45"/>
        <v>211600.59700246999</v>
      </c>
      <c r="BA324" s="16"/>
    </row>
    <row r="325" spans="1:53" x14ac:dyDescent="0.25">
      <c r="A325" s="2" t="s">
        <v>223</v>
      </c>
      <c r="B325" s="2">
        <v>2020</v>
      </c>
      <c r="C325" s="2">
        <v>109581.08590000001</v>
      </c>
      <c r="D325" s="2">
        <v>47.407997129999998</v>
      </c>
      <c r="E325" s="2">
        <v>94.109034559999998</v>
      </c>
      <c r="F325" s="2">
        <v>2.8564861370000001</v>
      </c>
      <c r="G325" s="2">
        <v>3.0344793069999998</v>
      </c>
      <c r="H325" s="2">
        <v>0</v>
      </c>
      <c r="I325" s="2">
        <v>91.06193322</v>
      </c>
      <c r="J325" s="2">
        <v>3.9595204279999998</v>
      </c>
      <c r="K325" s="2">
        <v>4.978546347</v>
      </c>
      <c r="L325" s="2">
        <v>0</v>
      </c>
      <c r="M325" s="2">
        <v>97.489332500000003</v>
      </c>
      <c r="N325" s="2">
        <v>1.632836465</v>
      </c>
      <c r="O325" s="2">
        <v>0.87783103600000001</v>
      </c>
      <c r="P325" s="2">
        <v>0</v>
      </c>
      <c r="Q325" s="2" t="str">
        <f t="shared" si="32"/>
        <v>Philippines|2020</v>
      </c>
      <c r="R325" s="2" t="str">
        <f t="shared" si="33"/>
        <v xml:space="preserve"> </v>
      </c>
      <c r="T325" s="2" t="b">
        <f t="shared" si="34"/>
        <v>0</v>
      </c>
      <c r="U325" s="2" t="b">
        <f t="shared" si="46"/>
        <v>0</v>
      </c>
      <c r="V325" s="2" t="b">
        <f t="shared" si="35"/>
        <v>0</v>
      </c>
      <c r="W325" s="2">
        <f t="shared" si="36"/>
        <v>94</v>
      </c>
      <c r="X325" s="2">
        <f t="shared" si="37"/>
        <v>91</v>
      </c>
      <c r="Y325" s="2">
        <f t="shared" si="38"/>
        <v>97</v>
      </c>
      <c r="Z325" s="2" t="str">
        <f t="shared" si="39"/>
        <v/>
      </c>
      <c r="AA325" s="2" t="str">
        <f t="shared" si="40"/>
        <v/>
      </c>
      <c r="AB325" s="2" t="str">
        <f t="shared" si="41"/>
        <v/>
      </c>
      <c r="AC325" s="2">
        <f t="shared" si="42"/>
        <v>0</v>
      </c>
      <c r="AO325" s="6"/>
      <c r="AP325" s="6"/>
      <c r="AQ325" s="6"/>
      <c r="AS325" s="6"/>
      <c r="AT325" s="6"/>
      <c r="AU325" s="6"/>
      <c r="AX325" s="2" t="str">
        <f t="shared" si="43"/>
        <v>null</v>
      </c>
      <c r="AY325" s="2" t="str">
        <f t="shared" si="44"/>
        <v>null</v>
      </c>
      <c r="AZ325" s="2" t="str">
        <f t="shared" si="45"/>
        <v>null</v>
      </c>
      <c r="BA325" s="16"/>
    </row>
    <row r="326" spans="1:53" x14ac:dyDescent="0.25">
      <c r="A326" s="2" t="s">
        <v>224</v>
      </c>
      <c r="B326" s="2">
        <v>2015</v>
      </c>
      <c r="C326" s="2">
        <v>38034.074220000002</v>
      </c>
      <c r="D326" s="2">
        <v>60.27799606</v>
      </c>
      <c r="E326" s="2">
        <v>99.232069879999997</v>
      </c>
      <c r="F326" s="2">
        <v>0</v>
      </c>
      <c r="G326" s="2">
        <v>0.76793012459999999</v>
      </c>
      <c r="H326" s="2">
        <v>0</v>
      </c>
      <c r="I326" s="2">
        <v>98.537903229999998</v>
      </c>
      <c r="J326" s="2">
        <v>0</v>
      </c>
      <c r="K326" s="2">
        <v>1.4620967739999999</v>
      </c>
      <c r="L326" s="2">
        <v>0</v>
      </c>
      <c r="M326" s="2">
        <v>99.689516130000001</v>
      </c>
      <c r="N326" s="2">
        <v>0</v>
      </c>
      <c r="O326" s="2">
        <v>0.31048387100000002</v>
      </c>
      <c r="P326" s="2">
        <v>0</v>
      </c>
      <c r="Q326" s="2" t="str">
        <f t="shared" si="32"/>
        <v>Poland|2015</v>
      </c>
      <c r="R326" s="2">
        <f t="shared" si="33"/>
        <v>5</v>
      </c>
      <c r="T326" s="2">
        <f t="shared" si="34"/>
        <v>0.1469043340000013</v>
      </c>
      <c r="U326" s="2">
        <f t="shared" si="46"/>
        <v>0.29241935400000046</v>
      </c>
      <c r="V326" s="2">
        <f t="shared" si="35"/>
        <v>5.0967742000000274E-2</v>
      </c>
      <c r="W326" s="2">
        <f t="shared" si="36"/>
        <v>99</v>
      </c>
      <c r="X326" s="2">
        <f t="shared" si="37"/>
        <v>99</v>
      </c>
      <c r="Y326" s="2">
        <f t="shared" si="38"/>
        <v>100</v>
      </c>
      <c r="Z326" s="2" t="str">
        <f t="shared" si="39"/>
        <v/>
      </c>
      <c r="AA326" s="2" t="str">
        <f t="shared" si="40"/>
        <v/>
      </c>
      <c r="AB326" s="2" t="str">
        <f t="shared" si="41"/>
        <v>Fully Accessible</v>
      </c>
      <c r="AC326" s="2">
        <f t="shared" si="42"/>
        <v>0.2414516120000002</v>
      </c>
      <c r="AO326" s="6"/>
      <c r="AP326" s="6"/>
      <c r="AQ326" s="6"/>
      <c r="AS326" s="6"/>
      <c r="AT326" s="6"/>
      <c r="AU326" s="6"/>
      <c r="AX326" s="2">
        <f t="shared" si="43"/>
        <v>75880.679690000004</v>
      </c>
      <c r="AY326" s="2">
        <f t="shared" si="44"/>
        <v>120.32099914</v>
      </c>
      <c r="AZ326" s="2">
        <f t="shared" si="45"/>
        <v>75760.358690859997</v>
      </c>
      <c r="BA326" s="6"/>
    </row>
    <row r="327" spans="1:53" x14ac:dyDescent="0.25">
      <c r="A327" s="2" t="s">
        <v>224</v>
      </c>
      <c r="B327" s="2">
        <v>2020</v>
      </c>
      <c r="C327" s="2">
        <v>37846.605470000002</v>
      </c>
      <c r="D327" s="2">
        <v>60.043003079999998</v>
      </c>
      <c r="E327" s="2">
        <v>99.966591550000004</v>
      </c>
      <c r="F327" s="2">
        <v>0</v>
      </c>
      <c r="G327" s="2">
        <v>3.3408445289999998E-2</v>
      </c>
      <c r="H327" s="2">
        <v>0</v>
      </c>
      <c r="I327" s="2">
        <v>100</v>
      </c>
      <c r="J327" s="2">
        <v>0</v>
      </c>
      <c r="K327" s="2">
        <v>0</v>
      </c>
      <c r="L327" s="2">
        <v>0</v>
      </c>
      <c r="M327" s="2">
        <v>99.944354840000003</v>
      </c>
      <c r="N327" s="2">
        <v>0</v>
      </c>
      <c r="O327" s="2">
        <v>5.5645161290000002E-2</v>
      </c>
      <c r="P327" s="2">
        <v>0</v>
      </c>
      <c r="Q327" s="2" t="str">
        <f t="shared" si="32"/>
        <v>Poland|2020</v>
      </c>
      <c r="R327" s="2" t="str">
        <f t="shared" si="33"/>
        <v xml:space="preserve"> </v>
      </c>
      <c r="T327" s="2" t="b">
        <f t="shared" si="34"/>
        <v>0</v>
      </c>
      <c r="U327" s="2" t="b">
        <f t="shared" si="46"/>
        <v>0</v>
      </c>
      <c r="V327" s="2" t="b">
        <f t="shared" si="35"/>
        <v>0</v>
      </c>
      <c r="W327" s="2">
        <f t="shared" si="36"/>
        <v>100</v>
      </c>
      <c r="X327" s="2">
        <f t="shared" si="37"/>
        <v>100</v>
      </c>
      <c r="Y327" s="2">
        <f t="shared" si="38"/>
        <v>100</v>
      </c>
      <c r="Z327" s="2" t="str">
        <f t="shared" si="39"/>
        <v/>
      </c>
      <c r="AA327" s="2" t="str">
        <f t="shared" si="40"/>
        <v/>
      </c>
      <c r="AB327" s="2" t="str">
        <f t="shared" si="41"/>
        <v/>
      </c>
      <c r="AC327" s="2">
        <f t="shared" si="42"/>
        <v>0</v>
      </c>
      <c r="AO327" s="6"/>
      <c r="AP327" s="6"/>
      <c r="AQ327" s="6"/>
      <c r="AS327" s="6"/>
      <c r="AT327" s="6"/>
      <c r="AU327" s="6"/>
      <c r="AX327" s="2" t="str">
        <f t="shared" si="43"/>
        <v>null</v>
      </c>
      <c r="AY327" s="2" t="str">
        <f t="shared" si="44"/>
        <v>null</v>
      </c>
      <c r="AZ327" s="2" t="str">
        <f t="shared" si="45"/>
        <v>null</v>
      </c>
      <c r="BA327" s="6"/>
    </row>
    <row r="328" spans="1:53" x14ac:dyDescent="0.25">
      <c r="A328" s="2" t="s">
        <v>225</v>
      </c>
      <c r="B328" s="2">
        <v>2015</v>
      </c>
      <c r="C328" s="2">
        <v>10368.3457</v>
      </c>
      <c r="D328" s="2">
        <v>63.513999939999998</v>
      </c>
      <c r="E328" s="2">
        <v>99.904689840000003</v>
      </c>
      <c r="F328" s="2">
        <v>0</v>
      </c>
      <c r="G328" s="2">
        <v>9.5310157000000006E-2</v>
      </c>
      <c r="H328" s="2">
        <v>0</v>
      </c>
      <c r="I328" s="2">
        <v>99.738776090000002</v>
      </c>
      <c r="J328" s="2">
        <v>0</v>
      </c>
      <c r="K328" s="2">
        <v>0.26122391220000002</v>
      </c>
      <c r="L328" s="2">
        <v>0</v>
      </c>
      <c r="M328" s="2">
        <v>100</v>
      </c>
      <c r="N328" s="2">
        <v>0</v>
      </c>
      <c r="O328" s="2">
        <v>0</v>
      </c>
      <c r="P328" s="2">
        <v>0</v>
      </c>
      <c r="Q328" s="2" t="str">
        <f t="shared" si="32"/>
        <v>Portugal|2015</v>
      </c>
      <c r="R328" s="2">
        <f t="shared" si="33"/>
        <v>5</v>
      </c>
      <c r="T328" s="2">
        <f t="shared" si="34"/>
        <v>1.4607659999995803E-3</v>
      </c>
      <c r="U328" s="2">
        <f t="shared" si="46"/>
        <v>0</v>
      </c>
      <c r="V328" s="2">
        <f t="shared" si="35"/>
        <v>0</v>
      </c>
      <c r="W328" s="2">
        <f t="shared" si="36"/>
        <v>100</v>
      </c>
      <c r="X328" s="2">
        <f t="shared" si="37"/>
        <v>100</v>
      </c>
      <c r="Y328" s="2">
        <f t="shared" si="38"/>
        <v>100</v>
      </c>
      <c r="Z328" s="2" t="str">
        <f t="shared" si="39"/>
        <v/>
      </c>
      <c r="AA328" s="2" t="str">
        <f t="shared" si="40"/>
        <v/>
      </c>
      <c r="AB328" s="2" t="str">
        <f t="shared" si="41"/>
        <v>Fully Accessible</v>
      </c>
      <c r="AC328" s="2">
        <f t="shared" si="42"/>
        <v>0</v>
      </c>
      <c r="AO328" s="6"/>
      <c r="AP328" s="6"/>
      <c r="AQ328" s="6"/>
      <c r="AS328" s="6"/>
      <c r="AT328" s="6"/>
      <c r="AU328" s="6"/>
      <c r="AX328" s="2">
        <f t="shared" si="43"/>
        <v>20565.052729999999</v>
      </c>
      <c r="AY328" s="2">
        <f t="shared" si="44"/>
        <v>129.82399749999999</v>
      </c>
      <c r="AZ328" s="2">
        <f t="shared" si="45"/>
        <v>20435.2287325</v>
      </c>
      <c r="BA328" s="6"/>
    </row>
    <row r="329" spans="1:53" x14ac:dyDescent="0.25">
      <c r="A329" s="2" t="s">
        <v>225</v>
      </c>
      <c r="B329" s="2">
        <v>2020</v>
      </c>
      <c r="C329" s="2">
        <v>10196.70703</v>
      </c>
      <c r="D329" s="2">
        <v>66.309997559999999</v>
      </c>
      <c r="E329" s="2">
        <v>99.911993670000001</v>
      </c>
      <c r="F329" s="2">
        <v>0</v>
      </c>
      <c r="G329" s="2">
        <v>8.8006333689999994E-2</v>
      </c>
      <c r="H329" s="2">
        <v>0</v>
      </c>
      <c r="I329" s="2">
        <v>99.738776090000002</v>
      </c>
      <c r="J329" s="2">
        <v>0</v>
      </c>
      <c r="K329" s="2">
        <v>0.26122391220000002</v>
      </c>
      <c r="L329" s="2">
        <v>0</v>
      </c>
      <c r="M329" s="2">
        <v>100</v>
      </c>
      <c r="N329" s="2">
        <v>0</v>
      </c>
      <c r="O329" s="2">
        <v>0</v>
      </c>
      <c r="P329" s="2">
        <v>0</v>
      </c>
      <c r="Q329" s="2" t="str">
        <f t="shared" si="32"/>
        <v>Portugal|2020</v>
      </c>
      <c r="R329" s="2" t="str">
        <f t="shared" si="33"/>
        <v xml:space="preserve"> </v>
      </c>
      <c r="T329" s="2" t="b">
        <f t="shared" si="34"/>
        <v>0</v>
      </c>
      <c r="U329" s="2" t="b">
        <f t="shared" si="46"/>
        <v>0</v>
      </c>
      <c r="V329" s="2" t="b">
        <f t="shared" si="35"/>
        <v>0</v>
      </c>
      <c r="W329" s="2">
        <f t="shared" si="36"/>
        <v>100</v>
      </c>
      <c r="X329" s="2">
        <f t="shared" si="37"/>
        <v>100</v>
      </c>
      <c r="Y329" s="2">
        <f t="shared" si="38"/>
        <v>100</v>
      </c>
      <c r="Z329" s="2" t="str">
        <f t="shared" si="39"/>
        <v/>
      </c>
      <c r="AA329" s="2" t="str">
        <f t="shared" si="40"/>
        <v/>
      </c>
      <c r="AB329" s="2" t="str">
        <f t="shared" si="41"/>
        <v/>
      </c>
      <c r="AC329" s="2">
        <f t="shared" si="42"/>
        <v>0</v>
      </c>
      <c r="AO329" s="6"/>
      <c r="AP329" s="6"/>
      <c r="AQ329" s="6"/>
      <c r="AS329" s="6"/>
      <c r="AT329" s="6"/>
      <c r="AU329" s="6"/>
      <c r="AX329" s="2" t="str">
        <f t="shared" si="43"/>
        <v>null</v>
      </c>
      <c r="AY329" s="2" t="str">
        <f t="shared" si="44"/>
        <v>null</v>
      </c>
      <c r="AZ329" s="2" t="str">
        <f t="shared" si="45"/>
        <v>null</v>
      </c>
      <c r="BA329" s="6"/>
    </row>
    <row r="330" spans="1:53" x14ac:dyDescent="0.25">
      <c r="A330" s="2" t="s">
        <v>226</v>
      </c>
      <c r="B330" s="2">
        <v>2015</v>
      </c>
      <c r="C330" s="2">
        <v>3381.5119629999999</v>
      </c>
      <c r="D330" s="2">
        <v>93.624000550000005</v>
      </c>
      <c r="E330" s="2">
        <v>99.425449760000006</v>
      </c>
      <c r="F330" s="2">
        <v>0</v>
      </c>
      <c r="G330" s="2">
        <v>0.57455024300000002</v>
      </c>
      <c r="H330" s="2">
        <v>0</v>
      </c>
      <c r="I330" s="2" t="s">
        <v>64</v>
      </c>
      <c r="J330" s="2" t="s">
        <v>64</v>
      </c>
      <c r="K330" s="2" t="s">
        <v>64</v>
      </c>
      <c r="L330" s="2" t="s">
        <v>64</v>
      </c>
      <c r="M330" s="2" t="s">
        <v>64</v>
      </c>
      <c r="N330" s="2" t="s">
        <v>64</v>
      </c>
      <c r="O330" s="2" t="s">
        <v>64</v>
      </c>
      <c r="P330" s="2" t="s">
        <v>64</v>
      </c>
      <c r="Q330" s="2" t="str">
        <f t="shared" si="32"/>
        <v>Puerto Rico|2015</v>
      </c>
      <c r="R330" s="2">
        <f t="shared" si="33"/>
        <v>5</v>
      </c>
      <c r="T330" s="2">
        <f t="shared" si="34"/>
        <v>0.11491004799999871</v>
      </c>
      <c r="U330" s="2" t="str">
        <f t="shared" si="46"/>
        <v>null</v>
      </c>
      <c r="V330" s="2" t="str">
        <f t="shared" si="35"/>
        <v>null</v>
      </c>
      <c r="W330" s="2">
        <f t="shared" si="36"/>
        <v>99</v>
      </c>
      <c r="X330" s="2" t="b">
        <f t="shared" si="37"/>
        <v>0</v>
      </c>
      <c r="Y330" s="2" t="b">
        <f t="shared" si="38"/>
        <v>0</v>
      </c>
      <c r="Z330" s="2" t="str">
        <f t="shared" si="39"/>
        <v/>
      </c>
      <c r="AA330" s="2" t="str">
        <f t="shared" si="40"/>
        <v>Fully Accessible</v>
      </c>
      <c r="AB330" s="2" t="str">
        <f t="shared" si="41"/>
        <v>Fully Accessible</v>
      </c>
      <c r="AC330" s="2" t="b">
        <f t="shared" si="42"/>
        <v>0</v>
      </c>
      <c r="AO330" s="6"/>
      <c r="AP330" s="6"/>
      <c r="AQ330" s="6"/>
      <c r="AS330" s="6"/>
      <c r="AT330" s="6"/>
      <c r="AU330" s="6"/>
      <c r="AX330" s="2">
        <f t="shared" si="43"/>
        <v>6242.3520509999998</v>
      </c>
      <c r="AY330" s="2">
        <f t="shared" si="44"/>
        <v>187.20500183000001</v>
      </c>
      <c r="AZ330" s="2">
        <f t="shared" si="45"/>
        <v>6055.1470491700002</v>
      </c>
      <c r="BA330" s="16"/>
    </row>
    <row r="331" spans="1:53" x14ac:dyDescent="0.25">
      <c r="A331" s="2" t="s">
        <v>226</v>
      </c>
      <c r="B331" s="2">
        <v>2020</v>
      </c>
      <c r="C331" s="2">
        <v>2860.8400879999999</v>
      </c>
      <c r="D331" s="2">
        <v>93.581001279999995</v>
      </c>
      <c r="E331" s="2">
        <v>100</v>
      </c>
      <c r="F331" s="2">
        <v>0</v>
      </c>
      <c r="G331" s="2">
        <v>0</v>
      </c>
      <c r="H331" s="2">
        <v>0</v>
      </c>
      <c r="I331" s="2" t="s">
        <v>64</v>
      </c>
      <c r="J331" s="2" t="s">
        <v>64</v>
      </c>
      <c r="K331" s="2" t="s">
        <v>64</v>
      </c>
      <c r="L331" s="2" t="s">
        <v>64</v>
      </c>
      <c r="M331" s="2" t="s">
        <v>64</v>
      </c>
      <c r="N331" s="2" t="s">
        <v>64</v>
      </c>
      <c r="O331" s="2" t="s">
        <v>64</v>
      </c>
      <c r="P331" s="2" t="s">
        <v>64</v>
      </c>
      <c r="Q331" s="2" t="str">
        <f t="shared" si="32"/>
        <v>Puerto Rico|2020</v>
      </c>
      <c r="R331" s="2" t="str">
        <f t="shared" si="33"/>
        <v xml:space="preserve"> </v>
      </c>
      <c r="T331" s="2" t="b">
        <f t="shared" si="34"/>
        <v>0</v>
      </c>
      <c r="U331" s="2" t="b">
        <f t="shared" si="46"/>
        <v>0</v>
      </c>
      <c r="V331" s="2" t="b">
        <f t="shared" si="35"/>
        <v>0</v>
      </c>
      <c r="W331" s="2">
        <f t="shared" si="36"/>
        <v>100</v>
      </c>
      <c r="X331" s="2" t="b">
        <f t="shared" si="37"/>
        <v>0</v>
      </c>
      <c r="Y331" s="2" t="b">
        <f t="shared" si="38"/>
        <v>0</v>
      </c>
      <c r="Z331" s="2" t="str">
        <f t="shared" si="39"/>
        <v/>
      </c>
      <c r="AA331" s="2" t="str">
        <f t="shared" si="40"/>
        <v/>
      </c>
      <c r="AB331" s="2" t="str">
        <f t="shared" si="41"/>
        <v/>
      </c>
      <c r="AC331" s="2">
        <f t="shared" si="42"/>
        <v>0</v>
      </c>
      <c r="AO331" s="6"/>
      <c r="AP331" s="6"/>
      <c r="AQ331" s="6"/>
      <c r="AS331" s="6"/>
      <c r="AT331" s="6"/>
      <c r="AU331" s="6"/>
      <c r="AX331" s="2" t="str">
        <f t="shared" si="43"/>
        <v>null</v>
      </c>
      <c r="AY331" s="2" t="str">
        <f t="shared" si="44"/>
        <v>null</v>
      </c>
      <c r="AZ331" s="2" t="str">
        <f t="shared" si="45"/>
        <v>null</v>
      </c>
      <c r="BA331" s="6"/>
    </row>
    <row r="332" spans="1:53" x14ac:dyDescent="0.25">
      <c r="A332" s="2" t="s">
        <v>227</v>
      </c>
      <c r="B332" s="2">
        <v>2015</v>
      </c>
      <c r="C332" s="2">
        <v>2565.7080080000001</v>
      </c>
      <c r="D332" s="2">
        <v>98.944992069999998</v>
      </c>
      <c r="E332" s="2">
        <v>99.691501380000005</v>
      </c>
      <c r="F332" s="2">
        <v>0</v>
      </c>
      <c r="G332" s="2">
        <v>0.30849861699999997</v>
      </c>
      <c r="H332" s="2">
        <v>0</v>
      </c>
      <c r="I332" s="2" t="s">
        <v>64</v>
      </c>
      <c r="J332" s="2" t="s">
        <v>64</v>
      </c>
      <c r="K332" s="2" t="s">
        <v>64</v>
      </c>
      <c r="L332" s="2" t="s">
        <v>64</v>
      </c>
      <c r="M332" s="2" t="s">
        <v>64</v>
      </c>
      <c r="N332" s="2" t="s">
        <v>64</v>
      </c>
      <c r="O332" s="2" t="s">
        <v>64</v>
      </c>
      <c r="P332" s="2" t="s">
        <v>64</v>
      </c>
      <c r="Q332" s="2" t="str">
        <f t="shared" si="32"/>
        <v>Qatar|2015</v>
      </c>
      <c r="R332" s="2">
        <f t="shared" si="33"/>
        <v>5</v>
      </c>
      <c r="T332" s="2">
        <f t="shared" si="34"/>
        <v>-2.4679888000000004E-2</v>
      </c>
      <c r="U332" s="2" t="str">
        <f t="shared" si="46"/>
        <v>null</v>
      </c>
      <c r="V332" s="2" t="str">
        <f t="shared" si="35"/>
        <v>null</v>
      </c>
      <c r="W332" s="2">
        <f t="shared" si="36"/>
        <v>100</v>
      </c>
      <c r="X332" s="2" t="b">
        <f t="shared" si="37"/>
        <v>0</v>
      </c>
      <c r="Y332" s="2" t="b">
        <f t="shared" si="38"/>
        <v>0</v>
      </c>
      <c r="Z332" s="2" t="str">
        <f t="shared" si="39"/>
        <v/>
      </c>
      <c r="AA332" s="2" t="str">
        <f t="shared" si="40"/>
        <v>Fully Accessible</v>
      </c>
      <c r="AB332" s="2" t="str">
        <f t="shared" si="41"/>
        <v>Fully Accessible</v>
      </c>
      <c r="AC332" s="2" t="b">
        <f t="shared" si="42"/>
        <v>0</v>
      </c>
      <c r="AO332" s="6"/>
      <c r="AP332" s="6"/>
      <c r="AQ332" s="6"/>
      <c r="AS332" s="6"/>
      <c r="AT332" s="6"/>
      <c r="AU332" s="6"/>
      <c r="AX332" s="2">
        <f t="shared" si="43"/>
        <v>5446.768067</v>
      </c>
      <c r="AY332" s="2">
        <f t="shared" si="44"/>
        <v>198.17999268</v>
      </c>
      <c r="AZ332" s="2">
        <f t="shared" si="45"/>
        <v>5248.5880743199996</v>
      </c>
      <c r="BA332" s="16"/>
    </row>
    <row r="333" spans="1:53" x14ac:dyDescent="0.25">
      <c r="A333" s="2" t="s">
        <v>227</v>
      </c>
      <c r="B333" s="2">
        <v>2020</v>
      </c>
      <c r="C333" s="2">
        <v>2881.0600589999999</v>
      </c>
      <c r="D333" s="2">
        <v>99.23500061</v>
      </c>
      <c r="E333" s="2">
        <v>99.568101940000005</v>
      </c>
      <c r="F333" s="2">
        <v>0</v>
      </c>
      <c r="G333" s="2">
        <v>0.4318980637</v>
      </c>
      <c r="H333" s="2">
        <v>0</v>
      </c>
      <c r="I333" s="2" t="s">
        <v>64</v>
      </c>
      <c r="J333" s="2" t="s">
        <v>64</v>
      </c>
      <c r="K333" s="2" t="s">
        <v>64</v>
      </c>
      <c r="L333" s="2" t="s">
        <v>64</v>
      </c>
      <c r="M333" s="2" t="s">
        <v>64</v>
      </c>
      <c r="N333" s="2" t="s">
        <v>64</v>
      </c>
      <c r="O333" s="2" t="s">
        <v>64</v>
      </c>
      <c r="P333" s="2" t="s">
        <v>64</v>
      </c>
      <c r="Q333" s="2" t="str">
        <f t="shared" si="32"/>
        <v>Qatar|2020</v>
      </c>
      <c r="R333" s="2" t="str">
        <f t="shared" si="33"/>
        <v xml:space="preserve"> </v>
      </c>
      <c r="T333" s="2" t="b">
        <f t="shared" si="34"/>
        <v>0</v>
      </c>
      <c r="U333" s="2" t="b">
        <f t="shared" si="46"/>
        <v>0</v>
      </c>
      <c r="V333" s="2" t="b">
        <f t="shared" si="35"/>
        <v>0</v>
      </c>
      <c r="W333" s="2">
        <f t="shared" si="36"/>
        <v>100</v>
      </c>
      <c r="X333" s="2" t="b">
        <f t="shared" si="37"/>
        <v>0</v>
      </c>
      <c r="Y333" s="2" t="b">
        <f t="shared" si="38"/>
        <v>0</v>
      </c>
      <c r="Z333" s="2" t="str">
        <f t="shared" si="39"/>
        <v/>
      </c>
      <c r="AA333" s="2" t="str">
        <f t="shared" si="40"/>
        <v/>
      </c>
      <c r="AB333" s="2" t="str">
        <f t="shared" si="41"/>
        <v/>
      </c>
      <c r="AC333" s="2">
        <f t="shared" si="42"/>
        <v>0</v>
      </c>
      <c r="AO333" s="6"/>
      <c r="AP333" s="6"/>
      <c r="AQ333" s="6"/>
      <c r="AS333" s="6"/>
      <c r="AT333" s="6"/>
      <c r="AU333" s="6"/>
      <c r="AX333" s="2" t="str">
        <f t="shared" si="43"/>
        <v>null</v>
      </c>
      <c r="AY333" s="2" t="str">
        <f t="shared" si="44"/>
        <v>null</v>
      </c>
      <c r="AZ333" s="2" t="str">
        <f t="shared" si="45"/>
        <v>null</v>
      </c>
      <c r="BA333" s="16"/>
    </row>
    <row r="334" spans="1:53" x14ac:dyDescent="0.25">
      <c r="A334" s="2" t="s">
        <v>228</v>
      </c>
      <c r="B334" s="2">
        <v>2015</v>
      </c>
      <c r="C334" s="2">
        <v>50823.085939999997</v>
      </c>
      <c r="D334" s="2">
        <v>81.634002690000003</v>
      </c>
      <c r="E334" s="2">
        <v>99.472746409999999</v>
      </c>
      <c r="F334" s="2">
        <v>0</v>
      </c>
      <c r="G334" s="2">
        <v>0.5272535907</v>
      </c>
      <c r="H334" s="2">
        <v>0</v>
      </c>
      <c r="I334" s="2" t="s">
        <v>64</v>
      </c>
      <c r="J334" s="2" t="s">
        <v>64</v>
      </c>
      <c r="K334" s="2" t="s">
        <v>64</v>
      </c>
      <c r="L334" s="2" t="s">
        <v>64</v>
      </c>
      <c r="M334" s="2" t="s">
        <v>64</v>
      </c>
      <c r="N334" s="2" t="s">
        <v>64</v>
      </c>
      <c r="O334" s="2" t="s">
        <v>64</v>
      </c>
      <c r="P334" s="2" t="s">
        <v>64</v>
      </c>
      <c r="Q334" s="2" t="str">
        <f t="shared" si="32"/>
        <v>Republic of Korea|2015</v>
      </c>
      <c r="R334" s="2">
        <f t="shared" si="33"/>
        <v>5</v>
      </c>
      <c r="T334" s="2">
        <f t="shared" si="34"/>
        <v>9.1730047999999439E-2</v>
      </c>
      <c r="U334" s="2" t="str">
        <f t="shared" si="46"/>
        <v>null</v>
      </c>
      <c r="V334" s="2" t="str">
        <f t="shared" si="35"/>
        <v>null</v>
      </c>
      <c r="W334" s="2">
        <f t="shared" si="36"/>
        <v>99</v>
      </c>
      <c r="X334" s="2" t="b">
        <f t="shared" si="37"/>
        <v>0</v>
      </c>
      <c r="Y334" s="2" t="b">
        <f t="shared" si="38"/>
        <v>0</v>
      </c>
      <c r="Z334" s="2" t="str">
        <f t="shared" si="39"/>
        <v/>
      </c>
      <c r="AA334" s="2" t="str">
        <f t="shared" si="40"/>
        <v>Fully Accessible</v>
      </c>
      <c r="AB334" s="2" t="str">
        <f t="shared" si="41"/>
        <v>Fully Accessible</v>
      </c>
      <c r="AC334" s="2" t="b">
        <f t="shared" si="42"/>
        <v>0</v>
      </c>
      <c r="AO334" s="6"/>
      <c r="AP334" s="6"/>
      <c r="AQ334" s="6"/>
      <c r="AS334" s="6"/>
      <c r="AT334" s="6"/>
      <c r="AU334" s="6"/>
      <c r="AX334" s="2">
        <f t="shared" si="43"/>
        <v>102092.26952999999</v>
      </c>
      <c r="AY334" s="2">
        <f t="shared" si="44"/>
        <v>163.04800415</v>
      </c>
      <c r="AZ334" s="2">
        <f t="shared" si="45"/>
        <v>101929.22152584999</v>
      </c>
      <c r="BA334" s="6"/>
    </row>
    <row r="335" spans="1:53" x14ac:dyDescent="0.25">
      <c r="A335" s="2" t="s">
        <v>228</v>
      </c>
      <c r="B335" s="2">
        <v>2020</v>
      </c>
      <c r="C335" s="2">
        <v>51269.183590000001</v>
      </c>
      <c r="D335" s="2">
        <v>81.414001459999994</v>
      </c>
      <c r="E335" s="2">
        <v>99.931396649999996</v>
      </c>
      <c r="F335" s="2">
        <v>0</v>
      </c>
      <c r="G335" s="2">
        <v>6.8603352960000002E-2</v>
      </c>
      <c r="H335" s="2">
        <v>0</v>
      </c>
      <c r="I335" s="2" t="s">
        <v>64</v>
      </c>
      <c r="J335" s="2" t="s">
        <v>64</v>
      </c>
      <c r="K335" s="2" t="s">
        <v>64</v>
      </c>
      <c r="L335" s="2" t="s">
        <v>64</v>
      </c>
      <c r="M335" s="2" t="s">
        <v>64</v>
      </c>
      <c r="N335" s="2" t="s">
        <v>64</v>
      </c>
      <c r="O335" s="2" t="s">
        <v>64</v>
      </c>
      <c r="P335" s="2" t="s">
        <v>64</v>
      </c>
      <c r="Q335" s="2" t="str">
        <f t="shared" si="32"/>
        <v>Republic of Korea|2020</v>
      </c>
      <c r="R335" s="2" t="str">
        <f t="shared" si="33"/>
        <v xml:space="preserve"> </v>
      </c>
      <c r="T335" s="2" t="b">
        <f t="shared" si="34"/>
        <v>0</v>
      </c>
      <c r="U335" s="2" t="b">
        <f t="shared" si="46"/>
        <v>0</v>
      </c>
      <c r="V335" s="2" t="b">
        <f t="shared" si="35"/>
        <v>0</v>
      </c>
      <c r="W335" s="2">
        <f t="shared" si="36"/>
        <v>100</v>
      </c>
      <c r="X335" s="2" t="b">
        <f t="shared" si="37"/>
        <v>0</v>
      </c>
      <c r="Y335" s="2" t="b">
        <f t="shared" si="38"/>
        <v>0</v>
      </c>
      <c r="Z335" s="2" t="str">
        <f t="shared" si="39"/>
        <v/>
      </c>
      <c r="AA335" s="2" t="str">
        <f t="shared" si="40"/>
        <v/>
      </c>
      <c r="AB335" s="2" t="str">
        <f t="shared" si="41"/>
        <v/>
      </c>
      <c r="AC335" s="2">
        <f t="shared" si="42"/>
        <v>0</v>
      </c>
      <c r="AO335" s="6"/>
      <c r="AP335" s="6"/>
      <c r="AQ335" s="6"/>
      <c r="AS335" s="6"/>
      <c r="AT335" s="6"/>
      <c r="AU335" s="6"/>
      <c r="AX335" s="2" t="str">
        <f t="shared" si="43"/>
        <v>null</v>
      </c>
      <c r="AY335" s="2" t="str">
        <f t="shared" si="44"/>
        <v>null</v>
      </c>
      <c r="AZ335" s="2" t="str">
        <f t="shared" si="45"/>
        <v>null</v>
      </c>
      <c r="BA335" s="6"/>
    </row>
    <row r="336" spans="1:53" x14ac:dyDescent="0.25">
      <c r="A336" s="2" t="s">
        <v>229</v>
      </c>
      <c r="B336" s="2">
        <v>2015</v>
      </c>
      <c r="C336" s="2">
        <v>4070.705078</v>
      </c>
      <c r="D336" s="2">
        <v>42.489997860000003</v>
      </c>
      <c r="E336" s="2">
        <v>88.576031900000004</v>
      </c>
      <c r="F336" s="2">
        <v>1.485629517</v>
      </c>
      <c r="G336" s="2">
        <v>9.9383385820000001</v>
      </c>
      <c r="H336" s="2">
        <v>0</v>
      </c>
      <c r="I336" s="2">
        <v>82.542490749999999</v>
      </c>
      <c r="J336" s="2">
        <v>1.4702224820000001</v>
      </c>
      <c r="K336" s="2">
        <v>15.987286770000001</v>
      </c>
      <c r="L336" s="2">
        <v>0</v>
      </c>
      <c r="M336" s="2">
        <v>96.742399399999996</v>
      </c>
      <c r="N336" s="2">
        <v>1.5064828610000001</v>
      </c>
      <c r="O336" s="2">
        <v>1.7511177389999999</v>
      </c>
      <c r="P336" s="2">
        <v>0</v>
      </c>
      <c r="Q336" s="2" t="str">
        <f t="shared" si="32"/>
        <v>Republic of Moldova|2015</v>
      </c>
      <c r="R336" s="2">
        <f t="shared" si="33"/>
        <v>5</v>
      </c>
      <c r="T336" s="2">
        <f t="shared" si="34"/>
        <v>0.39878606799999827</v>
      </c>
      <c r="U336" s="2">
        <f t="shared" si="46"/>
        <v>0.58770947399999895</v>
      </c>
      <c r="V336" s="2">
        <f t="shared" si="35"/>
        <v>0.12300901600000032</v>
      </c>
      <c r="W336" s="2">
        <f t="shared" si="36"/>
        <v>89</v>
      </c>
      <c r="X336" s="2">
        <f t="shared" si="37"/>
        <v>83</v>
      </c>
      <c r="Y336" s="2">
        <f t="shared" si="38"/>
        <v>97</v>
      </c>
      <c r="Z336" s="2" t="str">
        <f t="shared" si="39"/>
        <v/>
      </c>
      <c r="AA336" s="2" t="str">
        <f t="shared" si="40"/>
        <v/>
      </c>
      <c r="AB336" s="2" t="str">
        <f t="shared" si="41"/>
        <v>Fully Accessible</v>
      </c>
      <c r="AC336" s="2">
        <f t="shared" si="42"/>
        <v>0.46470045799999865</v>
      </c>
      <c r="AO336" s="6"/>
      <c r="AP336" s="6"/>
      <c r="AQ336" s="6"/>
      <c r="AS336" s="6"/>
      <c r="AT336" s="6"/>
      <c r="AU336" s="6"/>
      <c r="AX336" s="2">
        <f t="shared" si="43"/>
        <v>8104.6679690000001</v>
      </c>
      <c r="AY336" s="2">
        <f t="shared" si="44"/>
        <v>85.3390007</v>
      </c>
      <c r="AZ336" s="2">
        <f t="shared" si="45"/>
        <v>8019.3289683000003</v>
      </c>
      <c r="BA336" s="6"/>
    </row>
    <row r="337" spans="1:53" x14ac:dyDescent="0.25">
      <c r="A337" s="2" t="s">
        <v>229</v>
      </c>
      <c r="B337" s="2">
        <v>2020</v>
      </c>
      <c r="C337" s="2">
        <v>4033.9628910000001</v>
      </c>
      <c r="D337" s="2">
        <v>42.849002839999997</v>
      </c>
      <c r="E337" s="2">
        <v>90.569962239999995</v>
      </c>
      <c r="F337" s="2">
        <v>1.519776762</v>
      </c>
      <c r="G337" s="2">
        <v>7.910260997</v>
      </c>
      <c r="H337" s="2">
        <v>0</v>
      </c>
      <c r="I337" s="2">
        <v>85.481038119999994</v>
      </c>
      <c r="J337" s="2">
        <v>1.52256302</v>
      </c>
      <c r="K337" s="2">
        <v>12.996398859999999</v>
      </c>
      <c r="L337" s="2">
        <v>0</v>
      </c>
      <c r="M337" s="2">
        <v>97.357444479999998</v>
      </c>
      <c r="N337" s="2">
        <v>1.516060408</v>
      </c>
      <c r="O337" s="2">
        <v>1.1264951110000001</v>
      </c>
      <c r="P337" s="2">
        <v>0</v>
      </c>
      <c r="Q337" s="2" t="str">
        <f t="shared" si="32"/>
        <v>Republic of Moldova|2020</v>
      </c>
      <c r="R337" s="2" t="str">
        <f t="shared" si="33"/>
        <v xml:space="preserve"> </v>
      </c>
      <c r="T337" s="2" t="b">
        <f t="shared" si="34"/>
        <v>0</v>
      </c>
      <c r="U337" s="2" t="b">
        <f t="shared" si="46"/>
        <v>0</v>
      </c>
      <c r="V337" s="2" t="b">
        <f t="shared" si="35"/>
        <v>0</v>
      </c>
      <c r="W337" s="2">
        <f t="shared" si="36"/>
        <v>91</v>
      </c>
      <c r="X337" s="2">
        <f t="shared" si="37"/>
        <v>85</v>
      </c>
      <c r="Y337" s="2">
        <f t="shared" si="38"/>
        <v>97</v>
      </c>
      <c r="Z337" s="2" t="str">
        <f t="shared" si="39"/>
        <v/>
      </c>
      <c r="AA337" s="2" t="str">
        <f t="shared" si="40"/>
        <v/>
      </c>
      <c r="AB337" s="2" t="str">
        <f t="shared" si="41"/>
        <v/>
      </c>
      <c r="AC337" s="2">
        <f t="shared" si="42"/>
        <v>0</v>
      </c>
      <c r="AO337" s="6"/>
      <c r="AP337" s="6"/>
      <c r="AQ337" s="6"/>
      <c r="AS337" s="6"/>
      <c r="AT337" s="6"/>
      <c r="AU337" s="6"/>
      <c r="AX337" s="2" t="str">
        <f t="shared" si="43"/>
        <v>null</v>
      </c>
      <c r="AY337" s="2" t="str">
        <f t="shared" si="44"/>
        <v>null</v>
      </c>
      <c r="AZ337" s="2" t="str">
        <f t="shared" si="45"/>
        <v>null</v>
      </c>
      <c r="BA337" s="6"/>
    </row>
    <row r="338" spans="1:53" x14ac:dyDescent="0.25">
      <c r="A338" s="2" t="s">
        <v>230</v>
      </c>
      <c r="B338" s="2">
        <v>2015</v>
      </c>
      <c r="C338" s="2">
        <v>863.35900879999997</v>
      </c>
      <c r="D338" s="2">
        <v>99.339004520000003</v>
      </c>
      <c r="E338" s="2">
        <v>99.911530189999993</v>
      </c>
      <c r="F338" s="2">
        <v>0</v>
      </c>
      <c r="G338" s="2">
        <v>8.8469814100000002E-2</v>
      </c>
      <c r="H338" s="2">
        <v>0</v>
      </c>
      <c r="I338" s="2" t="s">
        <v>64</v>
      </c>
      <c r="J338" s="2" t="s">
        <v>64</v>
      </c>
      <c r="K338" s="2" t="s">
        <v>64</v>
      </c>
      <c r="L338" s="2" t="s">
        <v>64</v>
      </c>
      <c r="M338" s="2" t="s">
        <v>64</v>
      </c>
      <c r="N338" s="2" t="s">
        <v>64</v>
      </c>
      <c r="O338" s="2" t="s">
        <v>64</v>
      </c>
      <c r="P338" s="2" t="s">
        <v>64</v>
      </c>
      <c r="Q338" s="2" t="str">
        <f t="shared" si="32"/>
        <v>Réunion|2015</v>
      </c>
      <c r="R338" s="2">
        <f t="shared" si="33"/>
        <v>5</v>
      </c>
      <c r="T338" s="2">
        <f t="shared" si="34"/>
        <v>1.7693962000001305E-2</v>
      </c>
      <c r="U338" s="2" t="str">
        <f t="shared" si="46"/>
        <v>null</v>
      </c>
      <c r="V338" s="2" t="str">
        <f t="shared" si="35"/>
        <v>null</v>
      </c>
      <c r="W338" s="2">
        <f t="shared" si="36"/>
        <v>100</v>
      </c>
      <c r="X338" s="2" t="b">
        <f t="shared" si="37"/>
        <v>0</v>
      </c>
      <c r="Y338" s="2" t="b">
        <f t="shared" si="38"/>
        <v>0</v>
      </c>
      <c r="Z338" s="2" t="str">
        <f t="shared" si="39"/>
        <v/>
      </c>
      <c r="AA338" s="2" t="str">
        <f t="shared" si="40"/>
        <v>Fully Accessible</v>
      </c>
      <c r="AB338" s="2" t="str">
        <f t="shared" si="41"/>
        <v>Fully Accessible</v>
      </c>
      <c r="AC338" s="2" t="b">
        <f t="shared" si="42"/>
        <v>0</v>
      </c>
      <c r="AO338" s="6"/>
      <c r="AP338" s="6"/>
      <c r="AQ338" s="6"/>
      <c r="AS338" s="6"/>
      <c r="AT338" s="6"/>
      <c r="AU338" s="6"/>
      <c r="AX338" s="2">
        <f t="shared" si="43"/>
        <v>1758.6669922000001</v>
      </c>
      <c r="AY338" s="2">
        <f t="shared" si="44"/>
        <v>198.99800873000001</v>
      </c>
      <c r="AZ338" s="2">
        <f t="shared" si="45"/>
        <v>1559.6689834700001</v>
      </c>
      <c r="BA338" s="16"/>
    </row>
    <row r="339" spans="1:53" x14ac:dyDescent="0.25">
      <c r="A339" s="2" t="s">
        <v>230</v>
      </c>
      <c r="B339" s="2">
        <v>2020</v>
      </c>
      <c r="C339" s="2">
        <v>895.30798340000001</v>
      </c>
      <c r="D339" s="2">
        <v>99.659004210000006</v>
      </c>
      <c r="E339" s="2">
        <v>100</v>
      </c>
      <c r="F339" s="2">
        <v>0</v>
      </c>
      <c r="G339" s="2">
        <v>0</v>
      </c>
      <c r="H339" s="2">
        <v>0</v>
      </c>
      <c r="I339" s="2" t="s">
        <v>64</v>
      </c>
      <c r="J339" s="2" t="s">
        <v>64</v>
      </c>
      <c r="K339" s="2" t="s">
        <v>64</v>
      </c>
      <c r="L339" s="2" t="s">
        <v>64</v>
      </c>
      <c r="M339" s="2" t="s">
        <v>64</v>
      </c>
      <c r="N339" s="2" t="s">
        <v>64</v>
      </c>
      <c r="O339" s="2" t="s">
        <v>64</v>
      </c>
      <c r="P339" s="2" t="s">
        <v>64</v>
      </c>
      <c r="Q339" s="2" t="str">
        <f t="shared" si="32"/>
        <v>Réunion|2020</v>
      </c>
      <c r="R339" s="2" t="str">
        <f t="shared" si="33"/>
        <v xml:space="preserve"> </v>
      </c>
      <c r="T339" s="2" t="b">
        <f t="shared" si="34"/>
        <v>0</v>
      </c>
      <c r="U339" s="2" t="b">
        <f t="shared" si="46"/>
        <v>0</v>
      </c>
      <c r="V339" s="2" t="b">
        <f t="shared" si="35"/>
        <v>0</v>
      </c>
      <c r="W339" s="2">
        <f t="shared" si="36"/>
        <v>100</v>
      </c>
      <c r="X339" s="2" t="b">
        <f t="shared" si="37"/>
        <v>0</v>
      </c>
      <c r="Y339" s="2" t="b">
        <f t="shared" si="38"/>
        <v>0</v>
      </c>
      <c r="Z339" s="2" t="str">
        <f t="shared" si="39"/>
        <v/>
      </c>
      <c r="AA339" s="2" t="str">
        <f t="shared" si="40"/>
        <v/>
      </c>
      <c r="AB339" s="2" t="str">
        <f t="shared" si="41"/>
        <v/>
      </c>
      <c r="AC339" s="2">
        <f t="shared" si="42"/>
        <v>0</v>
      </c>
      <c r="AO339" s="6"/>
      <c r="AP339" s="6"/>
      <c r="AQ339" s="6"/>
      <c r="AS339" s="6"/>
      <c r="AT339" s="6"/>
      <c r="AU339" s="6"/>
      <c r="AX339" s="2" t="str">
        <f t="shared" si="43"/>
        <v>null</v>
      </c>
      <c r="AY339" s="2" t="str">
        <f t="shared" si="44"/>
        <v>null</v>
      </c>
      <c r="AZ339" s="2" t="str">
        <f t="shared" si="45"/>
        <v>null</v>
      </c>
      <c r="BA339" s="6"/>
    </row>
    <row r="340" spans="1:53" x14ac:dyDescent="0.25">
      <c r="A340" s="2" t="s">
        <v>231</v>
      </c>
      <c r="B340" s="2">
        <v>2015</v>
      </c>
      <c r="C340" s="2">
        <v>19925.181639999999</v>
      </c>
      <c r="D340" s="2">
        <v>53.886997219999998</v>
      </c>
      <c r="E340" s="2">
        <v>100</v>
      </c>
      <c r="F340" s="2">
        <v>0</v>
      </c>
      <c r="G340" s="2">
        <v>0</v>
      </c>
      <c r="H340" s="2">
        <v>0</v>
      </c>
      <c r="I340" s="2">
        <v>100</v>
      </c>
      <c r="J340" s="2">
        <v>0</v>
      </c>
      <c r="K340" s="2">
        <v>0</v>
      </c>
      <c r="L340" s="2">
        <v>0</v>
      </c>
      <c r="M340" s="2">
        <v>100</v>
      </c>
      <c r="N340" s="2">
        <v>0</v>
      </c>
      <c r="O340" s="2">
        <v>0</v>
      </c>
      <c r="P340" s="2">
        <v>0</v>
      </c>
      <c r="Q340" s="2" t="str">
        <f t="shared" si="32"/>
        <v>Romania|2015</v>
      </c>
      <c r="R340" s="2">
        <f t="shared" si="33"/>
        <v>5</v>
      </c>
      <c r="T340" s="2">
        <f t="shared" si="34"/>
        <v>0</v>
      </c>
      <c r="U340" s="2">
        <f t="shared" si="46"/>
        <v>0</v>
      </c>
      <c r="V340" s="2">
        <f t="shared" si="35"/>
        <v>0</v>
      </c>
      <c r="W340" s="2">
        <f t="shared" si="36"/>
        <v>100</v>
      </c>
      <c r="X340" s="2">
        <f t="shared" si="37"/>
        <v>100</v>
      </c>
      <c r="Y340" s="2">
        <f t="shared" si="38"/>
        <v>100</v>
      </c>
      <c r="Z340" s="2" t="str">
        <f t="shared" si="39"/>
        <v/>
      </c>
      <c r="AA340" s="2" t="str">
        <f t="shared" si="40"/>
        <v/>
      </c>
      <c r="AB340" s="2" t="str">
        <f t="shared" si="41"/>
        <v>Fully Accessible</v>
      </c>
      <c r="AC340" s="2">
        <f t="shared" si="42"/>
        <v>0</v>
      </c>
      <c r="AO340" s="6"/>
      <c r="AP340" s="6"/>
      <c r="AQ340" s="6"/>
      <c r="AS340" s="6"/>
      <c r="AT340" s="6"/>
      <c r="AU340" s="6"/>
      <c r="AX340" s="2">
        <f t="shared" si="43"/>
        <v>39162.863279999998</v>
      </c>
      <c r="AY340" s="2">
        <f t="shared" si="44"/>
        <v>108.08099745999999</v>
      </c>
      <c r="AZ340" s="2">
        <f t="shared" si="45"/>
        <v>39054.78228254</v>
      </c>
      <c r="BA340" s="16"/>
    </row>
    <row r="341" spans="1:53" x14ac:dyDescent="0.25">
      <c r="A341" s="2" t="s">
        <v>231</v>
      </c>
      <c r="B341" s="2">
        <v>2020</v>
      </c>
      <c r="C341" s="2">
        <v>19237.681639999999</v>
      </c>
      <c r="D341" s="2">
        <v>54.194000240000001</v>
      </c>
      <c r="E341" s="2">
        <v>100</v>
      </c>
      <c r="F341" s="2">
        <v>0</v>
      </c>
      <c r="G341" s="2">
        <v>0</v>
      </c>
      <c r="H341" s="2">
        <v>0</v>
      </c>
      <c r="I341" s="2">
        <v>100</v>
      </c>
      <c r="J341" s="2">
        <v>0</v>
      </c>
      <c r="K341" s="2">
        <v>0</v>
      </c>
      <c r="L341" s="2">
        <v>0</v>
      </c>
      <c r="M341" s="2">
        <v>100</v>
      </c>
      <c r="N341" s="2">
        <v>0</v>
      </c>
      <c r="O341" s="2">
        <v>0</v>
      </c>
      <c r="P341" s="2">
        <v>0</v>
      </c>
      <c r="Q341" s="2" t="str">
        <f t="shared" si="32"/>
        <v>Romania|2020</v>
      </c>
      <c r="R341" s="2" t="str">
        <f t="shared" si="33"/>
        <v xml:space="preserve"> </v>
      </c>
      <c r="T341" s="2" t="b">
        <f t="shared" si="34"/>
        <v>0</v>
      </c>
      <c r="U341" s="2" t="b">
        <f t="shared" si="46"/>
        <v>0</v>
      </c>
      <c r="V341" s="2" t="b">
        <f t="shared" si="35"/>
        <v>0</v>
      </c>
      <c r="W341" s="2">
        <f t="shared" si="36"/>
        <v>100</v>
      </c>
      <c r="X341" s="2">
        <f t="shared" si="37"/>
        <v>100</v>
      </c>
      <c r="Y341" s="2">
        <f t="shared" si="38"/>
        <v>100</v>
      </c>
      <c r="Z341" s="2" t="str">
        <f t="shared" si="39"/>
        <v/>
      </c>
      <c r="AA341" s="2" t="str">
        <f t="shared" si="40"/>
        <v/>
      </c>
      <c r="AB341" s="2" t="str">
        <f t="shared" si="41"/>
        <v/>
      </c>
      <c r="AC341" s="2">
        <f t="shared" si="42"/>
        <v>0</v>
      </c>
      <c r="AO341" s="6"/>
      <c r="AP341" s="6"/>
      <c r="AQ341" s="6"/>
      <c r="AS341" s="6"/>
      <c r="AT341" s="6"/>
      <c r="AU341" s="6"/>
      <c r="AX341" s="2" t="str">
        <f t="shared" si="43"/>
        <v>null</v>
      </c>
      <c r="AY341" s="2" t="str">
        <f t="shared" si="44"/>
        <v>null</v>
      </c>
      <c r="AZ341" s="2" t="str">
        <f t="shared" si="45"/>
        <v>null</v>
      </c>
      <c r="BA341" s="16"/>
    </row>
    <row r="342" spans="1:53" x14ac:dyDescent="0.25">
      <c r="A342" s="2" t="s">
        <v>232</v>
      </c>
      <c r="B342" s="2">
        <v>2015</v>
      </c>
      <c r="C342" s="2">
        <v>144985.0625</v>
      </c>
      <c r="D342" s="2">
        <v>74.049995420000002</v>
      </c>
      <c r="E342" s="2">
        <v>96.527155429999993</v>
      </c>
      <c r="F342" s="2">
        <v>0.62448653440000002</v>
      </c>
      <c r="G342" s="2">
        <v>2.848358036</v>
      </c>
      <c r="H342" s="2" t="s">
        <v>64</v>
      </c>
      <c r="I342" s="2">
        <v>90.110109010000002</v>
      </c>
      <c r="J342" s="2">
        <v>1.558364042</v>
      </c>
      <c r="K342" s="2">
        <v>8.3315269460000003</v>
      </c>
      <c r="L342" s="2" t="s">
        <v>64</v>
      </c>
      <c r="M342" s="2">
        <v>98.775934890000002</v>
      </c>
      <c r="N342" s="2">
        <v>0.29721946310000003</v>
      </c>
      <c r="O342" s="2">
        <v>0.72684564200000001</v>
      </c>
      <c r="P342" s="2">
        <v>0.2</v>
      </c>
      <c r="Q342" s="2" t="str">
        <f t="shared" si="32"/>
        <v>Russian Federation|2015</v>
      </c>
      <c r="R342" s="2">
        <f t="shared" si="33"/>
        <v>5</v>
      </c>
      <c r="T342" s="2">
        <f t="shared" si="34"/>
        <v>9.307852800000091E-2</v>
      </c>
      <c r="U342" s="2">
        <f t="shared" si="46"/>
        <v>0.2867985900000008</v>
      </c>
      <c r="V342" s="2">
        <f t="shared" si="35"/>
        <v>1.1332944000000112E-2</v>
      </c>
      <c r="W342" s="2">
        <f t="shared" si="36"/>
        <v>97</v>
      </c>
      <c r="X342" s="2">
        <f t="shared" si="37"/>
        <v>90</v>
      </c>
      <c r="Y342" s="2">
        <f t="shared" si="38"/>
        <v>99</v>
      </c>
      <c r="Z342" s="2" t="str">
        <f t="shared" si="39"/>
        <v/>
      </c>
      <c r="AA342" s="2" t="str">
        <f t="shared" si="40"/>
        <v/>
      </c>
      <c r="AB342" s="2" t="str">
        <f t="shared" si="41"/>
        <v>Fully Accessible</v>
      </c>
      <c r="AC342" s="2">
        <f t="shared" si="42"/>
        <v>0.27546564600000067</v>
      </c>
      <c r="AO342" s="6"/>
      <c r="AP342" s="6"/>
      <c r="AQ342" s="6"/>
      <c r="AS342" s="6"/>
      <c r="AT342" s="6"/>
      <c r="AU342" s="6"/>
      <c r="AX342" s="2">
        <f t="shared" si="43"/>
        <v>290919.51560000004</v>
      </c>
      <c r="AY342" s="2">
        <f t="shared" si="44"/>
        <v>148.80400085000002</v>
      </c>
      <c r="AZ342" s="2">
        <f t="shared" si="45"/>
        <v>290770.71159915003</v>
      </c>
      <c r="BA342" s="6"/>
    </row>
    <row r="343" spans="1:53" x14ac:dyDescent="0.25">
      <c r="A343" s="2" t="s">
        <v>232</v>
      </c>
      <c r="B343" s="2">
        <v>2020</v>
      </c>
      <c r="C343" s="2">
        <v>145934.45310000001</v>
      </c>
      <c r="D343" s="2">
        <v>74.754005430000007</v>
      </c>
      <c r="E343" s="2">
        <v>96.992548069999998</v>
      </c>
      <c r="F343" s="2">
        <v>0.62199637659999996</v>
      </c>
      <c r="G343" s="2">
        <v>2.3854555500000001</v>
      </c>
      <c r="H343" s="2" t="s">
        <v>64</v>
      </c>
      <c r="I343" s="2">
        <v>91.544101960000006</v>
      </c>
      <c r="J343" s="2">
        <v>1.5831635129999999</v>
      </c>
      <c r="K343" s="2">
        <v>6.8727345309999999</v>
      </c>
      <c r="L343" s="2" t="s">
        <v>64</v>
      </c>
      <c r="M343" s="2">
        <v>98.832599610000003</v>
      </c>
      <c r="N343" s="2">
        <v>0.29738996870000001</v>
      </c>
      <c r="O343" s="2">
        <v>0.67001042359999996</v>
      </c>
      <c r="P343" s="2">
        <v>0.2</v>
      </c>
      <c r="Q343" s="2" t="str">
        <f t="shared" si="32"/>
        <v>Russian Federation|2020</v>
      </c>
      <c r="R343" s="2" t="str">
        <f t="shared" si="33"/>
        <v xml:space="preserve"> </v>
      </c>
      <c r="T343" s="2" t="b">
        <f t="shared" si="34"/>
        <v>0</v>
      </c>
      <c r="U343" s="2" t="b">
        <f t="shared" si="46"/>
        <v>0</v>
      </c>
      <c r="V343" s="2" t="b">
        <f t="shared" si="35"/>
        <v>0</v>
      </c>
      <c r="W343" s="2">
        <f t="shared" si="36"/>
        <v>97</v>
      </c>
      <c r="X343" s="2">
        <f t="shared" si="37"/>
        <v>92</v>
      </c>
      <c r="Y343" s="2">
        <f t="shared" si="38"/>
        <v>99</v>
      </c>
      <c r="Z343" s="2" t="str">
        <f t="shared" si="39"/>
        <v/>
      </c>
      <c r="AA343" s="2" t="str">
        <f t="shared" si="40"/>
        <v/>
      </c>
      <c r="AB343" s="2" t="str">
        <f t="shared" si="41"/>
        <v/>
      </c>
      <c r="AC343" s="2">
        <f t="shared" si="42"/>
        <v>0</v>
      </c>
      <c r="AO343" s="6"/>
      <c r="AP343" s="6"/>
      <c r="AQ343" s="6"/>
      <c r="AS343" s="6"/>
      <c r="AT343" s="6"/>
      <c r="AU343" s="6"/>
      <c r="AX343" s="2" t="str">
        <f t="shared" si="43"/>
        <v>null</v>
      </c>
      <c r="AY343" s="2" t="str">
        <f t="shared" si="44"/>
        <v>null</v>
      </c>
      <c r="AZ343" s="2" t="str">
        <f t="shared" si="45"/>
        <v>null</v>
      </c>
      <c r="BA343" s="6"/>
    </row>
    <row r="344" spans="1:53" x14ac:dyDescent="0.25">
      <c r="A344" s="2" t="s">
        <v>233</v>
      </c>
      <c r="B344" s="2">
        <v>2015</v>
      </c>
      <c r="C344" s="2">
        <v>11369.066409999999</v>
      </c>
      <c r="D344" s="2">
        <v>17.003999709999999</v>
      </c>
      <c r="E344" s="2">
        <v>57.121774019999997</v>
      </c>
      <c r="F344" s="2">
        <v>22.154046149999999</v>
      </c>
      <c r="G344" s="2">
        <v>13.45013172</v>
      </c>
      <c r="H344" s="2">
        <v>7.2740481099999998</v>
      </c>
      <c r="I344" s="2">
        <v>52.352709560000001</v>
      </c>
      <c r="J344" s="2">
        <v>24.60883866</v>
      </c>
      <c r="K344" s="2">
        <v>14.980603540000001</v>
      </c>
      <c r="L344" s="2">
        <v>8.0578482410000003</v>
      </c>
      <c r="M344" s="2">
        <v>80.399437379999995</v>
      </c>
      <c r="N344" s="2">
        <v>10.172282620000001</v>
      </c>
      <c r="O344" s="2">
        <v>5.9799351659999997</v>
      </c>
      <c r="P344" s="2">
        <v>3.4483448280000002</v>
      </c>
      <c r="Q344" s="2" t="str">
        <f t="shared" si="32"/>
        <v>Rwanda|2015</v>
      </c>
      <c r="R344" s="2">
        <f t="shared" si="33"/>
        <v>5</v>
      </c>
      <c r="T344" s="2">
        <f t="shared" si="34"/>
        <v>0.65854542600000054</v>
      </c>
      <c r="U344" s="2">
        <f t="shared" si="46"/>
        <v>0.65795173399999951</v>
      </c>
      <c r="V344" s="2">
        <f t="shared" si="35"/>
        <v>0.52363238400000112</v>
      </c>
      <c r="W344" s="2">
        <f t="shared" si="36"/>
        <v>57</v>
      </c>
      <c r="X344" s="2">
        <f t="shared" si="37"/>
        <v>52</v>
      </c>
      <c r="Y344" s="2">
        <f t="shared" si="38"/>
        <v>80</v>
      </c>
      <c r="Z344" s="2" t="str">
        <f t="shared" si="39"/>
        <v/>
      </c>
      <c r="AA344" s="2" t="str">
        <f t="shared" si="40"/>
        <v/>
      </c>
      <c r="AB344" s="2" t="str">
        <f t="shared" si="41"/>
        <v>Fully Accessible</v>
      </c>
      <c r="AC344" s="2">
        <f t="shared" si="42"/>
        <v>0.13431934999999839</v>
      </c>
      <c r="AO344" s="6"/>
      <c r="AP344" s="6"/>
      <c r="AQ344" s="6"/>
      <c r="AS344" s="6"/>
      <c r="AT344" s="6"/>
      <c r="AU344" s="6"/>
      <c r="AX344" s="2">
        <f t="shared" si="43"/>
        <v>24321.275389999999</v>
      </c>
      <c r="AY344" s="2">
        <f t="shared" si="44"/>
        <v>34.436000820000004</v>
      </c>
      <c r="AZ344" s="2">
        <f t="shared" si="45"/>
        <v>24286.839389180001</v>
      </c>
      <c r="BA344" s="6"/>
    </row>
    <row r="345" spans="1:53" x14ac:dyDescent="0.25">
      <c r="A345" s="2" t="s">
        <v>233</v>
      </c>
      <c r="B345" s="2">
        <v>2020</v>
      </c>
      <c r="C345" s="2">
        <v>12952.208979999999</v>
      </c>
      <c r="D345" s="2">
        <v>17.432001110000002</v>
      </c>
      <c r="E345" s="2">
        <v>60.41450115</v>
      </c>
      <c r="F345" s="2">
        <v>22.3207193</v>
      </c>
      <c r="G345" s="2">
        <v>13.15480415</v>
      </c>
      <c r="H345" s="2">
        <v>4.1099754009999998</v>
      </c>
      <c r="I345" s="2">
        <v>55.642468229999999</v>
      </c>
      <c r="J345" s="2">
        <v>25.08014133</v>
      </c>
      <c r="K345" s="2">
        <v>14.778867719999999</v>
      </c>
      <c r="L345" s="2">
        <v>4.4985227139999999</v>
      </c>
      <c r="M345" s="2">
        <v>83.017599300000001</v>
      </c>
      <c r="N345" s="2">
        <v>9.2505062509999991</v>
      </c>
      <c r="O345" s="2">
        <v>5.4623030569999997</v>
      </c>
      <c r="P345" s="2">
        <v>2.2695913939999999</v>
      </c>
      <c r="Q345" s="2" t="str">
        <f t="shared" si="32"/>
        <v>Rwanda|2020</v>
      </c>
      <c r="R345" s="2" t="str">
        <f t="shared" si="33"/>
        <v xml:space="preserve"> </v>
      </c>
      <c r="T345" s="2" t="b">
        <f t="shared" si="34"/>
        <v>0</v>
      </c>
      <c r="U345" s="2" t="b">
        <f t="shared" si="46"/>
        <v>0</v>
      </c>
      <c r="V345" s="2" t="b">
        <f t="shared" si="35"/>
        <v>0</v>
      </c>
      <c r="W345" s="2">
        <f t="shared" si="36"/>
        <v>60</v>
      </c>
      <c r="X345" s="2">
        <f t="shared" si="37"/>
        <v>56</v>
      </c>
      <c r="Y345" s="2">
        <f t="shared" si="38"/>
        <v>83</v>
      </c>
      <c r="Z345" s="2" t="str">
        <f t="shared" si="39"/>
        <v/>
      </c>
      <c r="AA345" s="2" t="str">
        <f t="shared" si="40"/>
        <v/>
      </c>
      <c r="AB345" s="2" t="str">
        <f t="shared" si="41"/>
        <v/>
      </c>
      <c r="AC345" s="2">
        <f t="shared" si="42"/>
        <v>0</v>
      </c>
      <c r="AO345" s="6"/>
      <c r="AP345" s="6"/>
      <c r="AQ345" s="6"/>
      <c r="AS345" s="6"/>
      <c r="AT345" s="6"/>
      <c r="AU345" s="6"/>
      <c r="AX345" s="2" t="str">
        <f t="shared" si="43"/>
        <v>null</v>
      </c>
      <c r="AY345" s="2" t="str">
        <f t="shared" si="44"/>
        <v>null</v>
      </c>
      <c r="AZ345" s="2" t="str">
        <f t="shared" si="45"/>
        <v>null</v>
      </c>
      <c r="BA345" s="6"/>
    </row>
    <row r="346" spans="1:53" x14ac:dyDescent="0.25">
      <c r="A346" s="2" t="s">
        <v>234</v>
      </c>
      <c r="B346" s="2">
        <v>2015</v>
      </c>
      <c r="C346" s="2">
        <v>9.6959999999999997</v>
      </c>
      <c r="D346" s="2">
        <v>100</v>
      </c>
      <c r="E346" s="2">
        <v>99.964919269999996</v>
      </c>
      <c r="F346" s="2">
        <v>0</v>
      </c>
      <c r="G346" s="2">
        <v>3.5080726299999997E-2</v>
      </c>
      <c r="H346" s="2">
        <v>0</v>
      </c>
      <c r="I346" s="2" t="s">
        <v>64</v>
      </c>
      <c r="J346" s="2" t="s">
        <v>64</v>
      </c>
      <c r="K346" s="2" t="s">
        <v>64</v>
      </c>
      <c r="L346" s="2" t="s">
        <v>64</v>
      </c>
      <c r="M346" s="2">
        <v>99.964919269999996</v>
      </c>
      <c r="N346" s="2">
        <v>0</v>
      </c>
      <c r="O346" s="2">
        <v>3.5080726299999997E-2</v>
      </c>
      <c r="P346" s="2">
        <v>0</v>
      </c>
      <c r="Q346" s="2" t="str">
        <f t="shared" si="32"/>
        <v>Saint Barthelemy|2015</v>
      </c>
      <c r="R346" s="2">
        <f t="shared" si="33"/>
        <v>5</v>
      </c>
      <c r="T346" s="2">
        <f t="shared" si="34"/>
        <v>7.0161460000008448E-3</v>
      </c>
      <c r="U346" s="2" t="str">
        <f t="shared" si="46"/>
        <v>null</v>
      </c>
      <c r="V346" s="2">
        <f t="shared" si="35"/>
        <v>7.0161460000008448E-3</v>
      </c>
      <c r="W346" s="2">
        <f t="shared" si="36"/>
        <v>100</v>
      </c>
      <c r="X346" s="2" t="b">
        <f t="shared" si="37"/>
        <v>0</v>
      </c>
      <c r="Y346" s="2">
        <f t="shared" si="38"/>
        <v>100</v>
      </c>
      <c r="Z346" s="2" t="str">
        <f t="shared" si="39"/>
        <v/>
      </c>
      <c r="AA346" s="2" t="str">
        <f t="shared" si="40"/>
        <v>Fully Accessible</v>
      </c>
      <c r="AB346" s="2" t="str">
        <f t="shared" si="41"/>
        <v>Fully Accessible</v>
      </c>
      <c r="AC346" s="2" t="b">
        <f t="shared" si="42"/>
        <v>0</v>
      </c>
      <c r="AO346" s="6"/>
      <c r="AP346" s="6"/>
      <c r="AQ346" s="6"/>
      <c r="AS346" s="6"/>
      <c r="AT346" s="6"/>
      <c r="AU346" s="6"/>
      <c r="AX346" s="2">
        <f t="shared" si="43"/>
        <v>19.581</v>
      </c>
      <c r="AY346" s="2">
        <f t="shared" si="44"/>
        <v>200</v>
      </c>
      <c r="AZ346" s="2">
        <f t="shared" si="45"/>
        <v>-180.41900000000001</v>
      </c>
      <c r="BA346" s="16"/>
    </row>
    <row r="347" spans="1:53" x14ac:dyDescent="0.25">
      <c r="A347" s="2" t="s">
        <v>234</v>
      </c>
      <c r="B347" s="2">
        <v>2020</v>
      </c>
      <c r="C347" s="2">
        <v>9.8849999999999998</v>
      </c>
      <c r="D347" s="2">
        <v>100</v>
      </c>
      <c r="E347" s="2">
        <v>100</v>
      </c>
      <c r="F347" s="2">
        <v>0</v>
      </c>
      <c r="G347" s="2">
        <v>0</v>
      </c>
      <c r="H347" s="2">
        <v>0</v>
      </c>
      <c r="I347" s="2" t="s">
        <v>64</v>
      </c>
      <c r="J347" s="2" t="s">
        <v>64</v>
      </c>
      <c r="K347" s="2" t="s">
        <v>64</v>
      </c>
      <c r="L347" s="2" t="s">
        <v>64</v>
      </c>
      <c r="M347" s="2">
        <v>100</v>
      </c>
      <c r="N347" s="2">
        <v>0</v>
      </c>
      <c r="O347" s="2">
        <v>0</v>
      </c>
      <c r="P347" s="2">
        <v>0</v>
      </c>
      <c r="Q347" s="2" t="str">
        <f t="shared" si="32"/>
        <v>Saint Barthelemy|2020</v>
      </c>
      <c r="R347" s="2" t="str">
        <f t="shared" si="33"/>
        <v xml:space="preserve"> </v>
      </c>
      <c r="T347" s="2" t="b">
        <f t="shared" si="34"/>
        <v>0</v>
      </c>
      <c r="U347" s="2" t="b">
        <f t="shared" si="46"/>
        <v>0</v>
      </c>
      <c r="V347" s="2" t="b">
        <f t="shared" si="35"/>
        <v>0</v>
      </c>
      <c r="W347" s="2">
        <f t="shared" si="36"/>
        <v>100</v>
      </c>
      <c r="X347" s="2" t="b">
        <f t="shared" si="37"/>
        <v>0</v>
      </c>
      <c r="Y347" s="2">
        <f t="shared" si="38"/>
        <v>100</v>
      </c>
      <c r="Z347" s="2" t="str">
        <f t="shared" si="39"/>
        <v/>
      </c>
      <c r="AA347" s="2" t="str">
        <f t="shared" si="40"/>
        <v/>
      </c>
      <c r="AB347" s="2" t="str">
        <f t="shared" si="41"/>
        <v/>
      </c>
      <c r="AC347" s="2">
        <f t="shared" si="42"/>
        <v>0</v>
      </c>
      <c r="AO347" s="6"/>
      <c r="AP347" s="6"/>
      <c r="AQ347" s="6"/>
      <c r="AS347" s="6"/>
      <c r="AT347" s="6"/>
      <c r="AU347" s="6"/>
      <c r="AX347" s="2" t="str">
        <f t="shared" si="43"/>
        <v>null</v>
      </c>
      <c r="AY347" s="2" t="str">
        <f t="shared" si="44"/>
        <v>null</v>
      </c>
      <c r="AZ347" s="2" t="str">
        <f t="shared" si="45"/>
        <v>null</v>
      </c>
      <c r="BA347" s="6"/>
    </row>
    <row r="348" spans="1:53" x14ac:dyDescent="0.25">
      <c r="A348" s="2" t="s">
        <v>235</v>
      </c>
      <c r="B348" s="2">
        <v>2015</v>
      </c>
      <c r="C348" s="2">
        <v>5.8689999579999999</v>
      </c>
      <c r="D348" s="2">
        <v>39.539997100000001</v>
      </c>
      <c r="E348" s="2">
        <v>98.95</v>
      </c>
      <c r="F348" s="2">
        <v>0</v>
      </c>
      <c r="G348" s="2">
        <v>1.05</v>
      </c>
      <c r="H348" s="2">
        <v>0</v>
      </c>
      <c r="I348" s="2" t="s">
        <v>64</v>
      </c>
      <c r="J348" s="2" t="s">
        <v>64</v>
      </c>
      <c r="K348" s="2" t="s">
        <v>64</v>
      </c>
      <c r="L348" s="2" t="s">
        <v>64</v>
      </c>
      <c r="M348" s="2" t="s">
        <v>64</v>
      </c>
      <c r="N348" s="2" t="s">
        <v>64</v>
      </c>
      <c r="O348" s="2" t="s">
        <v>64</v>
      </c>
      <c r="P348" s="2" t="s">
        <v>64</v>
      </c>
      <c r="Q348" s="2" t="str">
        <f t="shared" si="32"/>
        <v>Saint Helena|2015</v>
      </c>
      <c r="R348" s="2">
        <f t="shared" si="33"/>
        <v>5</v>
      </c>
      <c r="T348" s="2">
        <f t="shared" si="34"/>
        <v>2.9999999999998295E-2</v>
      </c>
      <c r="U348" s="2" t="str">
        <f t="shared" si="46"/>
        <v>null</v>
      </c>
      <c r="V348" s="2" t="str">
        <f t="shared" si="35"/>
        <v>null</v>
      </c>
      <c r="W348" s="2">
        <f t="shared" si="36"/>
        <v>99</v>
      </c>
      <c r="X348" s="2" t="b">
        <f t="shared" si="37"/>
        <v>0</v>
      </c>
      <c r="Y348" s="2" t="b">
        <f t="shared" si="38"/>
        <v>0</v>
      </c>
      <c r="Z348" s="2" t="str">
        <f t="shared" si="39"/>
        <v/>
      </c>
      <c r="AA348" s="2" t="str">
        <f t="shared" si="40"/>
        <v>Fully Accessible</v>
      </c>
      <c r="AB348" s="2" t="str">
        <f t="shared" si="41"/>
        <v>Fully Accessible</v>
      </c>
      <c r="AC348" s="2" t="b">
        <f t="shared" si="42"/>
        <v>0</v>
      </c>
      <c r="AO348" s="6"/>
      <c r="AP348" s="6"/>
      <c r="AQ348" s="6"/>
      <c r="AS348" s="6"/>
      <c r="AT348" s="6"/>
      <c r="AU348" s="6"/>
      <c r="AX348" s="2">
        <f t="shared" si="43"/>
        <v>11.940000056999999</v>
      </c>
      <c r="AY348" s="2">
        <f t="shared" si="44"/>
        <v>79.621997829999998</v>
      </c>
      <c r="AZ348" s="2">
        <f t="shared" si="45"/>
        <v>-67.681997773000006</v>
      </c>
      <c r="BA348" s="16"/>
    </row>
    <row r="349" spans="1:53" x14ac:dyDescent="0.25">
      <c r="A349" s="2" t="s">
        <v>235</v>
      </c>
      <c r="B349" s="2">
        <v>2020</v>
      </c>
      <c r="C349" s="2">
        <v>6.0710000989999999</v>
      </c>
      <c r="D349" s="2">
        <v>40.082000729999997</v>
      </c>
      <c r="E349" s="2">
        <v>99.1</v>
      </c>
      <c r="F349" s="2">
        <v>0</v>
      </c>
      <c r="G349" s="2">
        <v>0.9</v>
      </c>
      <c r="H349" s="2">
        <v>0</v>
      </c>
      <c r="I349" s="2" t="s">
        <v>64</v>
      </c>
      <c r="J349" s="2" t="s">
        <v>64</v>
      </c>
      <c r="K349" s="2" t="s">
        <v>64</v>
      </c>
      <c r="L349" s="2" t="s">
        <v>64</v>
      </c>
      <c r="M349" s="2" t="s">
        <v>64</v>
      </c>
      <c r="N349" s="2" t="s">
        <v>64</v>
      </c>
      <c r="O349" s="2" t="s">
        <v>64</v>
      </c>
      <c r="P349" s="2" t="s">
        <v>64</v>
      </c>
      <c r="Q349" s="2" t="str">
        <f t="shared" si="32"/>
        <v>Saint Helena|2020</v>
      </c>
      <c r="R349" s="2" t="str">
        <f t="shared" si="33"/>
        <v xml:space="preserve"> </v>
      </c>
      <c r="T349" s="2" t="b">
        <f t="shared" si="34"/>
        <v>0</v>
      </c>
      <c r="U349" s="2" t="b">
        <f t="shared" si="46"/>
        <v>0</v>
      </c>
      <c r="V349" s="2" t="b">
        <f t="shared" si="35"/>
        <v>0</v>
      </c>
      <c r="W349" s="2">
        <f t="shared" si="36"/>
        <v>99</v>
      </c>
      <c r="X349" s="2" t="b">
        <f t="shared" si="37"/>
        <v>0</v>
      </c>
      <c r="Y349" s="2" t="b">
        <f t="shared" si="38"/>
        <v>0</v>
      </c>
      <c r="Z349" s="2" t="str">
        <f t="shared" si="39"/>
        <v/>
      </c>
      <c r="AA349" s="2" t="str">
        <f t="shared" si="40"/>
        <v/>
      </c>
      <c r="AB349" s="2" t="str">
        <f t="shared" si="41"/>
        <v/>
      </c>
      <c r="AC349" s="2">
        <f t="shared" si="42"/>
        <v>0</v>
      </c>
      <c r="AO349" s="6"/>
      <c r="AP349" s="6"/>
      <c r="AQ349" s="6"/>
      <c r="AS349" s="6"/>
      <c r="AT349" s="6"/>
      <c r="AU349" s="6"/>
      <c r="AX349" s="2" t="str">
        <f t="shared" si="43"/>
        <v>null</v>
      </c>
      <c r="AY349" s="2" t="str">
        <f t="shared" si="44"/>
        <v>null</v>
      </c>
      <c r="AZ349" s="2" t="str">
        <f t="shared" si="45"/>
        <v>null</v>
      </c>
      <c r="BA349" s="16"/>
    </row>
    <row r="350" spans="1:53" x14ac:dyDescent="0.25">
      <c r="A350" s="2" t="s">
        <v>236</v>
      </c>
      <c r="B350" s="2">
        <v>2015</v>
      </c>
      <c r="C350" s="2">
        <v>51.203998570000003</v>
      </c>
      <c r="D350" s="2">
        <v>30.82700157</v>
      </c>
      <c r="E350" s="2">
        <v>98.611854129999998</v>
      </c>
      <c r="F350" s="2">
        <v>0</v>
      </c>
      <c r="G350" s="2">
        <v>1.3881458680000001</v>
      </c>
      <c r="H350" s="2">
        <v>0</v>
      </c>
      <c r="I350" s="2" t="s">
        <v>64</v>
      </c>
      <c r="J350" s="2" t="s">
        <v>64</v>
      </c>
      <c r="K350" s="2" t="s">
        <v>64</v>
      </c>
      <c r="L350" s="2" t="s">
        <v>64</v>
      </c>
      <c r="M350" s="2" t="s">
        <v>64</v>
      </c>
      <c r="N350" s="2" t="s">
        <v>64</v>
      </c>
      <c r="O350" s="2" t="s">
        <v>64</v>
      </c>
      <c r="P350" s="2" t="s">
        <v>64</v>
      </c>
      <c r="Q350" s="2" t="str">
        <f t="shared" si="32"/>
        <v>Saint Kitts and Nevis|2015</v>
      </c>
      <c r="R350" s="2">
        <f t="shared" si="33"/>
        <v>2</v>
      </c>
      <c r="T350" s="2">
        <f t="shared" si="34"/>
        <v>0</v>
      </c>
      <c r="U350" s="2" t="str">
        <f t="shared" si="46"/>
        <v>null</v>
      </c>
      <c r="V350" s="2" t="str">
        <f t="shared" si="35"/>
        <v>null</v>
      </c>
      <c r="W350" s="2">
        <f t="shared" si="36"/>
        <v>99</v>
      </c>
      <c r="X350" s="2" t="b">
        <f t="shared" si="37"/>
        <v>0</v>
      </c>
      <c r="Y350" s="2" t="b">
        <f t="shared" si="38"/>
        <v>0</v>
      </c>
      <c r="Z350" s="2" t="str">
        <f t="shared" si="39"/>
        <v/>
      </c>
      <c r="AA350" s="2" t="str">
        <f t="shared" si="40"/>
        <v>Fully Accessible</v>
      </c>
      <c r="AB350" s="2" t="str">
        <f t="shared" si="41"/>
        <v>Fully Accessible</v>
      </c>
      <c r="AC350" s="2" t="b">
        <f t="shared" si="42"/>
        <v>0</v>
      </c>
      <c r="AO350" s="6"/>
      <c r="AP350" s="6"/>
      <c r="AQ350" s="6"/>
      <c r="AS350" s="6"/>
      <c r="AT350" s="6"/>
      <c r="AU350" s="6"/>
      <c r="AX350" s="2">
        <f t="shared" si="43"/>
        <v>103.23999787</v>
      </c>
      <c r="AY350" s="2">
        <f t="shared" si="44"/>
        <v>61.599998470000003</v>
      </c>
      <c r="AZ350" s="2">
        <f t="shared" si="45"/>
        <v>41.639999399999994</v>
      </c>
      <c r="BA350" s="6"/>
    </row>
    <row r="351" spans="1:53" x14ac:dyDescent="0.25">
      <c r="A351" s="2" t="s">
        <v>236</v>
      </c>
      <c r="B351" s="2">
        <v>2017</v>
      </c>
      <c r="C351" s="2">
        <v>52.0359993</v>
      </c>
      <c r="D351" s="2">
        <v>30.772996899999999</v>
      </c>
      <c r="E351" s="2">
        <v>98.611854129999998</v>
      </c>
      <c r="F351" s="2">
        <v>0</v>
      </c>
      <c r="G351" s="2">
        <v>1.3881458680000001</v>
      </c>
      <c r="H351" s="2">
        <v>0</v>
      </c>
      <c r="I351" s="2" t="s">
        <v>64</v>
      </c>
      <c r="J351" s="2" t="s">
        <v>64</v>
      </c>
      <c r="K351" s="2" t="s">
        <v>64</v>
      </c>
      <c r="L351" s="2" t="s">
        <v>64</v>
      </c>
      <c r="M351" s="2" t="s">
        <v>64</v>
      </c>
      <c r="N351" s="2" t="s">
        <v>64</v>
      </c>
      <c r="O351" s="2" t="s">
        <v>64</v>
      </c>
      <c r="P351" s="2" t="s">
        <v>64</v>
      </c>
      <c r="Q351" s="2" t="str">
        <f t="shared" si="32"/>
        <v>Saint Kitts and Nevis|2017</v>
      </c>
      <c r="R351" s="2" t="str">
        <f t="shared" si="33"/>
        <v xml:space="preserve"> </v>
      </c>
      <c r="T351" s="2" t="b">
        <f t="shared" si="34"/>
        <v>0</v>
      </c>
      <c r="U351" s="2" t="b">
        <f t="shared" si="46"/>
        <v>0</v>
      </c>
      <c r="V351" s="2" t="b">
        <f t="shared" si="35"/>
        <v>0</v>
      </c>
      <c r="W351" s="2">
        <f t="shared" si="36"/>
        <v>99</v>
      </c>
      <c r="X351" s="2" t="b">
        <f t="shared" si="37"/>
        <v>0</v>
      </c>
      <c r="Y351" s="2" t="b">
        <f t="shared" si="38"/>
        <v>0</v>
      </c>
      <c r="Z351" s="2" t="str">
        <f t="shared" si="39"/>
        <v/>
      </c>
      <c r="AA351" s="2" t="str">
        <f t="shared" si="40"/>
        <v/>
      </c>
      <c r="AB351" s="2" t="str">
        <f t="shared" si="41"/>
        <v/>
      </c>
      <c r="AC351" s="2">
        <f t="shared" si="42"/>
        <v>0</v>
      </c>
      <c r="AO351" s="6"/>
      <c r="AP351" s="6"/>
      <c r="AQ351" s="6"/>
      <c r="AS351" s="6"/>
      <c r="AT351" s="6"/>
      <c r="AU351" s="6"/>
      <c r="AX351" s="2" t="str">
        <f t="shared" si="43"/>
        <v>null</v>
      </c>
      <c r="AY351" s="2" t="str">
        <f t="shared" si="44"/>
        <v>null</v>
      </c>
      <c r="AZ351" s="2" t="str">
        <f t="shared" si="45"/>
        <v>null</v>
      </c>
      <c r="BA351" s="6"/>
    </row>
    <row r="352" spans="1:53" x14ac:dyDescent="0.25">
      <c r="A352" s="2" t="s">
        <v>237</v>
      </c>
      <c r="B352" s="2">
        <v>2015</v>
      </c>
      <c r="C352" s="2">
        <v>179.1309967</v>
      </c>
      <c r="D352" s="2">
        <v>18.51499939</v>
      </c>
      <c r="E352" s="2">
        <v>95.568094279999997</v>
      </c>
      <c r="F352" s="2">
        <v>1.790210415</v>
      </c>
      <c r="G352" s="2">
        <v>2.6416953030000001</v>
      </c>
      <c r="H352" s="2">
        <v>0</v>
      </c>
      <c r="I352" s="2">
        <v>95.312261239999998</v>
      </c>
      <c r="J352" s="2">
        <v>1.707252381</v>
      </c>
      <c r="K352" s="2">
        <v>2.9804863780000002</v>
      </c>
      <c r="L352" s="2">
        <v>0</v>
      </c>
      <c r="M352" s="2">
        <v>96.694033180000005</v>
      </c>
      <c r="N352" s="2">
        <v>2.1553111029999998</v>
      </c>
      <c r="O352" s="2">
        <v>1.1506557129999999</v>
      </c>
      <c r="P352" s="2">
        <v>0</v>
      </c>
      <c r="Q352" s="2" t="str">
        <f t="shared" si="32"/>
        <v>Saint Lucia|2015</v>
      </c>
      <c r="R352" s="2">
        <f t="shared" si="33"/>
        <v>5</v>
      </c>
      <c r="T352" s="2">
        <f t="shared" si="34"/>
        <v>0.26395005800000038</v>
      </c>
      <c r="U352" s="2">
        <f t="shared" si="46"/>
        <v>0.30035251799999968</v>
      </c>
      <c r="V352" s="2">
        <f t="shared" si="35"/>
        <v>0.10235780200000022</v>
      </c>
      <c r="W352" s="2">
        <f t="shared" si="36"/>
        <v>96</v>
      </c>
      <c r="X352" s="2">
        <f t="shared" si="37"/>
        <v>95</v>
      </c>
      <c r="Y352" s="2">
        <f t="shared" si="38"/>
        <v>97</v>
      </c>
      <c r="Z352" s="2" t="str">
        <f t="shared" si="39"/>
        <v/>
      </c>
      <c r="AA352" s="2" t="str">
        <f t="shared" si="40"/>
        <v/>
      </c>
      <c r="AB352" s="2" t="str">
        <f t="shared" si="41"/>
        <v>Fully Accessible</v>
      </c>
      <c r="AC352" s="2">
        <f t="shared" si="42"/>
        <v>0.19799471599999946</v>
      </c>
      <c r="AO352" s="6"/>
      <c r="AP352" s="6"/>
      <c r="AQ352" s="6"/>
      <c r="AS352" s="6"/>
      <c r="AT352" s="6"/>
      <c r="AU352" s="6"/>
      <c r="AX352" s="2">
        <f t="shared" si="43"/>
        <v>362.7599945</v>
      </c>
      <c r="AY352" s="2">
        <f t="shared" si="44"/>
        <v>37.355998990000003</v>
      </c>
      <c r="AZ352" s="2">
        <f t="shared" si="45"/>
        <v>325.40399551000002</v>
      </c>
      <c r="BA352" s="6"/>
    </row>
    <row r="353" spans="1:53" x14ac:dyDescent="0.25">
      <c r="A353" s="2" t="s">
        <v>237</v>
      </c>
      <c r="B353" s="2">
        <v>2020</v>
      </c>
      <c r="C353" s="2">
        <v>183.62899780000001</v>
      </c>
      <c r="D353" s="2">
        <v>18.8409996</v>
      </c>
      <c r="E353" s="2">
        <v>96.887844569999999</v>
      </c>
      <c r="F353" s="2">
        <v>1.815652166</v>
      </c>
      <c r="G353" s="2">
        <v>1.296503269</v>
      </c>
      <c r="H353" s="2">
        <v>0</v>
      </c>
      <c r="I353" s="2">
        <v>96.814023829999996</v>
      </c>
      <c r="J353" s="2">
        <v>1.7341522549999999</v>
      </c>
      <c r="K353" s="2">
        <v>1.4518239180000001</v>
      </c>
      <c r="L353" s="2">
        <v>0</v>
      </c>
      <c r="M353" s="2">
        <v>97.205822190000006</v>
      </c>
      <c r="N353" s="2">
        <v>2.166718886</v>
      </c>
      <c r="O353" s="2">
        <v>0.6274589237</v>
      </c>
      <c r="P353" s="2">
        <v>0</v>
      </c>
      <c r="Q353" s="2" t="str">
        <f t="shared" si="32"/>
        <v>Saint Lucia|2020</v>
      </c>
      <c r="R353" s="2" t="str">
        <f t="shared" si="33"/>
        <v xml:space="preserve"> </v>
      </c>
      <c r="T353" s="2" t="b">
        <f t="shared" si="34"/>
        <v>0</v>
      </c>
      <c r="U353" s="2" t="b">
        <f t="shared" si="46"/>
        <v>0</v>
      </c>
      <c r="V353" s="2" t="b">
        <f t="shared" si="35"/>
        <v>0</v>
      </c>
      <c r="W353" s="2">
        <f t="shared" si="36"/>
        <v>97</v>
      </c>
      <c r="X353" s="2">
        <f t="shared" si="37"/>
        <v>97</v>
      </c>
      <c r="Y353" s="2">
        <f t="shared" si="38"/>
        <v>97</v>
      </c>
      <c r="Z353" s="2" t="str">
        <f t="shared" si="39"/>
        <v/>
      </c>
      <c r="AA353" s="2" t="str">
        <f t="shared" si="40"/>
        <v/>
      </c>
      <c r="AB353" s="2" t="str">
        <f t="shared" si="41"/>
        <v/>
      </c>
      <c r="AC353" s="2">
        <f t="shared" si="42"/>
        <v>0</v>
      </c>
      <c r="AO353" s="6"/>
      <c r="AP353" s="6"/>
      <c r="AQ353" s="6"/>
      <c r="AS353" s="6"/>
      <c r="AT353" s="6"/>
      <c r="AU353" s="6"/>
      <c r="AX353" s="2" t="str">
        <f t="shared" si="43"/>
        <v>null</v>
      </c>
      <c r="AY353" s="2" t="str">
        <f t="shared" si="44"/>
        <v>null</v>
      </c>
      <c r="AZ353" s="2" t="str">
        <f t="shared" si="45"/>
        <v>null</v>
      </c>
      <c r="BA353" s="6"/>
    </row>
    <row r="354" spans="1:53" x14ac:dyDescent="0.25">
      <c r="A354" s="2" t="s">
        <v>238</v>
      </c>
      <c r="B354" s="2">
        <v>2015</v>
      </c>
      <c r="C354" s="2">
        <v>35.865000000000002</v>
      </c>
      <c r="D354" s="2">
        <v>100</v>
      </c>
      <c r="E354" s="2">
        <v>99.999774200000004</v>
      </c>
      <c r="F354" s="2">
        <v>0</v>
      </c>
      <c r="G354" s="2">
        <v>2.2580388819999999E-4</v>
      </c>
      <c r="H354" s="2">
        <v>0</v>
      </c>
      <c r="I354" s="2" t="s">
        <v>64</v>
      </c>
      <c r="J354" s="2" t="s">
        <v>64</v>
      </c>
      <c r="K354" s="2" t="s">
        <v>64</v>
      </c>
      <c r="L354" s="2" t="s">
        <v>64</v>
      </c>
      <c r="M354" s="2">
        <v>99.999774200000004</v>
      </c>
      <c r="N354" s="2">
        <v>0</v>
      </c>
      <c r="O354" s="2">
        <v>2.2580388819999999E-4</v>
      </c>
      <c r="P354" s="2">
        <v>0</v>
      </c>
      <c r="Q354" s="2" t="str">
        <f t="shared" si="32"/>
        <v>Saint Martin (French part)|2015</v>
      </c>
      <c r="R354" s="2">
        <f t="shared" si="33"/>
        <v>5</v>
      </c>
      <c r="T354" s="2">
        <f t="shared" si="34"/>
        <v>-1.0056200000008175E-4</v>
      </c>
      <c r="U354" s="2" t="str">
        <f t="shared" si="46"/>
        <v>null</v>
      </c>
      <c r="V354" s="2">
        <f t="shared" si="35"/>
        <v>-1.0056200000008175E-4</v>
      </c>
      <c r="W354" s="2">
        <f t="shared" si="36"/>
        <v>100</v>
      </c>
      <c r="X354" s="2" t="b">
        <f t="shared" si="37"/>
        <v>0</v>
      </c>
      <c r="Y354" s="2">
        <f t="shared" si="38"/>
        <v>100</v>
      </c>
      <c r="Z354" s="2" t="str">
        <f t="shared" si="39"/>
        <v/>
      </c>
      <c r="AA354" s="2" t="str">
        <f t="shared" si="40"/>
        <v>Fully Accessible</v>
      </c>
      <c r="AB354" s="2" t="str">
        <f t="shared" si="41"/>
        <v>Fully Accessible</v>
      </c>
      <c r="AC354" s="2" t="b">
        <f t="shared" si="42"/>
        <v>0</v>
      </c>
      <c r="AO354" s="6"/>
      <c r="AP354" s="6"/>
      <c r="AQ354" s="6"/>
      <c r="AS354" s="6"/>
      <c r="AT354" s="6"/>
      <c r="AU354" s="6"/>
      <c r="AX354" s="2">
        <f t="shared" si="43"/>
        <v>74.524000000000001</v>
      </c>
      <c r="AY354" s="2">
        <f t="shared" si="44"/>
        <v>200</v>
      </c>
      <c r="AZ354" s="2">
        <f t="shared" si="45"/>
        <v>-125.476</v>
      </c>
      <c r="BA354" s="16"/>
    </row>
    <row r="355" spans="1:53" x14ac:dyDescent="0.25">
      <c r="A355" s="2" t="s">
        <v>238</v>
      </c>
      <c r="B355" s="2">
        <v>2020</v>
      </c>
      <c r="C355" s="2">
        <v>38.658999999999999</v>
      </c>
      <c r="D355" s="2">
        <v>100</v>
      </c>
      <c r="E355" s="2">
        <v>99.999271390000004</v>
      </c>
      <c r="F355" s="2">
        <v>0</v>
      </c>
      <c r="G355" s="2">
        <v>7.2861055070000001E-4</v>
      </c>
      <c r="H355" s="2">
        <v>0</v>
      </c>
      <c r="I355" s="2" t="s">
        <v>64</v>
      </c>
      <c r="J355" s="2" t="s">
        <v>64</v>
      </c>
      <c r="K355" s="2" t="s">
        <v>64</v>
      </c>
      <c r="L355" s="2" t="s">
        <v>64</v>
      </c>
      <c r="M355" s="2">
        <v>99.999271390000004</v>
      </c>
      <c r="N355" s="2">
        <v>0</v>
      </c>
      <c r="O355" s="2">
        <v>7.2861055070000001E-4</v>
      </c>
      <c r="P355" s="2">
        <v>0</v>
      </c>
      <c r="Q355" s="2" t="str">
        <f t="shared" si="32"/>
        <v>Saint Martin (French part)|2020</v>
      </c>
      <c r="R355" s="2" t="str">
        <f t="shared" si="33"/>
        <v xml:space="preserve"> </v>
      </c>
      <c r="T355" s="2" t="b">
        <f t="shared" si="34"/>
        <v>0</v>
      </c>
      <c r="U355" s="2" t="b">
        <f t="shared" si="46"/>
        <v>0</v>
      </c>
      <c r="V355" s="2" t="b">
        <f t="shared" si="35"/>
        <v>0</v>
      </c>
      <c r="W355" s="2">
        <f t="shared" si="36"/>
        <v>100</v>
      </c>
      <c r="X355" s="2" t="b">
        <f t="shared" si="37"/>
        <v>0</v>
      </c>
      <c r="Y355" s="2">
        <f t="shared" si="38"/>
        <v>100</v>
      </c>
      <c r="Z355" s="2" t="str">
        <f t="shared" si="39"/>
        <v/>
      </c>
      <c r="AA355" s="2" t="str">
        <f t="shared" si="40"/>
        <v/>
      </c>
      <c r="AB355" s="2" t="str">
        <f t="shared" si="41"/>
        <v/>
      </c>
      <c r="AC355" s="2">
        <f t="shared" si="42"/>
        <v>0</v>
      </c>
      <c r="AO355" s="6"/>
      <c r="AP355" s="6"/>
      <c r="AQ355" s="6"/>
      <c r="AS355" s="6"/>
      <c r="AT355" s="6"/>
      <c r="AU355" s="6"/>
      <c r="AX355" s="2" t="str">
        <f t="shared" si="43"/>
        <v>null</v>
      </c>
      <c r="AY355" s="2" t="str">
        <f t="shared" si="44"/>
        <v>null</v>
      </c>
      <c r="AZ355" s="2" t="str">
        <f t="shared" si="45"/>
        <v>null</v>
      </c>
      <c r="BA355" s="6"/>
    </row>
    <row r="356" spans="1:53" x14ac:dyDescent="0.25">
      <c r="A356" s="2" t="s">
        <v>239</v>
      </c>
      <c r="B356" s="2">
        <v>2015</v>
      </c>
      <c r="C356" s="2">
        <v>5.9920001029999996</v>
      </c>
      <c r="D356" s="2">
        <v>89.888999940000005</v>
      </c>
      <c r="E356" s="2">
        <v>91.4</v>
      </c>
      <c r="F356" s="2">
        <v>0</v>
      </c>
      <c r="G356" s="2">
        <v>8.6</v>
      </c>
      <c r="H356" s="2">
        <v>0</v>
      </c>
      <c r="I356" s="2" t="s">
        <v>64</v>
      </c>
      <c r="J356" s="2" t="s">
        <v>64</v>
      </c>
      <c r="K356" s="2" t="s">
        <v>64</v>
      </c>
      <c r="L356" s="2" t="s">
        <v>64</v>
      </c>
      <c r="M356" s="2" t="s">
        <v>64</v>
      </c>
      <c r="N356" s="2" t="s">
        <v>64</v>
      </c>
      <c r="O356" s="2" t="s">
        <v>64</v>
      </c>
      <c r="P356" s="2" t="s">
        <v>64</v>
      </c>
      <c r="Q356" s="2" t="str">
        <f t="shared" si="32"/>
        <v>Saint Pierre and Miquelon|2015</v>
      </c>
      <c r="R356" s="2">
        <f t="shared" si="33"/>
        <v>5</v>
      </c>
      <c r="T356" s="2">
        <f t="shared" si="34"/>
        <v>0</v>
      </c>
      <c r="U356" s="2" t="str">
        <f t="shared" si="46"/>
        <v>null</v>
      </c>
      <c r="V356" s="2" t="str">
        <f t="shared" si="35"/>
        <v>null</v>
      </c>
      <c r="W356" s="2">
        <f t="shared" si="36"/>
        <v>91</v>
      </c>
      <c r="X356" s="2" t="b">
        <f t="shared" si="37"/>
        <v>0</v>
      </c>
      <c r="Y356" s="2" t="b">
        <f t="shared" si="38"/>
        <v>0</v>
      </c>
      <c r="Z356" s="2" t="str">
        <f t="shared" si="39"/>
        <v/>
      </c>
      <c r="AA356" s="2" t="str">
        <f t="shared" si="40"/>
        <v>Fully Accessible</v>
      </c>
      <c r="AB356" s="2" t="str">
        <f t="shared" si="41"/>
        <v>Fully Accessible</v>
      </c>
      <c r="AC356" s="2" t="b">
        <f t="shared" si="42"/>
        <v>0</v>
      </c>
      <c r="AO356" s="6"/>
      <c r="AP356" s="6"/>
      <c r="AQ356" s="6"/>
      <c r="AS356" s="6"/>
      <c r="AT356" s="6"/>
      <c r="AU356" s="6"/>
      <c r="AX356" s="2">
        <f t="shared" si="43"/>
        <v>11.787000179</v>
      </c>
      <c r="AY356" s="2">
        <f t="shared" si="44"/>
        <v>179.85099793000001</v>
      </c>
      <c r="AZ356" s="2">
        <f t="shared" si="45"/>
        <v>-168.06399775100002</v>
      </c>
      <c r="BA356" s="16"/>
    </row>
    <row r="357" spans="1:53" x14ac:dyDescent="0.25">
      <c r="A357" s="2" t="s">
        <v>239</v>
      </c>
      <c r="B357" s="2">
        <v>2020</v>
      </c>
      <c r="C357" s="2">
        <v>5.795000076</v>
      </c>
      <c r="D357" s="2">
        <v>89.96199799</v>
      </c>
      <c r="E357" s="2">
        <v>91.4</v>
      </c>
      <c r="F357" s="2">
        <v>0</v>
      </c>
      <c r="G357" s="2">
        <v>8.6</v>
      </c>
      <c r="H357" s="2">
        <v>0</v>
      </c>
      <c r="I357" s="2" t="s">
        <v>64</v>
      </c>
      <c r="J357" s="2" t="s">
        <v>64</v>
      </c>
      <c r="K357" s="2" t="s">
        <v>64</v>
      </c>
      <c r="L357" s="2" t="s">
        <v>64</v>
      </c>
      <c r="M357" s="2" t="s">
        <v>64</v>
      </c>
      <c r="N357" s="2" t="s">
        <v>64</v>
      </c>
      <c r="O357" s="2" t="s">
        <v>64</v>
      </c>
      <c r="P357" s="2" t="s">
        <v>64</v>
      </c>
      <c r="Q357" s="2" t="str">
        <f t="shared" si="32"/>
        <v>Saint Pierre and Miquelon|2020</v>
      </c>
      <c r="R357" s="2" t="str">
        <f t="shared" si="33"/>
        <v xml:space="preserve"> </v>
      </c>
      <c r="T357" s="2" t="b">
        <f t="shared" si="34"/>
        <v>0</v>
      </c>
      <c r="U357" s="2" t="b">
        <f t="shared" si="46"/>
        <v>0</v>
      </c>
      <c r="V357" s="2" t="b">
        <f t="shared" si="35"/>
        <v>0</v>
      </c>
      <c r="W357" s="2">
        <f t="shared" si="36"/>
        <v>91</v>
      </c>
      <c r="X357" s="2" t="b">
        <f t="shared" si="37"/>
        <v>0</v>
      </c>
      <c r="Y357" s="2" t="b">
        <f t="shared" si="38"/>
        <v>0</v>
      </c>
      <c r="Z357" s="2" t="str">
        <f t="shared" si="39"/>
        <v/>
      </c>
      <c r="AA357" s="2" t="str">
        <f t="shared" si="40"/>
        <v/>
      </c>
      <c r="AB357" s="2" t="str">
        <f t="shared" si="41"/>
        <v/>
      </c>
      <c r="AC357" s="2">
        <f t="shared" si="42"/>
        <v>0</v>
      </c>
      <c r="AO357" s="6"/>
      <c r="AP357" s="6"/>
      <c r="AQ357" s="6"/>
      <c r="AS357" s="6"/>
      <c r="AT357" s="6"/>
      <c r="AU357" s="6"/>
      <c r="AX357" s="2" t="str">
        <f t="shared" si="43"/>
        <v>null</v>
      </c>
      <c r="AY357" s="2" t="str">
        <f t="shared" si="44"/>
        <v>null</v>
      </c>
      <c r="AZ357" s="2" t="str">
        <f t="shared" si="45"/>
        <v>null</v>
      </c>
      <c r="BA357" s="16"/>
    </row>
    <row r="358" spans="1:53" x14ac:dyDescent="0.25">
      <c r="A358" s="2" t="s">
        <v>240</v>
      </c>
      <c r="B358" s="2">
        <v>2015</v>
      </c>
      <c r="C358" s="2">
        <v>109.13500209999999</v>
      </c>
      <c r="D358" s="2">
        <v>50.963996889999997</v>
      </c>
      <c r="E358" s="2">
        <v>95.145219900000001</v>
      </c>
      <c r="F358" s="2">
        <v>0</v>
      </c>
      <c r="G358" s="2">
        <v>4.0700937030000004</v>
      </c>
      <c r="H358" s="2">
        <v>0.78468639699999998</v>
      </c>
      <c r="I358" s="2" t="s">
        <v>64</v>
      </c>
      <c r="J358" s="2" t="s">
        <v>64</v>
      </c>
      <c r="K358" s="2" t="s">
        <v>64</v>
      </c>
      <c r="L358" s="2" t="s">
        <v>64</v>
      </c>
      <c r="M358" s="2" t="s">
        <v>64</v>
      </c>
      <c r="N358" s="2" t="s">
        <v>64</v>
      </c>
      <c r="O358" s="2" t="s">
        <v>64</v>
      </c>
      <c r="P358" s="2" t="s">
        <v>64</v>
      </c>
      <c r="Q358" s="2" t="str">
        <f t="shared" si="32"/>
        <v>Saint Vincent and the Grenadines|2015</v>
      </c>
      <c r="R358" s="2">
        <f t="shared" si="33"/>
        <v>3</v>
      </c>
      <c r="T358" s="2">
        <f t="shared" si="34"/>
        <v>0</v>
      </c>
      <c r="U358" s="2" t="str">
        <f t="shared" si="46"/>
        <v>null</v>
      </c>
      <c r="V358" s="2" t="str">
        <f t="shared" si="35"/>
        <v>null</v>
      </c>
      <c r="W358" s="2">
        <f t="shared" si="36"/>
        <v>95</v>
      </c>
      <c r="X358" s="2" t="b">
        <f t="shared" si="37"/>
        <v>0</v>
      </c>
      <c r="Y358" s="2" t="b">
        <f t="shared" si="38"/>
        <v>0</v>
      </c>
      <c r="Z358" s="2" t="str">
        <f t="shared" si="39"/>
        <v/>
      </c>
      <c r="AA358" s="2" t="str">
        <f t="shared" si="40"/>
        <v>Fully Accessible</v>
      </c>
      <c r="AB358" s="2" t="str">
        <f t="shared" si="41"/>
        <v>Fully Accessible</v>
      </c>
      <c r="AC358" s="2" t="b">
        <f t="shared" si="42"/>
        <v>0</v>
      </c>
      <c r="AO358" s="6"/>
      <c r="AP358" s="6"/>
      <c r="AQ358" s="6"/>
      <c r="AS358" s="6"/>
      <c r="AT358" s="6"/>
      <c r="AU358" s="6"/>
      <c r="AX358" s="2">
        <f t="shared" si="43"/>
        <v>219.34500120000001</v>
      </c>
      <c r="AY358" s="2">
        <f t="shared" si="44"/>
        <v>103.16199494</v>
      </c>
      <c r="AZ358" s="2">
        <f t="shared" si="45"/>
        <v>116.18300626000001</v>
      </c>
      <c r="BA358" s="6"/>
    </row>
    <row r="359" spans="1:53" x14ac:dyDescent="0.25">
      <c r="A359" s="2" t="s">
        <v>240</v>
      </c>
      <c r="B359" s="2">
        <v>2018</v>
      </c>
      <c r="C359" s="2">
        <v>110.2099991</v>
      </c>
      <c r="D359" s="2">
        <v>52.197998050000002</v>
      </c>
      <c r="E359" s="2">
        <v>95.145219900000001</v>
      </c>
      <c r="F359" s="2">
        <v>0</v>
      </c>
      <c r="G359" s="2">
        <v>4.8547801000000002</v>
      </c>
      <c r="H359" s="2" t="s">
        <v>64</v>
      </c>
      <c r="I359" s="2" t="s">
        <v>64</v>
      </c>
      <c r="J359" s="2" t="s">
        <v>64</v>
      </c>
      <c r="K359" s="2" t="s">
        <v>64</v>
      </c>
      <c r="L359" s="2" t="s">
        <v>64</v>
      </c>
      <c r="M359" s="2" t="s">
        <v>64</v>
      </c>
      <c r="N359" s="2" t="s">
        <v>64</v>
      </c>
      <c r="O359" s="2" t="s">
        <v>64</v>
      </c>
      <c r="P359" s="2" t="s">
        <v>64</v>
      </c>
      <c r="Q359" s="2" t="str">
        <f t="shared" si="32"/>
        <v>Saint Vincent and the Grenadines|2018</v>
      </c>
      <c r="R359" s="2" t="str">
        <f t="shared" si="33"/>
        <v xml:space="preserve"> </v>
      </c>
      <c r="T359" s="2" t="b">
        <f t="shared" si="34"/>
        <v>0</v>
      </c>
      <c r="U359" s="2" t="b">
        <f t="shared" si="46"/>
        <v>0</v>
      </c>
      <c r="V359" s="2" t="b">
        <f t="shared" si="35"/>
        <v>0</v>
      </c>
      <c r="W359" s="2">
        <f t="shared" si="36"/>
        <v>95</v>
      </c>
      <c r="X359" s="2" t="b">
        <f t="shared" si="37"/>
        <v>0</v>
      </c>
      <c r="Y359" s="2" t="b">
        <f t="shared" si="38"/>
        <v>0</v>
      </c>
      <c r="Z359" s="2" t="str">
        <f t="shared" si="39"/>
        <v/>
      </c>
      <c r="AA359" s="2" t="str">
        <f t="shared" si="40"/>
        <v/>
      </c>
      <c r="AB359" s="2" t="str">
        <f t="shared" si="41"/>
        <v/>
      </c>
      <c r="AC359" s="2">
        <f t="shared" si="42"/>
        <v>0</v>
      </c>
      <c r="AO359" s="6"/>
      <c r="AP359" s="6"/>
      <c r="AQ359" s="6"/>
      <c r="AS359" s="6"/>
      <c r="AT359" s="6"/>
      <c r="AU359" s="6"/>
      <c r="AX359" s="2" t="str">
        <f t="shared" si="43"/>
        <v>null</v>
      </c>
      <c r="AY359" s="2" t="str">
        <f t="shared" si="44"/>
        <v>null</v>
      </c>
      <c r="AZ359" s="2" t="str">
        <f t="shared" si="45"/>
        <v>null</v>
      </c>
      <c r="BA359" s="6"/>
    </row>
    <row r="360" spans="1:53" x14ac:dyDescent="0.25">
      <c r="A360" s="2" t="s">
        <v>241</v>
      </c>
      <c r="B360" s="2">
        <v>2015</v>
      </c>
      <c r="C360" s="2">
        <v>193.5099945</v>
      </c>
      <c r="D360" s="2">
        <v>18.914001460000001</v>
      </c>
      <c r="E360" s="2">
        <v>91.321397360000006</v>
      </c>
      <c r="F360" s="2">
        <v>6.4992812960000004</v>
      </c>
      <c r="G360" s="2">
        <v>1.929815904</v>
      </c>
      <c r="H360" s="2">
        <v>0.24950544129999999</v>
      </c>
      <c r="I360" s="2">
        <v>91.386415650000004</v>
      </c>
      <c r="J360" s="2">
        <v>6.194005024</v>
      </c>
      <c r="K360" s="2">
        <v>2.1485295340000001</v>
      </c>
      <c r="L360" s="2">
        <v>0.2710497959</v>
      </c>
      <c r="M360" s="2">
        <v>91.042648679999999</v>
      </c>
      <c r="N360" s="2">
        <v>7.8080270609999998</v>
      </c>
      <c r="O360" s="2">
        <v>0.9921814015</v>
      </c>
      <c r="P360" s="2">
        <v>0.15714285710000001</v>
      </c>
      <c r="Q360" s="2" t="str">
        <f t="shared" si="32"/>
        <v>Samoa|2015</v>
      </c>
      <c r="R360" s="2">
        <f t="shared" si="33"/>
        <v>5</v>
      </c>
      <c r="T360" s="2">
        <f t="shared" si="34"/>
        <v>0.10326543799999968</v>
      </c>
      <c r="U360" s="2">
        <f t="shared" si="46"/>
        <v>7.8781444000000533E-2</v>
      </c>
      <c r="V360" s="2">
        <f t="shared" si="35"/>
        <v>0.21170826400000067</v>
      </c>
      <c r="W360" s="2">
        <f t="shared" si="36"/>
        <v>91</v>
      </c>
      <c r="X360" s="2">
        <f t="shared" si="37"/>
        <v>91</v>
      </c>
      <c r="Y360" s="2">
        <f t="shared" si="38"/>
        <v>91</v>
      </c>
      <c r="Z360" s="2" t="str">
        <f t="shared" si="39"/>
        <v/>
      </c>
      <c r="AA360" s="2" t="str">
        <f t="shared" si="40"/>
        <v/>
      </c>
      <c r="AB360" s="2" t="str">
        <f t="shared" si="41"/>
        <v>Fully Accessible</v>
      </c>
      <c r="AC360" s="2">
        <f t="shared" si="42"/>
        <v>-0.13292682000000014</v>
      </c>
      <c r="AO360" s="6"/>
      <c r="AP360" s="6"/>
      <c r="AQ360" s="6"/>
      <c r="AS360" s="6"/>
      <c r="AT360" s="6"/>
      <c r="AU360" s="6"/>
      <c r="AX360" s="2">
        <f t="shared" si="43"/>
        <v>391.91999820000001</v>
      </c>
      <c r="AY360" s="2">
        <f t="shared" si="44"/>
        <v>36.803001399999999</v>
      </c>
      <c r="AZ360" s="2">
        <f t="shared" si="45"/>
        <v>355.11699680000004</v>
      </c>
      <c r="BA360" s="6"/>
    </row>
    <row r="361" spans="1:53" x14ac:dyDescent="0.25">
      <c r="A361" s="2" t="s">
        <v>241</v>
      </c>
      <c r="B361" s="2">
        <v>2020</v>
      </c>
      <c r="C361" s="2">
        <v>198.4100037</v>
      </c>
      <c r="D361" s="2">
        <v>17.888999940000001</v>
      </c>
      <c r="E361" s="2">
        <v>91.837724550000004</v>
      </c>
      <c r="F361" s="2">
        <v>6.5208999519999997</v>
      </c>
      <c r="G361" s="2">
        <v>1.4186234280000001</v>
      </c>
      <c r="H361" s="2">
        <v>0.22275206789999999</v>
      </c>
      <c r="I361" s="2">
        <v>91.780322870000006</v>
      </c>
      <c r="J361" s="2">
        <v>6.2207033389999999</v>
      </c>
      <c r="K361" s="2">
        <v>1.7276921599999999</v>
      </c>
      <c r="L361" s="2">
        <v>0.2712816327</v>
      </c>
      <c r="M361" s="2">
        <v>92.101190000000003</v>
      </c>
      <c r="N361" s="2">
        <v>7.8988100000000001</v>
      </c>
      <c r="O361" s="2">
        <v>0</v>
      </c>
      <c r="P361" s="2">
        <v>0</v>
      </c>
      <c r="Q361" s="2" t="str">
        <f t="shared" si="32"/>
        <v>Samoa|2020</v>
      </c>
      <c r="R361" s="2" t="str">
        <f t="shared" si="33"/>
        <v xml:space="preserve"> </v>
      </c>
      <c r="T361" s="2" t="b">
        <f t="shared" si="34"/>
        <v>0</v>
      </c>
      <c r="U361" s="2" t="b">
        <f t="shared" si="46"/>
        <v>0</v>
      </c>
      <c r="V361" s="2" t="b">
        <f t="shared" si="35"/>
        <v>0</v>
      </c>
      <c r="W361" s="2">
        <f t="shared" si="36"/>
        <v>92</v>
      </c>
      <c r="X361" s="2">
        <f t="shared" si="37"/>
        <v>92</v>
      </c>
      <c r="Y361" s="2">
        <f t="shared" si="38"/>
        <v>92</v>
      </c>
      <c r="Z361" s="2" t="str">
        <f t="shared" si="39"/>
        <v/>
      </c>
      <c r="AA361" s="2" t="str">
        <f t="shared" si="40"/>
        <v/>
      </c>
      <c r="AB361" s="2" t="str">
        <f t="shared" si="41"/>
        <v/>
      </c>
      <c r="AC361" s="2">
        <f t="shared" si="42"/>
        <v>0</v>
      </c>
      <c r="AO361" s="6"/>
      <c r="AP361" s="6"/>
      <c r="AQ361" s="6"/>
      <c r="AS361" s="6"/>
      <c r="AT361" s="6"/>
      <c r="AU361" s="6"/>
      <c r="AX361" s="2" t="str">
        <f t="shared" si="43"/>
        <v>null</v>
      </c>
      <c r="AY361" s="2" t="str">
        <f t="shared" si="44"/>
        <v>null</v>
      </c>
      <c r="AZ361" s="2" t="str">
        <f t="shared" si="45"/>
        <v>null</v>
      </c>
      <c r="BA361" s="6"/>
    </row>
    <row r="362" spans="1:53" x14ac:dyDescent="0.25">
      <c r="A362" s="2" t="s">
        <v>242</v>
      </c>
      <c r="B362" s="2">
        <v>2015</v>
      </c>
      <c r="C362" s="2">
        <v>33.270000459999999</v>
      </c>
      <c r="D362" s="2">
        <v>96.738998409999994</v>
      </c>
      <c r="E362" s="2">
        <v>100</v>
      </c>
      <c r="F362" s="2">
        <v>0</v>
      </c>
      <c r="G362" s="2">
        <v>0</v>
      </c>
      <c r="H362" s="2">
        <v>0</v>
      </c>
      <c r="I362" s="2" t="s">
        <v>64</v>
      </c>
      <c r="J362" s="2" t="s">
        <v>64</v>
      </c>
      <c r="K362" s="2" t="s">
        <v>64</v>
      </c>
      <c r="L362" s="2" t="s">
        <v>64</v>
      </c>
      <c r="M362" s="2" t="s">
        <v>64</v>
      </c>
      <c r="N362" s="2" t="s">
        <v>64</v>
      </c>
      <c r="O362" s="2" t="s">
        <v>64</v>
      </c>
      <c r="P362" s="2" t="s">
        <v>64</v>
      </c>
      <c r="Q362" s="2" t="str">
        <f t="shared" si="32"/>
        <v>San Marino|2015</v>
      </c>
      <c r="R362" s="2">
        <f t="shared" si="33"/>
        <v>5</v>
      </c>
      <c r="T362" s="2">
        <f t="shared" si="34"/>
        <v>0</v>
      </c>
      <c r="U362" s="2" t="str">
        <f t="shared" si="46"/>
        <v>null</v>
      </c>
      <c r="V362" s="2" t="str">
        <f t="shared" si="35"/>
        <v>null</v>
      </c>
      <c r="W362" s="2">
        <f t="shared" si="36"/>
        <v>100</v>
      </c>
      <c r="X362" s="2" t="b">
        <f t="shared" si="37"/>
        <v>0</v>
      </c>
      <c r="Y362" s="2" t="b">
        <f t="shared" si="38"/>
        <v>0</v>
      </c>
      <c r="Z362" s="2" t="str">
        <f t="shared" si="39"/>
        <v/>
      </c>
      <c r="AA362" s="2" t="str">
        <f t="shared" si="40"/>
        <v>Fully Accessible</v>
      </c>
      <c r="AB362" s="2" t="str">
        <f t="shared" si="41"/>
        <v>Fully Accessible</v>
      </c>
      <c r="AC362" s="2" t="b">
        <f t="shared" si="42"/>
        <v>0</v>
      </c>
      <c r="AO362" s="6"/>
      <c r="AP362" s="6"/>
      <c r="AQ362" s="6"/>
      <c r="AS362" s="6"/>
      <c r="AT362" s="6"/>
      <c r="AU362" s="6"/>
      <c r="AX362" s="2">
        <f t="shared" si="43"/>
        <v>67.208000190000007</v>
      </c>
      <c r="AY362" s="2">
        <f t="shared" si="44"/>
        <v>194.23799896</v>
      </c>
      <c r="AZ362" s="2">
        <f t="shared" si="45"/>
        <v>-127.02999876999999</v>
      </c>
      <c r="BA362" s="16"/>
    </row>
    <row r="363" spans="1:53" x14ac:dyDescent="0.25">
      <c r="A363" s="2" t="s">
        <v>242</v>
      </c>
      <c r="B363" s="2">
        <v>2020</v>
      </c>
      <c r="C363" s="2">
        <v>33.937999730000001</v>
      </c>
      <c r="D363" s="2">
        <v>97.499000550000005</v>
      </c>
      <c r="E363" s="2">
        <v>100</v>
      </c>
      <c r="F363" s="2">
        <v>0</v>
      </c>
      <c r="G363" s="2">
        <v>0</v>
      </c>
      <c r="H363" s="2">
        <v>0</v>
      </c>
      <c r="I363" s="2" t="s">
        <v>64</v>
      </c>
      <c r="J363" s="2" t="s">
        <v>64</v>
      </c>
      <c r="K363" s="2" t="s">
        <v>64</v>
      </c>
      <c r="L363" s="2" t="s">
        <v>64</v>
      </c>
      <c r="M363" s="2" t="s">
        <v>64</v>
      </c>
      <c r="N363" s="2" t="s">
        <v>64</v>
      </c>
      <c r="O363" s="2" t="s">
        <v>64</v>
      </c>
      <c r="P363" s="2" t="s">
        <v>64</v>
      </c>
      <c r="Q363" s="2" t="str">
        <f t="shared" si="32"/>
        <v>San Marino|2020</v>
      </c>
      <c r="R363" s="2" t="str">
        <f t="shared" si="33"/>
        <v xml:space="preserve"> </v>
      </c>
      <c r="T363" s="2" t="b">
        <f t="shared" si="34"/>
        <v>0</v>
      </c>
      <c r="U363" s="2" t="b">
        <f t="shared" si="46"/>
        <v>0</v>
      </c>
      <c r="V363" s="2" t="b">
        <f t="shared" si="35"/>
        <v>0</v>
      </c>
      <c r="W363" s="2">
        <f t="shared" si="36"/>
        <v>100</v>
      </c>
      <c r="X363" s="2" t="b">
        <f t="shared" si="37"/>
        <v>0</v>
      </c>
      <c r="Y363" s="2" t="b">
        <f t="shared" si="38"/>
        <v>0</v>
      </c>
      <c r="Z363" s="2" t="str">
        <f t="shared" si="39"/>
        <v/>
      </c>
      <c r="AA363" s="2" t="str">
        <f t="shared" si="40"/>
        <v/>
      </c>
      <c r="AB363" s="2" t="str">
        <f t="shared" si="41"/>
        <v/>
      </c>
      <c r="AC363" s="2">
        <f t="shared" si="42"/>
        <v>0</v>
      </c>
      <c r="AO363" s="6"/>
      <c r="AP363" s="6"/>
      <c r="AQ363" s="6"/>
      <c r="AS363" s="6"/>
      <c r="AT363" s="6"/>
      <c r="AU363" s="6"/>
      <c r="AX363" s="2" t="str">
        <f t="shared" si="43"/>
        <v>null</v>
      </c>
      <c r="AY363" s="2" t="str">
        <f t="shared" si="44"/>
        <v>null</v>
      </c>
      <c r="AZ363" s="2" t="str">
        <f t="shared" si="45"/>
        <v>null</v>
      </c>
      <c r="BA363" s="6"/>
    </row>
    <row r="364" spans="1:53" x14ac:dyDescent="0.25">
      <c r="A364" s="2" t="s">
        <v>243</v>
      </c>
      <c r="B364" s="2">
        <v>2015</v>
      </c>
      <c r="C364" s="2">
        <v>199.43899540000001</v>
      </c>
      <c r="D364" s="2">
        <v>70.174003600000006</v>
      </c>
      <c r="E364" s="2">
        <v>77.124229790000001</v>
      </c>
      <c r="F364" s="2">
        <v>18.34430682</v>
      </c>
      <c r="G364" s="2">
        <v>1.8595771210000001</v>
      </c>
      <c r="H364" s="2">
        <v>2.6718862689999998</v>
      </c>
      <c r="I364" s="2">
        <v>71.282716640000004</v>
      </c>
      <c r="J364" s="2">
        <v>17.07304495</v>
      </c>
      <c r="K364" s="2">
        <v>4.1184792559999996</v>
      </c>
      <c r="L364" s="2">
        <v>7.5257591550000003</v>
      </c>
      <c r="M364" s="2">
        <v>79.607040999999995</v>
      </c>
      <c r="N364" s="2">
        <v>18.884629660000002</v>
      </c>
      <c r="O364" s="2">
        <v>0.89948056340000004</v>
      </c>
      <c r="P364" s="2">
        <v>0.60884877739999999</v>
      </c>
      <c r="Q364" s="2" t="str">
        <f t="shared" si="32"/>
        <v>Sao Tome and Principe|2015</v>
      </c>
      <c r="R364" s="2">
        <f t="shared" si="33"/>
        <v>5</v>
      </c>
      <c r="T364" s="2">
        <f t="shared" si="34"/>
        <v>0.22044507399999985</v>
      </c>
      <c r="U364" s="2">
        <f t="shared" si="46"/>
        <v>0.6035795699999994</v>
      </c>
      <c r="V364" s="2">
        <f t="shared" si="35"/>
        <v>-5.2996199999995495E-3</v>
      </c>
      <c r="W364" s="2">
        <f t="shared" si="36"/>
        <v>77</v>
      </c>
      <c r="X364" s="2">
        <f t="shared" si="37"/>
        <v>71</v>
      </c>
      <c r="Y364" s="2">
        <f t="shared" si="38"/>
        <v>80</v>
      </c>
      <c r="Z364" s="2" t="str">
        <f t="shared" si="39"/>
        <v/>
      </c>
      <c r="AA364" s="2" t="str">
        <f t="shared" si="40"/>
        <v/>
      </c>
      <c r="AB364" s="2" t="str">
        <f t="shared" si="41"/>
        <v>Fully Accessible</v>
      </c>
      <c r="AC364" s="2">
        <f t="shared" si="42"/>
        <v>0.6088791899999989</v>
      </c>
      <c r="AO364" s="6"/>
      <c r="AP364" s="6"/>
      <c r="AQ364" s="6"/>
      <c r="AS364" s="6"/>
      <c r="AT364" s="6"/>
      <c r="AU364" s="6"/>
      <c r="AX364" s="2">
        <f t="shared" si="43"/>
        <v>418.59999090000002</v>
      </c>
      <c r="AY364" s="2">
        <f t="shared" si="44"/>
        <v>144.52800751000001</v>
      </c>
      <c r="AZ364" s="2">
        <f t="shared" si="45"/>
        <v>274.07198339000001</v>
      </c>
      <c r="BA364" s="16"/>
    </row>
    <row r="365" spans="1:53" x14ac:dyDescent="0.25">
      <c r="A365" s="2" t="s">
        <v>243</v>
      </c>
      <c r="B365" s="2">
        <v>2020</v>
      </c>
      <c r="C365" s="2">
        <v>219.16099550000001</v>
      </c>
      <c r="D365" s="2">
        <v>74.354003910000003</v>
      </c>
      <c r="E365" s="2">
        <v>78.22645516</v>
      </c>
      <c r="F365" s="2">
        <v>20.237982980000002</v>
      </c>
      <c r="G365" s="2">
        <v>0.44351992839999999</v>
      </c>
      <c r="H365" s="2">
        <v>1.0920419299999999</v>
      </c>
      <c r="I365" s="2">
        <v>74.300614490000001</v>
      </c>
      <c r="J365" s="2">
        <v>19.711842579999999</v>
      </c>
      <c r="K365" s="2">
        <v>1.7294057039999999</v>
      </c>
      <c r="L365" s="2">
        <v>4.2581372279999998</v>
      </c>
      <c r="M365" s="2">
        <v>79.580542899999998</v>
      </c>
      <c r="N365" s="2">
        <v>20.419457099999999</v>
      </c>
      <c r="O365" s="2">
        <v>0</v>
      </c>
      <c r="P365" s="2">
        <v>0</v>
      </c>
      <c r="Q365" s="2" t="str">
        <f t="shared" si="32"/>
        <v>Sao Tome and Principe|2020</v>
      </c>
      <c r="R365" s="2" t="str">
        <f t="shared" si="33"/>
        <v xml:space="preserve"> </v>
      </c>
      <c r="T365" s="2" t="b">
        <f t="shared" si="34"/>
        <v>0</v>
      </c>
      <c r="U365" s="2" t="b">
        <f t="shared" si="46"/>
        <v>0</v>
      </c>
      <c r="V365" s="2" t="b">
        <f t="shared" si="35"/>
        <v>0</v>
      </c>
      <c r="W365" s="2">
        <f t="shared" si="36"/>
        <v>78</v>
      </c>
      <c r="X365" s="2">
        <f t="shared" si="37"/>
        <v>74</v>
      </c>
      <c r="Y365" s="2">
        <f t="shared" si="38"/>
        <v>80</v>
      </c>
      <c r="Z365" s="2" t="str">
        <f t="shared" si="39"/>
        <v/>
      </c>
      <c r="AA365" s="2" t="str">
        <f t="shared" si="40"/>
        <v/>
      </c>
      <c r="AB365" s="2" t="str">
        <f t="shared" si="41"/>
        <v/>
      </c>
      <c r="AC365" s="2">
        <f t="shared" si="42"/>
        <v>0</v>
      </c>
      <c r="AO365" s="6"/>
      <c r="AP365" s="6"/>
      <c r="AQ365" s="6"/>
      <c r="AS365" s="6"/>
      <c r="AT365" s="6"/>
      <c r="AU365" s="6"/>
      <c r="AX365" s="2" t="str">
        <f t="shared" si="43"/>
        <v>null</v>
      </c>
      <c r="AY365" s="2" t="str">
        <f t="shared" si="44"/>
        <v>null</v>
      </c>
      <c r="AZ365" s="2" t="str">
        <f t="shared" si="45"/>
        <v>null</v>
      </c>
      <c r="BA365" s="16"/>
    </row>
    <row r="366" spans="1:53" x14ac:dyDescent="0.25">
      <c r="A366" s="2" t="s">
        <v>244</v>
      </c>
      <c r="B366" s="2">
        <v>2015</v>
      </c>
      <c r="C366" s="2">
        <v>31717.675780000001</v>
      </c>
      <c r="D366" s="2">
        <v>83.180000309999997</v>
      </c>
      <c r="E366" s="2">
        <v>99.548026379999996</v>
      </c>
      <c r="F366" s="2">
        <v>0</v>
      </c>
      <c r="G366" s="2">
        <v>0.45197361660000002</v>
      </c>
      <c r="H366" s="2">
        <v>0</v>
      </c>
      <c r="I366" s="2" t="s">
        <v>64</v>
      </c>
      <c r="J366" s="2" t="s">
        <v>64</v>
      </c>
      <c r="K366" s="2" t="s">
        <v>64</v>
      </c>
      <c r="L366" s="2" t="s">
        <v>64</v>
      </c>
      <c r="M366" s="2" t="s">
        <v>64</v>
      </c>
      <c r="N366" s="2" t="s">
        <v>64</v>
      </c>
      <c r="O366" s="2" t="s">
        <v>64</v>
      </c>
      <c r="P366" s="2" t="s">
        <v>64</v>
      </c>
      <c r="Q366" s="2" t="str">
        <f t="shared" si="32"/>
        <v>Saudi Arabia|2015</v>
      </c>
      <c r="R366" s="2">
        <f t="shared" si="33"/>
        <v>5</v>
      </c>
      <c r="T366" s="2">
        <f t="shared" si="34"/>
        <v>9.0394724000000787E-2</v>
      </c>
      <c r="U366" s="2" t="str">
        <f t="shared" si="46"/>
        <v>null</v>
      </c>
      <c r="V366" s="2" t="str">
        <f t="shared" si="35"/>
        <v>null</v>
      </c>
      <c r="W366" s="2">
        <f t="shared" si="36"/>
        <v>100</v>
      </c>
      <c r="X366" s="2" t="b">
        <f t="shared" si="37"/>
        <v>0</v>
      </c>
      <c r="Y366" s="2" t="b">
        <f t="shared" si="38"/>
        <v>0</v>
      </c>
      <c r="Z366" s="2" t="str">
        <f t="shared" si="39"/>
        <v/>
      </c>
      <c r="AA366" s="2" t="str">
        <f t="shared" si="40"/>
        <v>Fully Accessible</v>
      </c>
      <c r="AB366" s="2" t="str">
        <f t="shared" si="41"/>
        <v>Fully Accessible</v>
      </c>
      <c r="AC366" s="2" t="b">
        <f t="shared" si="42"/>
        <v>0</v>
      </c>
      <c r="AO366" s="6"/>
      <c r="AP366" s="6"/>
      <c r="AQ366" s="6"/>
      <c r="AS366" s="6"/>
      <c r="AT366" s="6"/>
      <c r="AU366" s="6"/>
      <c r="AX366" s="2">
        <f t="shared" si="43"/>
        <v>66531.542969999995</v>
      </c>
      <c r="AY366" s="2">
        <f t="shared" si="44"/>
        <v>167.46700286999999</v>
      </c>
      <c r="AZ366" s="2">
        <f t="shared" si="45"/>
        <v>66364.075967129989</v>
      </c>
      <c r="BA366" s="6"/>
    </row>
    <row r="367" spans="1:53" x14ac:dyDescent="0.25">
      <c r="A367" s="2" t="s">
        <v>244</v>
      </c>
      <c r="B367" s="2">
        <v>2020</v>
      </c>
      <c r="C367" s="2">
        <v>34813.867189999997</v>
      </c>
      <c r="D367" s="2">
        <v>84.287002560000005</v>
      </c>
      <c r="E367" s="2">
        <v>100</v>
      </c>
      <c r="F367" s="2">
        <v>0</v>
      </c>
      <c r="G367" s="2">
        <v>0</v>
      </c>
      <c r="H367" s="2">
        <v>0</v>
      </c>
      <c r="I367" s="2" t="s">
        <v>64</v>
      </c>
      <c r="J367" s="2" t="s">
        <v>64</v>
      </c>
      <c r="K367" s="2" t="s">
        <v>64</v>
      </c>
      <c r="L367" s="2" t="s">
        <v>64</v>
      </c>
      <c r="M367" s="2" t="s">
        <v>64</v>
      </c>
      <c r="N367" s="2" t="s">
        <v>64</v>
      </c>
      <c r="O367" s="2" t="s">
        <v>64</v>
      </c>
      <c r="P367" s="2" t="s">
        <v>64</v>
      </c>
      <c r="Q367" s="2" t="str">
        <f t="shared" si="32"/>
        <v>Saudi Arabia|2020</v>
      </c>
      <c r="R367" s="2" t="str">
        <f t="shared" si="33"/>
        <v xml:space="preserve"> </v>
      </c>
      <c r="T367" s="2" t="b">
        <f t="shared" si="34"/>
        <v>0</v>
      </c>
      <c r="U367" s="2" t="b">
        <f t="shared" si="46"/>
        <v>0</v>
      </c>
      <c r="V367" s="2" t="b">
        <f t="shared" si="35"/>
        <v>0</v>
      </c>
      <c r="W367" s="2">
        <f t="shared" si="36"/>
        <v>100</v>
      </c>
      <c r="X367" s="2" t="b">
        <f t="shared" si="37"/>
        <v>0</v>
      </c>
      <c r="Y367" s="2" t="b">
        <f t="shared" si="38"/>
        <v>0</v>
      </c>
      <c r="Z367" s="2" t="str">
        <f t="shared" si="39"/>
        <v/>
      </c>
      <c r="AA367" s="2" t="str">
        <f t="shared" si="40"/>
        <v/>
      </c>
      <c r="AB367" s="2" t="str">
        <f t="shared" si="41"/>
        <v/>
      </c>
      <c r="AC367" s="2">
        <f t="shared" si="42"/>
        <v>0</v>
      </c>
      <c r="AO367" s="6"/>
      <c r="AP367" s="6"/>
      <c r="AQ367" s="6"/>
      <c r="AS367" s="6"/>
      <c r="AT367" s="6"/>
      <c r="AU367" s="6"/>
      <c r="AX367" s="2" t="str">
        <f t="shared" si="43"/>
        <v>null</v>
      </c>
      <c r="AY367" s="2" t="str">
        <f t="shared" si="44"/>
        <v>null</v>
      </c>
      <c r="AZ367" s="2" t="str">
        <f t="shared" si="45"/>
        <v>null</v>
      </c>
      <c r="BA367" s="6"/>
    </row>
    <row r="368" spans="1:53" x14ac:dyDescent="0.25">
      <c r="A368" s="2" t="s">
        <v>245</v>
      </c>
      <c r="B368" s="2">
        <v>2015</v>
      </c>
      <c r="C368" s="2">
        <v>14578.450199999999</v>
      </c>
      <c r="D368" s="2">
        <v>45.86200333</v>
      </c>
      <c r="E368" s="2">
        <v>78.602093620000005</v>
      </c>
      <c r="F368" s="2">
        <v>3.3921456349999999</v>
      </c>
      <c r="G368" s="2">
        <v>17.594913179999999</v>
      </c>
      <c r="H368" s="2">
        <v>0.41084756459999999</v>
      </c>
      <c r="I368" s="2">
        <v>65.941201559999996</v>
      </c>
      <c r="J368" s="2">
        <v>5.2534118540000003</v>
      </c>
      <c r="K368" s="2">
        <v>28.079192549999998</v>
      </c>
      <c r="L368" s="2">
        <v>0.72619403689999995</v>
      </c>
      <c r="M368" s="2">
        <v>93.547697760000005</v>
      </c>
      <c r="N368" s="2">
        <v>1.195005973</v>
      </c>
      <c r="O368" s="2">
        <v>5.2187007940000001</v>
      </c>
      <c r="P368" s="2">
        <v>3.8595473790000001E-2</v>
      </c>
      <c r="Q368" s="2" t="str">
        <f t="shared" si="32"/>
        <v>Senegal|2015</v>
      </c>
      <c r="R368" s="2">
        <f t="shared" si="33"/>
        <v>5</v>
      </c>
      <c r="T368" s="2">
        <f t="shared" si="34"/>
        <v>1.2606288339999991</v>
      </c>
      <c r="U368" s="2">
        <f t="shared" si="46"/>
        <v>1.8603453279999997</v>
      </c>
      <c r="V368" s="2">
        <f t="shared" si="35"/>
        <v>0.35480063599999878</v>
      </c>
      <c r="W368" s="2">
        <f t="shared" si="36"/>
        <v>79</v>
      </c>
      <c r="X368" s="2">
        <f t="shared" si="37"/>
        <v>66</v>
      </c>
      <c r="Y368" s="2">
        <f t="shared" si="38"/>
        <v>94</v>
      </c>
      <c r="Z368" s="2" t="str">
        <f t="shared" si="39"/>
        <v/>
      </c>
      <c r="AA368" s="2" t="str">
        <f t="shared" si="40"/>
        <v/>
      </c>
      <c r="AB368" s="2" t="str">
        <f t="shared" si="41"/>
        <v>Fully Accessible</v>
      </c>
      <c r="AC368" s="2">
        <f t="shared" si="42"/>
        <v>1.5055446920000009</v>
      </c>
      <c r="AO368" s="6"/>
      <c r="AP368" s="6"/>
      <c r="AQ368" s="6"/>
      <c r="AS368" s="6"/>
      <c r="AT368" s="6"/>
      <c r="AU368" s="6"/>
      <c r="AX368" s="2">
        <f t="shared" si="43"/>
        <v>31322.37989</v>
      </c>
      <c r="AY368" s="2">
        <f t="shared" si="44"/>
        <v>93.984004980000009</v>
      </c>
      <c r="AZ368" s="2">
        <f t="shared" si="45"/>
        <v>31228.39588502</v>
      </c>
      <c r="BA368" s="6"/>
    </row>
    <row r="369" spans="1:53" x14ac:dyDescent="0.25">
      <c r="A369" s="2" t="s">
        <v>245</v>
      </c>
      <c r="B369" s="2">
        <v>2020</v>
      </c>
      <c r="C369" s="2">
        <v>16743.929690000001</v>
      </c>
      <c r="D369" s="2">
        <v>48.122001650000001</v>
      </c>
      <c r="E369" s="2">
        <v>84.905237790000001</v>
      </c>
      <c r="F369" s="2">
        <v>2.3872175090000001</v>
      </c>
      <c r="G369" s="2">
        <v>12.60781566</v>
      </c>
      <c r="H369" s="2">
        <v>9.9729040419999998E-2</v>
      </c>
      <c r="I369" s="2">
        <v>75.242928199999994</v>
      </c>
      <c r="J369" s="2">
        <v>4.052382433</v>
      </c>
      <c r="K369" s="2">
        <v>20.512451739999999</v>
      </c>
      <c r="L369" s="2">
        <v>0.1922376314</v>
      </c>
      <c r="M369" s="2">
        <v>95.321700939999999</v>
      </c>
      <c r="N369" s="2">
        <v>0.59208365669999996</v>
      </c>
      <c r="O369" s="2">
        <v>4.0862154019999997</v>
      </c>
      <c r="P369" s="2">
        <v>0</v>
      </c>
      <c r="Q369" s="2" t="str">
        <f t="shared" si="32"/>
        <v>Senegal|2020</v>
      </c>
      <c r="R369" s="2" t="str">
        <f t="shared" si="33"/>
        <v xml:space="preserve"> </v>
      </c>
      <c r="T369" s="2" t="b">
        <f t="shared" si="34"/>
        <v>0</v>
      </c>
      <c r="U369" s="2" t="b">
        <f t="shared" si="46"/>
        <v>0</v>
      </c>
      <c r="V369" s="2" t="b">
        <f t="shared" si="35"/>
        <v>0</v>
      </c>
      <c r="W369" s="2">
        <f t="shared" si="36"/>
        <v>85</v>
      </c>
      <c r="X369" s="2">
        <f t="shared" si="37"/>
        <v>75</v>
      </c>
      <c r="Y369" s="2">
        <f t="shared" si="38"/>
        <v>95</v>
      </c>
      <c r="Z369" s="2" t="str">
        <f t="shared" si="39"/>
        <v/>
      </c>
      <c r="AA369" s="2" t="str">
        <f t="shared" si="40"/>
        <v/>
      </c>
      <c r="AB369" s="2" t="str">
        <f t="shared" si="41"/>
        <v/>
      </c>
      <c r="AC369" s="2">
        <f t="shared" si="42"/>
        <v>0</v>
      </c>
      <c r="AO369" s="6"/>
      <c r="AP369" s="6"/>
      <c r="AQ369" s="6"/>
      <c r="AS369" s="6"/>
      <c r="AT369" s="6"/>
      <c r="AU369" s="6"/>
      <c r="AX369" s="2" t="str">
        <f t="shared" si="43"/>
        <v>null</v>
      </c>
      <c r="AY369" s="2" t="str">
        <f t="shared" si="44"/>
        <v>null</v>
      </c>
      <c r="AZ369" s="2" t="str">
        <f t="shared" si="45"/>
        <v>null</v>
      </c>
      <c r="BA369" s="6"/>
    </row>
    <row r="370" spans="1:53" x14ac:dyDescent="0.25">
      <c r="A370" s="2" t="s">
        <v>246</v>
      </c>
      <c r="B370" s="2">
        <v>2015</v>
      </c>
      <c r="C370" s="2">
        <v>8876.7773440000001</v>
      </c>
      <c r="D370" s="2">
        <v>55.695999149999999</v>
      </c>
      <c r="E370" s="2">
        <v>93.386457300000004</v>
      </c>
      <c r="F370" s="2">
        <v>6.1120960520000001</v>
      </c>
      <c r="G370" s="2">
        <v>0.48354363439999998</v>
      </c>
      <c r="H370" s="2">
        <v>1.7903015790000001E-2</v>
      </c>
      <c r="I370" s="2">
        <v>94.723529049999996</v>
      </c>
      <c r="J370" s="2">
        <v>4.6004382010000002</v>
      </c>
      <c r="K370" s="2">
        <v>0.63562326859999996</v>
      </c>
      <c r="L370" s="2">
        <v>4.0409477999999999E-2</v>
      </c>
      <c r="M370" s="2">
        <v>92.322868690000007</v>
      </c>
      <c r="N370" s="2">
        <v>7.3145611089999996</v>
      </c>
      <c r="O370" s="2">
        <v>0.36257019709999999</v>
      </c>
      <c r="P370" s="2">
        <v>0</v>
      </c>
      <c r="Q370" s="2" t="str">
        <f t="shared" si="32"/>
        <v>Serbia|2015</v>
      </c>
      <c r="R370" s="2">
        <f t="shared" si="33"/>
        <v>5</v>
      </c>
      <c r="T370" s="2">
        <f t="shared" si="34"/>
        <v>0.38181440399999927</v>
      </c>
      <c r="U370" s="2">
        <f t="shared" si="46"/>
        <v>0.22428914000000191</v>
      </c>
      <c r="V370" s="2">
        <f t="shared" si="35"/>
        <v>0.50974023999999929</v>
      </c>
      <c r="W370" s="2">
        <f t="shared" si="36"/>
        <v>93</v>
      </c>
      <c r="X370" s="2">
        <f t="shared" si="37"/>
        <v>95</v>
      </c>
      <c r="Y370" s="2">
        <f t="shared" si="38"/>
        <v>92</v>
      </c>
      <c r="Z370" s="2" t="str">
        <f t="shared" si="39"/>
        <v/>
      </c>
      <c r="AA370" s="2" t="str">
        <f t="shared" si="40"/>
        <v/>
      </c>
      <c r="AB370" s="2" t="str">
        <f t="shared" si="41"/>
        <v>Fully Accessible</v>
      </c>
      <c r="AC370" s="2">
        <f t="shared" si="42"/>
        <v>-0.2854510999999974</v>
      </c>
      <c r="AO370" s="6"/>
      <c r="AP370" s="6"/>
      <c r="AQ370" s="6"/>
      <c r="AS370" s="6"/>
      <c r="AT370" s="6"/>
      <c r="AU370" s="6"/>
      <c r="AX370" s="2">
        <f t="shared" si="43"/>
        <v>17614.147461</v>
      </c>
      <c r="AY370" s="2">
        <f t="shared" si="44"/>
        <v>112.1419983</v>
      </c>
      <c r="AZ370" s="2">
        <f t="shared" si="45"/>
        <v>17502.005462699999</v>
      </c>
      <c r="BA370" s="16"/>
    </row>
    <row r="371" spans="1:53" x14ac:dyDescent="0.25">
      <c r="A371" s="2" t="s">
        <v>246</v>
      </c>
      <c r="B371" s="2">
        <v>2020</v>
      </c>
      <c r="C371" s="2">
        <v>8737.3701170000004</v>
      </c>
      <c r="D371" s="2">
        <v>56.445999149999999</v>
      </c>
      <c r="E371" s="2">
        <v>95.29552932</v>
      </c>
      <c r="F371" s="2">
        <v>4.244199279</v>
      </c>
      <c r="G371" s="2">
        <v>0.44372047780000001</v>
      </c>
      <c r="H371" s="2">
        <v>1.6550926470000001E-2</v>
      </c>
      <c r="I371" s="2">
        <v>95.844974750000006</v>
      </c>
      <c r="J371" s="2">
        <v>3.545864028</v>
      </c>
      <c r="K371" s="2">
        <v>0.57116028659999996</v>
      </c>
      <c r="L371" s="2">
        <v>3.8000931410000001E-2</v>
      </c>
      <c r="M371" s="2">
        <v>94.871569890000004</v>
      </c>
      <c r="N371" s="2">
        <v>4.7830378649999998</v>
      </c>
      <c r="O371" s="2">
        <v>0.3453922445</v>
      </c>
      <c r="P371" s="2">
        <v>0</v>
      </c>
      <c r="Q371" s="2" t="str">
        <f t="shared" si="32"/>
        <v>Serbia|2020</v>
      </c>
      <c r="R371" s="2" t="str">
        <f t="shared" si="33"/>
        <v xml:space="preserve"> </v>
      </c>
      <c r="T371" s="2" t="b">
        <f t="shared" si="34"/>
        <v>0</v>
      </c>
      <c r="U371" s="2" t="b">
        <f t="shared" si="46"/>
        <v>0</v>
      </c>
      <c r="V371" s="2" t="b">
        <f t="shared" si="35"/>
        <v>0</v>
      </c>
      <c r="W371" s="2">
        <f t="shared" si="36"/>
        <v>95</v>
      </c>
      <c r="X371" s="2">
        <f t="shared" si="37"/>
        <v>96</v>
      </c>
      <c r="Y371" s="2">
        <f t="shared" si="38"/>
        <v>95</v>
      </c>
      <c r="Z371" s="2" t="str">
        <f t="shared" si="39"/>
        <v/>
      </c>
      <c r="AA371" s="2" t="str">
        <f t="shared" si="40"/>
        <v/>
      </c>
      <c r="AB371" s="2" t="str">
        <f t="shared" si="41"/>
        <v/>
      </c>
      <c r="AC371" s="2">
        <f t="shared" si="42"/>
        <v>0</v>
      </c>
      <c r="AO371" s="6"/>
      <c r="AP371" s="6"/>
      <c r="AQ371" s="6"/>
      <c r="AS371" s="6"/>
      <c r="AT371" s="6"/>
      <c r="AU371" s="6"/>
      <c r="AX371" s="2" t="str">
        <f t="shared" si="43"/>
        <v>null</v>
      </c>
      <c r="AY371" s="2" t="str">
        <f t="shared" si="44"/>
        <v>null</v>
      </c>
      <c r="AZ371" s="2" t="str">
        <f t="shared" si="45"/>
        <v>null</v>
      </c>
      <c r="BA371" s="6"/>
    </row>
    <row r="372" spans="1:53" x14ac:dyDescent="0.25">
      <c r="A372" s="2" t="s">
        <v>247</v>
      </c>
      <c r="B372" s="2">
        <v>2015</v>
      </c>
      <c r="C372" s="2">
        <v>94.981002810000007</v>
      </c>
      <c r="D372" s="2">
        <v>55.400001529999997</v>
      </c>
      <c r="E372" s="2">
        <v>96.250891499999994</v>
      </c>
      <c r="F372" s="2">
        <v>0</v>
      </c>
      <c r="G372" s="2">
        <v>0</v>
      </c>
      <c r="H372" s="2">
        <v>3.7491085019999999</v>
      </c>
      <c r="I372" s="2" t="s">
        <v>64</v>
      </c>
      <c r="J372" s="2" t="s">
        <v>64</v>
      </c>
      <c r="K372" s="2" t="s">
        <v>64</v>
      </c>
      <c r="L372" s="2" t="s">
        <v>64</v>
      </c>
      <c r="M372" s="2" t="s">
        <v>64</v>
      </c>
      <c r="N372" s="2" t="s">
        <v>64</v>
      </c>
      <c r="O372" s="2" t="s">
        <v>64</v>
      </c>
      <c r="P372" s="2" t="s">
        <v>64</v>
      </c>
      <c r="Q372" s="2" t="str">
        <f t="shared" si="32"/>
        <v>Seychelles|2015</v>
      </c>
      <c r="R372" s="2">
        <f t="shared" si="33"/>
        <v>4</v>
      </c>
      <c r="T372" s="2">
        <f t="shared" si="34"/>
        <v>0.15021384750000166</v>
      </c>
      <c r="U372" s="2" t="str">
        <f t="shared" si="46"/>
        <v>null</v>
      </c>
      <c r="V372" s="2" t="str">
        <f t="shared" si="35"/>
        <v>null</v>
      </c>
      <c r="W372" s="2">
        <f t="shared" si="36"/>
        <v>96</v>
      </c>
      <c r="X372" s="2" t="b">
        <f t="shared" si="37"/>
        <v>0</v>
      </c>
      <c r="Y372" s="2" t="b">
        <f t="shared" si="38"/>
        <v>0</v>
      </c>
      <c r="Z372" s="2" t="str">
        <f t="shared" si="39"/>
        <v/>
      </c>
      <c r="AA372" s="2" t="str">
        <f t="shared" si="40"/>
        <v>Fully Accessible</v>
      </c>
      <c r="AB372" s="2" t="str">
        <f t="shared" si="41"/>
        <v>Fully Accessible</v>
      </c>
      <c r="AC372" s="2" t="b">
        <f t="shared" si="42"/>
        <v>0</v>
      </c>
      <c r="AO372" s="6"/>
      <c r="AP372" s="6"/>
      <c r="AQ372" s="6"/>
      <c r="AS372" s="6"/>
      <c r="AT372" s="6"/>
      <c r="AU372" s="6"/>
      <c r="AX372" s="2">
        <f t="shared" si="43"/>
        <v>192.72200012000002</v>
      </c>
      <c r="AY372" s="2">
        <f t="shared" si="44"/>
        <v>112.51900483</v>
      </c>
      <c r="AZ372" s="2">
        <f t="shared" si="45"/>
        <v>80.202995290000018</v>
      </c>
      <c r="BA372" s="16"/>
    </row>
    <row r="373" spans="1:53" x14ac:dyDescent="0.25">
      <c r="A373" s="2" t="s">
        <v>247</v>
      </c>
      <c r="B373" s="2">
        <v>2019</v>
      </c>
      <c r="C373" s="2">
        <v>97.740997309999997</v>
      </c>
      <c r="D373" s="2">
        <v>57.119003300000003</v>
      </c>
      <c r="E373" s="2">
        <v>96.851746890000001</v>
      </c>
      <c r="F373" s="2">
        <v>0</v>
      </c>
      <c r="G373" s="2">
        <v>3.1482531090000001</v>
      </c>
      <c r="H373" s="2" t="s">
        <v>64</v>
      </c>
      <c r="I373" s="2" t="s">
        <v>64</v>
      </c>
      <c r="J373" s="2" t="s">
        <v>64</v>
      </c>
      <c r="K373" s="2" t="s">
        <v>64</v>
      </c>
      <c r="L373" s="2" t="s">
        <v>64</v>
      </c>
      <c r="M373" s="2" t="s">
        <v>64</v>
      </c>
      <c r="N373" s="2" t="s">
        <v>64</v>
      </c>
      <c r="O373" s="2" t="s">
        <v>64</v>
      </c>
      <c r="P373" s="2" t="s">
        <v>64</v>
      </c>
      <c r="Q373" s="2" t="str">
        <f t="shared" si="32"/>
        <v>Seychelles|2019</v>
      </c>
      <c r="R373" s="2" t="str">
        <f t="shared" si="33"/>
        <v xml:space="preserve"> </v>
      </c>
      <c r="T373" s="2" t="b">
        <f t="shared" si="34"/>
        <v>0</v>
      </c>
      <c r="U373" s="2" t="b">
        <f t="shared" si="46"/>
        <v>0</v>
      </c>
      <c r="V373" s="2" t="b">
        <f t="shared" si="35"/>
        <v>0</v>
      </c>
      <c r="W373" s="2">
        <f t="shared" si="36"/>
        <v>97</v>
      </c>
      <c r="X373" s="2" t="b">
        <f t="shared" si="37"/>
        <v>0</v>
      </c>
      <c r="Y373" s="2" t="b">
        <f t="shared" si="38"/>
        <v>0</v>
      </c>
      <c r="Z373" s="2" t="str">
        <f t="shared" si="39"/>
        <v/>
      </c>
      <c r="AA373" s="2" t="str">
        <f t="shared" si="40"/>
        <v/>
      </c>
      <c r="AB373" s="2" t="str">
        <f t="shared" si="41"/>
        <v/>
      </c>
      <c r="AC373" s="2">
        <f t="shared" si="42"/>
        <v>0</v>
      </c>
      <c r="AO373" s="6"/>
      <c r="AP373" s="6"/>
      <c r="AQ373" s="6"/>
      <c r="AS373" s="6"/>
      <c r="AT373" s="6"/>
      <c r="AU373" s="6"/>
      <c r="AX373" s="2" t="str">
        <f t="shared" si="43"/>
        <v>null</v>
      </c>
      <c r="AY373" s="2" t="str">
        <f t="shared" si="44"/>
        <v>null</v>
      </c>
      <c r="AZ373" s="2" t="str">
        <f t="shared" si="45"/>
        <v>null</v>
      </c>
      <c r="BA373" s="16"/>
    </row>
    <row r="374" spans="1:53" x14ac:dyDescent="0.25">
      <c r="A374" s="2" t="s">
        <v>248</v>
      </c>
      <c r="B374" s="2">
        <v>2015</v>
      </c>
      <c r="C374" s="2">
        <v>7171.9091799999997</v>
      </c>
      <c r="D374" s="2">
        <v>40.828998570000003</v>
      </c>
      <c r="E374" s="2">
        <v>57.847465159999999</v>
      </c>
      <c r="F374" s="2">
        <v>8.1969579570000004</v>
      </c>
      <c r="G374" s="2">
        <v>15.91095456</v>
      </c>
      <c r="H374" s="2">
        <v>18.044622319999998</v>
      </c>
      <c r="I374" s="2">
        <v>45.529713839999999</v>
      </c>
      <c r="J374" s="2">
        <v>4.8404944719999996</v>
      </c>
      <c r="K374" s="2">
        <v>21.716961430000001</v>
      </c>
      <c r="L374" s="2">
        <v>27.912830270000001</v>
      </c>
      <c r="M374" s="2">
        <v>75.698837580000003</v>
      </c>
      <c r="N374" s="2">
        <v>13.06127759</v>
      </c>
      <c r="O374" s="2">
        <v>7.4966597610000001</v>
      </c>
      <c r="P374" s="2">
        <v>3.7432250680000001</v>
      </c>
      <c r="Q374" s="2" t="str">
        <f t="shared" si="32"/>
        <v>Sierra Leone|2015</v>
      </c>
      <c r="R374" s="2">
        <f t="shared" si="33"/>
        <v>5</v>
      </c>
      <c r="T374" s="2">
        <f t="shared" si="34"/>
        <v>1.1837640919999999</v>
      </c>
      <c r="U374" s="2">
        <f t="shared" si="46"/>
        <v>1.4445977659999998</v>
      </c>
      <c r="V374" s="2">
        <f t="shared" si="35"/>
        <v>0.54256001599999881</v>
      </c>
      <c r="W374" s="2">
        <f t="shared" si="36"/>
        <v>58</v>
      </c>
      <c r="X374" s="2">
        <f t="shared" si="37"/>
        <v>46</v>
      </c>
      <c r="Y374" s="2">
        <f t="shared" si="38"/>
        <v>76</v>
      </c>
      <c r="Z374" s="2" t="str">
        <f t="shared" si="39"/>
        <v/>
      </c>
      <c r="AA374" s="2" t="str">
        <f t="shared" si="40"/>
        <v/>
      </c>
      <c r="AB374" s="2" t="str">
        <f t="shared" si="41"/>
        <v>Fully Accessible</v>
      </c>
      <c r="AC374" s="2">
        <f t="shared" si="42"/>
        <v>0.90203775000000097</v>
      </c>
      <c r="AO374" s="6"/>
      <c r="AP374" s="6"/>
      <c r="AQ374" s="6"/>
      <c r="AS374" s="6"/>
      <c r="AT374" s="6"/>
      <c r="AU374" s="6"/>
      <c r="AX374" s="2">
        <f t="shared" si="43"/>
        <v>15148.894043</v>
      </c>
      <c r="AY374" s="2">
        <f t="shared" si="44"/>
        <v>83.751998909999998</v>
      </c>
      <c r="AZ374" s="2">
        <f t="shared" si="45"/>
        <v>15065.14204409</v>
      </c>
      <c r="BA374" s="6"/>
    </row>
    <row r="375" spans="1:53" x14ac:dyDescent="0.25">
      <c r="A375" s="2" t="s">
        <v>248</v>
      </c>
      <c r="B375" s="2">
        <v>2020</v>
      </c>
      <c r="C375" s="2">
        <v>7976.9848629999997</v>
      </c>
      <c r="D375" s="2">
        <v>42.923000340000002</v>
      </c>
      <c r="E375" s="2">
        <v>63.766285619999998</v>
      </c>
      <c r="F375" s="2">
        <v>9.0233163570000006</v>
      </c>
      <c r="G375" s="2">
        <v>15.5639457</v>
      </c>
      <c r="H375" s="2">
        <v>11.646452330000001</v>
      </c>
      <c r="I375" s="2">
        <v>52.752702669999998</v>
      </c>
      <c r="J375" s="2">
        <v>5.2211368890000003</v>
      </c>
      <c r="K375" s="2">
        <v>23.142949089999998</v>
      </c>
      <c r="L375" s="2">
        <v>18.88321135</v>
      </c>
      <c r="M375" s="2">
        <v>78.411637659999997</v>
      </c>
      <c r="N375" s="2">
        <v>14.079277429999999</v>
      </c>
      <c r="O375" s="2">
        <v>5.4857354369999998</v>
      </c>
      <c r="P375" s="2">
        <v>2.0233494749999998</v>
      </c>
      <c r="Q375" s="2" t="str">
        <f t="shared" si="32"/>
        <v>Sierra Leone|2020</v>
      </c>
      <c r="R375" s="2" t="str">
        <f t="shared" si="33"/>
        <v xml:space="preserve"> </v>
      </c>
      <c r="T375" s="2" t="b">
        <f t="shared" si="34"/>
        <v>0</v>
      </c>
      <c r="U375" s="2" t="b">
        <f t="shared" si="46"/>
        <v>0</v>
      </c>
      <c r="V375" s="2" t="b">
        <f t="shared" si="35"/>
        <v>0</v>
      </c>
      <c r="W375" s="2">
        <f t="shared" si="36"/>
        <v>64</v>
      </c>
      <c r="X375" s="2">
        <f t="shared" si="37"/>
        <v>53</v>
      </c>
      <c r="Y375" s="2">
        <f t="shared" si="38"/>
        <v>78</v>
      </c>
      <c r="Z375" s="2" t="str">
        <f t="shared" si="39"/>
        <v/>
      </c>
      <c r="AA375" s="2" t="str">
        <f t="shared" si="40"/>
        <v/>
      </c>
      <c r="AB375" s="2" t="str">
        <f t="shared" si="41"/>
        <v/>
      </c>
      <c r="AC375" s="2">
        <f t="shared" si="42"/>
        <v>0</v>
      </c>
      <c r="AO375" s="6"/>
      <c r="AP375" s="6"/>
      <c r="AQ375" s="6"/>
      <c r="AS375" s="6"/>
      <c r="AT375" s="6"/>
      <c r="AU375" s="6"/>
      <c r="AX375" s="2" t="str">
        <f t="shared" si="43"/>
        <v>null</v>
      </c>
      <c r="AY375" s="2" t="str">
        <f t="shared" si="44"/>
        <v>null</v>
      </c>
      <c r="AZ375" s="2" t="str">
        <f t="shared" si="45"/>
        <v>null</v>
      </c>
      <c r="BA375" s="6"/>
    </row>
    <row r="376" spans="1:53" x14ac:dyDescent="0.25">
      <c r="A376" s="2" t="s">
        <v>249</v>
      </c>
      <c r="B376" s="2">
        <v>2015</v>
      </c>
      <c r="C376" s="2">
        <v>5592.1430659999996</v>
      </c>
      <c r="D376" s="2">
        <v>100</v>
      </c>
      <c r="E376" s="2">
        <v>100</v>
      </c>
      <c r="F376" s="2">
        <v>0</v>
      </c>
      <c r="G376" s="2">
        <v>0</v>
      </c>
      <c r="H376" s="2">
        <v>0</v>
      </c>
      <c r="I376" s="2" t="s">
        <v>64</v>
      </c>
      <c r="J376" s="2" t="s">
        <v>64</v>
      </c>
      <c r="K376" s="2" t="s">
        <v>64</v>
      </c>
      <c r="L376" s="2" t="s">
        <v>64</v>
      </c>
      <c r="M376" s="2">
        <v>100</v>
      </c>
      <c r="N376" s="2">
        <v>0</v>
      </c>
      <c r="O376" s="2">
        <v>0</v>
      </c>
      <c r="P376" s="2">
        <v>0</v>
      </c>
      <c r="Q376" s="2" t="str">
        <f t="shared" si="32"/>
        <v>Singapore|2015</v>
      </c>
      <c r="R376" s="2">
        <f t="shared" si="33"/>
        <v>5</v>
      </c>
      <c r="T376" s="2">
        <f t="shared" si="34"/>
        <v>0</v>
      </c>
      <c r="U376" s="2" t="str">
        <f t="shared" si="46"/>
        <v>null</v>
      </c>
      <c r="V376" s="2">
        <f t="shared" si="35"/>
        <v>0</v>
      </c>
      <c r="W376" s="2">
        <f t="shared" si="36"/>
        <v>100</v>
      </c>
      <c r="X376" s="2" t="b">
        <f t="shared" si="37"/>
        <v>0</v>
      </c>
      <c r="Y376" s="2">
        <f t="shared" si="38"/>
        <v>100</v>
      </c>
      <c r="Z376" s="2" t="str">
        <f t="shared" si="39"/>
        <v/>
      </c>
      <c r="AA376" s="2" t="str">
        <f t="shared" si="40"/>
        <v>Fully Accessible</v>
      </c>
      <c r="AB376" s="2" t="str">
        <f t="shared" si="41"/>
        <v>Fully Accessible</v>
      </c>
      <c r="AC376" s="2" t="b">
        <f t="shared" si="42"/>
        <v>0</v>
      </c>
      <c r="AO376" s="6"/>
      <c r="AP376" s="6"/>
      <c r="AQ376" s="6"/>
      <c r="AS376" s="6"/>
      <c r="AT376" s="6"/>
      <c r="AU376" s="6"/>
      <c r="AX376" s="2">
        <f t="shared" si="43"/>
        <v>11442.485839000001</v>
      </c>
      <c r="AY376" s="2">
        <f t="shared" si="44"/>
        <v>200</v>
      </c>
      <c r="AZ376" s="2">
        <f t="shared" si="45"/>
        <v>11242.485839000001</v>
      </c>
      <c r="BA376" s="6"/>
    </row>
    <row r="377" spans="1:53" x14ac:dyDescent="0.25">
      <c r="A377" s="2" t="s">
        <v>249</v>
      </c>
      <c r="B377" s="2">
        <v>2020</v>
      </c>
      <c r="C377" s="2">
        <v>5850.3427730000003</v>
      </c>
      <c r="D377" s="2">
        <v>100</v>
      </c>
      <c r="E377" s="2">
        <v>100</v>
      </c>
      <c r="F377" s="2">
        <v>0</v>
      </c>
      <c r="G377" s="2">
        <v>0</v>
      </c>
      <c r="H377" s="2">
        <v>0</v>
      </c>
      <c r="I377" s="2" t="s">
        <v>64</v>
      </c>
      <c r="J377" s="2" t="s">
        <v>64</v>
      </c>
      <c r="K377" s="2" t="s">
        <v>64</v>
      </c>
      <c r="L377" s="2" t="s">
        <v>64</v>
      </c>
      <c r="M377" s="2">
        <v>100</v>
      </c>
      <c r="N377" s="2">
        <v>0</v>
      </c>
      <c r="O377" s="2">
        <v>0</v>
      </c>
      <c r="P377" s="2">
        <v>0</v>
      </c>
      <c r="Q377" s="2" t="str">
        <f t="shared" si="32"/>
        <v>Singapore|2020</v>
      </c>
      <c r="R377" s="2" t="str">
        <f t="shared" si="33"/>
        <v xml:space="preserve"> </v>
      </c>
      <c r="T377" s="2" t="b">
        <f t="shared" si="34"/>
        <v>0</v>
      </c>
      <c r="U377" s="2" t="b">
        <f t="shared" si="46"/>
        <v>0</v>
      </c>
      <c r="V377" s="2" t="b">
        <f t="shared" si="35"/>
        <v>0</v>
      </c>
      <c r="W377" s="2">
        <f t="shared" si="36"/>
        <v>100</v>
      </c>
      <c r="X377" s="2" t="b">
        <f t="shared" si="37"/>
        <v>0</v>
      </c>
      <c r="Y377" s="2">
        <f t="shared" si="38"/>
        <v>100</v>
      </c>
      <c r="Z377" s="2" t="str">
        <f t="shared" si="39"/>
        <v/>
      </c>
      <c r="AA377" s="2" t="str">
        <f t="shared" si="40"/>
        <v/>
      </c>
      <c r="AB377" s="2" t="str">
        <f t="shared" si="41"/>
        <v/>
      </c>
      <c r="AC377" s="2">
        <f t="shared" si="42"/>
        <v>0</v>
      </c>
      <c r="AO377" s="6"/>
      <c r="AP377" s="6"/>
      <c r="AQ377" s="6"/>
      <c r="AS377" s="6"/>
      <c r="AT377" s="6"/>
      <c r="AU377" s="6"/>
      <c r="AX377" s="2" t="str">
        <f t="shared" si="43"/>
        <v>null</v>
      </c>
      <c r="AY377" s="2" t="str">
        <f t="shared" si="44"/>
        <v>null</v>
      </c>
      <c r="AZ377" s="2" t="str">
        <f t="shared" si="45"/>
        <v>null</v>
      </c>
      <c r="BA377" s="6"/>
    </row>
    <row r="378" spans="1:53" x14ac:dyDescent="0.25">
      <c r="A378" s="2" t="s">
        <v>250</v>
      </c>
      <c r="B378" s="2">
        <v>2015</v>
      </c>
      <c r="C378" s="2">
        <v>39.966999049999998</v>
      </c>
      <c r="D378" s="2">
        <v>100</v>
      </c>
      <c r="E378" s="2">
        <v>95.311179330000002</v>
      </c>
      <c r="F378" s="2">
        <v>0</v>
      </c>
      <c r="G378" s="2">
        <v>4.6888206700000001</v>
      </c>
      <c r="H378" s="2">
        <v>0</v>
      </c>
      <c r="I378" s="2" t="s">
        <v>64</v>
      </c>
      <c r="J378" s="2" t="s">
        <v>64</v>
      </c>
      <c r="K378" s="2" t="s">
        <v>64</v>
      </c>
      <c r="L378" s="2" t="s">
        <v>64</v>
      </c>
      <c r="M378" s="2">
        <v>95.311179330000002</v>
      </c>
      <c r="N378" s="2">
        <v>0</v>
      </c>
      <c r="O378" s="2">
        <v>4.6888206700000001</v>
      </c>
      <c r="P378" s="2">
        <v>0</v>
      </c>
      <c r="Q378" s="2" t="str">
        <f t="shared" si="32"/>
        <v>Sint Maarten (Dutch part)|2015</v>
      </c>
      <c r="R378" s="2">
        <f t="shared" si="33"/>
        <v>2</v>
      </c>
      <c r="T378" s="2">
        <f t="shared" si="34"/>
        <v>0</v>
      </c>
      <c r="U378" s="2" t="str">
        <f t="shared" si="46"/>
        <v>null</v>
      </c>
      <c r="V378" s="2">
        <f t="shared" si="35"/>
        <v>0</v>
      </c>
      <c r="W378" s="2">
        <f t="shared" si="36"/>
        <v>95</v>
      </c>
      <c r="X378" s="2" t="b">
        <f t="shared" si="37"/>
        <v>0</v>
      </c>
      <c r="Y378" s="2">
        <f t="shared" si="38"/>
        <v>95</v>
      </c>
      <c r="Z378" s="2" t="str">
        <f t="shared" si="39"/>
        <v/>
      </c>
      <c r="AA378" s="2" t="str">
        <f t="shared" si="40"/>
        <v>Fully Accessible</v>
      </c>
      <c r="AB378" s="2" t="str">
        <f t="shared" si="41"/>
        <v>Fully Accessible</v>
      </c>
      <c r="AC378" s="2" t="b">
        <f t="shared" si="42"/>
        <v>0</v>
      </c>
      <c r="AO378" s="6"/>
      <c r="AP378" s="6"/>
      <c r="AQ378" s="6"/>
      <c r="AS378" s="6"/>
      <c r="AT378" s="6"/>
      <c r="AU378" s="6"/>
      <c r="AX378" s="2">
        <f t="shared" si="43"/>
        <v>81.410999290000007</v>
      </c>
      <c r="AY378" s="2">
        <f t="shared" si="44"/>
        <v>200</v>
      </c>
      <c r="AZ378" s="2">
        <f t="shared" si="45"/>
        <v>-118.58900070999999</v>
      </c>
      <c r="BA378" s="16"/>
    </row>
    <row r="379" spans="1:53" x14ac:dyDescent="0.25">
      <c r="A379" s="2" t="s">
        <v>250</v>
      </c>
      <c r="B379" s="2">
        <v>2017</v>
      </c>
      <c r="C379" s="2">
        <v>41.444000240000001</v>
      </c>
      <c r="D379" s="2">
        <v>100</v>
      </c>
      <c r="E379" s="2">
        <v>95.311179330000002</v>
      </c>
      <c r="F379" s="2">
        <v>0</v>
      </c>
      <c r="G379" s="2">
        <v>4.6888206700000001</v>
      </c>
      <c r="H379" s="2">
        <v>0</v>
      </c>
      <c r="I379" s="2" t="s">
        <v>64</v>
      </c>
      <c r="J379" s="2" t="s">
        <v>64</v>
      </c>
      <c r="K379" s="2" t="s">
        <v>64</v>
      </c>
      <c r="L379" s="2" t="s">
        <v>64</v>
      </c>
      <c r="M379" s="2">
        <v>95.311179330000002</v>
      </c>
      <c r="N379" s="2">
        <v>0</v>
      </c>
      <c r="O379" s="2">
        <v>4.6888206700000001</v>
      </c>
      <c r="P379" s="2">
        <v>0</v>
      </c>
      <c r="Q379" s="2" t="str">
        <f t="shared" si="32"/>
        <v>Sint Maarten (Dutch part)|2017</v>
      </c>
      <c r="R379" s="2" t="str">
        <f t="shared" si="33"/>
        <v xml:space="preserve"> </v>
      </c>
      <c r="T379" s="2" t="b">
        <f t="shared" si="34"/>
        <v>0</v>
      </c>
      <c r="U379" s="2" t="b">
        <f t="shared" si="46"/>
        <v>0</v>
      </c>
      <c r="V379" s="2" t="b">
        <f t="shared" si="35"/>
        <v>0</v>
      </c>
      <c r="W379" s="2">
        <f t="shared" si="36"/>
        <v>95</v>
      </c>
      <c r="X379" s="2" t="b">
        <f t="shared" si="37"/>
        <v>0</v>
      </c>
      <c r="Y379" s="2">
        <f t="shared" si="38"/>
        <v>95</v>
      </c>
      <c r="Z379" s="2" t="str">
        <f t="shared" si="39"/>
        <v/>
      </c>
      <c r="AA379" s="2" t="str">
        <f t="shared" si="40"/>
        <v/>
      </c>
      <c r="AB379" s="2" t="str">
        <f t="shared" si="41"/>
        <v/>
      </c>
      <c r="AC379" s="2">
        <f t="shared" si="42"/>
        <v>0</v>
      </c>
      <c r="AO379" s="6"/>
      <c r="AP379" s="6"/>
      <c r="AQ379" s="6"/>
      <c r="AS379" s="6"/>
      <c r="AT379" s="6"/>
      <c r="AU379" s="6"/>
      <c r="AX379" s="2" t="str">
        <f t="shared" si="43"/>
        <v>null</v>
      </c>
      <c r="AY379" s="2" t="str">
        <f t="shared" si="44"/>
        <v>null</v>
      </c>
      <c r="AZ379" s="2" t="str">
        <f t="shared" si="45"/>
        <v>null</v>
      </c>
      <c r="BA379" s="6"/>
    </row>
    <row r="380" spans="1:53" x14ac:dyDescent="0.25">
      <c r="A380" s="2" t="s">
        <v>251</v>
      </c>
      <c r="B380" s="2">
        <v>2015</v>
      </c>
      <c r="C380" s="2">
        <v>5435.6137699999999</v>
      </c>
      <c r="D380" s="2">
        <v>53.888999939999998</v>
      </c>
      <c r="E380" s="2">
        <v>99.787189130000002</v>
      </c>
      <c r="F380" s="2">
        <v>0.21281086739999999</v>
      </c>
      <c r="G380" s="2">
        <v>0</v>
      </c>
      <c r="H380" s="2">
        <v>0</v>
      </c>
      <c r="I380" s="2">
        <v>100</v>
      </c>
      <c r="J380" s="2">
        <v>0</v>
      </c>
      <c r="K380" s="2">
        <v>0</v>
      </c>
      <c r="L380" s="2">
        <v>0</v>
      </c>
      <c r="M380" s="2">
        <v>99.605094059999999</v>
      </c>
      <c r="N380" s="2">
        <v>0.39490593740000002</v>
      </c>
      <c r="O380" s="2">
        <v>0</v>
      </c>
      <c r="P380" s="2">
        <v>0</v>
      </c>
      <c r="Q380" s="2" t="str">
        <f t="shared" si="32"/>
        <v>Slovakia|2015</v>
      </c>
      <c r="R380" s="2">
        <f t="shared" si="33"/>
        <v>5</v>
      </c>
      <c r="T380" s="2">
        <f t="shared" si="34"/>
        <v>1.018899999991163E-4</v>
      </c>
      <c r="U380" s="2">
        <f t="shared" si="46"/>
        <v>0</v>
      </c>
      <c r="V380" s="2">
        <f t="shared" si="35"/>
        <v>0</v>
      </c>
      <c r="W380" s="2">
        <f t="shared" si="36"/>
        <v>100</v>
      </c>
      <c r="X380" s="2">
        <f t="shared" si="37"/>
        <v>100</v>
      </c>
      <c r="Y380" s="2">
        <f t="shared" si="38"/>
        <v>100</v>
      </c>
      <c r="Z380" s="2" t="str">
        <f t="shared" si="39"/>
        <v/>
      </c>
      <c r="AA380" s="2" t="str">
        <f t="shared" si="40"/>
        <v/>
      </c>
      <c r="AB380" s="2" t="str">
        <f t="shared" si="41"/>
        <v>Fully Accessible</v>
      </c>
      <c r="AC380" s="2">
        <f t="shared" si="42"/>
        <v>0</v>
      </c>
      <c r="AO380" s="6"/>
      <c r="AP380" s="6"/>
      <c r="AQ380" s="6"/>
      <c r="AS380" s="6"/>
      <c r="AT380" s="6"/>
      <c r="AU380" s="6"/>
      <c r="AX380" s="2">
        <f t="shared" si="43"/>
        <v>10895.256836</v>
      </c>
      <c r="AY380" s="2">
        <f t="shared" si="44"/>
        <v>107.64899826</v>
      </c>
      <c r="AZ380" s="2">
        <f t="shared" si="45"/>
        <v>10787.607837740001</v>
      </c>
      <c r="BA380" s="16"/>
    </row>
    <row r="381" spans="1:53" x14ac:dyDescent="0.25">
      <c r="A381" s="2" t="s">
        <v>251</v>
      </c>
      <c r="B381" s="2">
        <v>2020</v>
      </c>
      <c r="C381" s="2">
        <v>5459.6430659999996</v>
      </c>
      <c r="D381" s="2">
        <v>53.759998320000001</v>
      </c>
      <c r="E381" s="2">
        <v>99.787698579999997</v>
      </c>
      <c r="F381" s="2">
        <v>0.2123014241</v>
      </c>
      <c r="G381" s="2">
        <v>0</v>
      </c>
      <c r="H381" s="2">
        <v>0</v>
      </c>
      <c r="I381" s="2">
        <v>100</v>
      </c>
      <c r="J381" s="2">
        <v>0</v>
      </c>
      <c r="K381" s="2">
        <v>0</v>
      </c>
      <c r="L381" s="2">
        <v>0</v>
      </c>
      <c r="M381" s="2">
        <v>99.605094059999999</v>
      </c>
      <c r="N381" s="2">
        <v>0.39490593740000002</v>
      </c>
      <c r="O381" s="2">
        <v>0</v>
      </c>
      <c r="P381" s="2">
        <v>0</v>
      </c>
      <c r="Q381" s="2" t="str">
        <f t="shared" si="32"/>
        <v>Slovakia|2020</v>
      </c>
      <c r="R381" s="2" t="str">
        <f t="shared" si="33"/>
        <v xml:space="preserve"> </v>
      </c>
      <c r="T381" s="2" t="b">
        <f t="shared" si="34"/>
        <v>0</v>
      </c>
      <c r="U381" s="2" t="b">
        <f t="shared" si="46"/>
        <v>0</v>
      </c>
      <c r="V381" s="2" t="b">
        <f t="shared" si="35"/>
        <v>0</v>
      </c>
      <c r="W381" s="2">
        <f t="shared" si="36"/>
        <v>100</v>
      </c>
      <c r="X381" s="2">
        <f t="shared" si="37"/>
        <v>100</v>
      </c>
      <c r="Y381" s="2">
        <f t="shared" si="38"/>
        <v>100</v>
      </c>
      <c r="Z381" s="2" t="str">
        <f t="shared" si="39"/>
        <v/>
      </c>
      <c r="AA381" s="2" t="str">
        <f t="shared" si="40"/>
        <v/>
      </c>
      <c r="AB381" s="2" t="str">
        <f t="shared" si="41"/>
        <v/>
      </c>
      <c r="AC381" s="2">
        <f t="shared" si="42"/>
        <v>0</v>
      </c>
      <c r="AO381" s="6"/>
      <c r="AP381" s="6"/>
      <c r="AQ381" s="6"/>
      <c r="AS381" s="6"/>
      <c r="AT381" s="6"/>
      <c r="AU381" s="6"/>
      <c r="AX381" s="2" t="str">
        <f t="shared" si="43"/>
        <v>null</v>
      </c>
      <c r="AY381" s="2" t="str">
        <f t="shared" si="44"/>
        <v>null</v>
      </c>
      <c r="AZ381" s="2" t="str">
        <f t="shared" si="45"/>
        <v>null</v>
      </c>
      <c r="BA381" s="16"/>
    </row>
    <row r="382" spans="1:53" x14ac:dyDescent="0.25">
      <c r="A382" s="2" t="s">
        <v>252</v>
      </c>
      <c r="B382" s="2">
        <v>2015</v>
      </c>
      <c r="C382" s="2">
        <v>2071.1989749999998</v>
      </c>
      <c r="D382" s="2">
        <v>53.78100586</v>
      </c>
      <c r="E382" s="2">
        <v>99.5</v>
      </c>
      <c r="F382" s="2">
        <v>0</v>
      </c>
      <c r="G382" s="2">
        <v>0.5</v>
      </c>
      <c r="H382" s="2">
        <v>0</v>
      </c>
      <c r="I382" s="2" t="s">
        <v>64</v>
      </c>
      <c r="J382" s="2" t="s">
        <v>64</v>
      </c>
      <c r="K382" s="2" t="s">
        <v>64</v>
      </c>
      <c r="L382" s="2" t="s">
        <v>64</v>
      </c>
      <c r="M382" s="2" t="s">
        <v>64</v>
      </c>
      <c r="N382" s="2" t="s">
        <v>64</v>
      </c>
      <c r="O382" s="2" t="s">
        <v>64</v>
      </c>
      <c r="P382" s="2" t="s">
        <v>64</v>
      </c>
      <c r="Q382" s="2" t="str">
        <f t="shared" si="32"/>
        <v>Slovenia|2015</v>
      </c>
      <c r="R382" s="2">
        <f t="shared" si="33"/>
        <v>5</v>
      </c>
      <c r="T382" s="2">
        <f t="shared" si="34"/>
        <v>0</v>
      </c>
      <c r="U382" s="2" t="str">
        <f t="shared" si="46"/>
        <v>null</v>
      </c>
      <c r="V382" s="2" t="str">
        <f t="shared" si="35"/>
        <v>null</v>
      </c>
      <c r="W382" s="2">
        <f t="shared" si="36"/>
        <v>100</v>
      </c>
      <c r="X382" s="2" t="b">
        <f t="shared" si="37"/>
        <v>0</v>
      </c>
      <c r="Y382" s="2" t="b">
        <f t="shared" si="38"/>
        <v>0</v>
      </c>
      <c r="Z382" s="2" t="str">
        <f t="shared" si="39"/>
        <v/>
      </c>
      <c r="AA382" s="2" t="str">
        <f t="shared" si="40"/>
        <v>Fully Accessible</v>
      </c>
      <c r="AB382" s="2" t="str">
        <f t="shared" si="41"/>
        <v>Fully Accessible</v>
      </c>
      <c r="AC382" s="2" t="b">
        <f t="shared" si="42"/>
        <v>0</v>
      </c>
      <c r="AO382" s="6"/>
      <c r="AP382" s="6"/>
      <c r="AQ382" s="6"/>
      <c r="AS382" s="6"/>
      <c r="AT382" s="6"/>
      <c r="AU382" s="6"/>
      <c r="AX382" s="2">
        <f t="shared" si="43"/>
        <v>4150.1308599999993</v>
      </c>
      <c r="AY382" s="2">
        <f t="shared" si="44"/>
        <v>108.89900971</v>
      </c>
      <c r="AZ382" s="2">
        <f t="shared" si="45"/>
        <v>4041.2318502899993</v>
      </c>
      <c r="BA382" s="6"/>
    </row>
    <row r="383" spans="1:53" x14ac:dyDescent="0.25">
      <c r="A383" s="2" t="s">
        <v>252</v>
      </c>
      <c r="B383" s="2">
        <v>2020</v>
      </c>
      <c r="C383" s="2">
        <v>2078.931885</v>
      </c>
      <c r="D383" s="2">
        <v>55.118003850000001</v>
      </c>
      <c r="E383" s="2">
        <v>99.5</v>
      </c>
      <c r="F383" s="2">
        <v>0</v>
      </c>
      <c r="G383" s="2">
        <v>0.5</v>
      </c>
      <c r="H383" s="2">
        <v>0</v>
      </c>
      <c r="I383" s="2" t="s">
        <v>64</v>
      </c>
      <c r="J383" s="2" t="s">
        <v>64</v>
      </c>
      <c r="K383" s="2" t="s">
        <v>64</v>
      </c>
      <c r="L383" s="2" t="s">
        <v>64</v>
      </c>
      <c r="M383" s="2" t="s">
        <v>64</v>
      </c>
      <c r="N383" s="2" t="s">
        <v>64</v>
      </c>
      <c r="O383" s="2" t="s">
        <v>64</v>
      </c>
      <c r="P383" s="2" t="s">
        <v>64</v>
      </c>
      <c r="Q383" s="2" t="str">
        <f t="shared" si="32"/>
        <v>Slovenia|2020</v>
      </c>
      <c r="R383" s="2" t="str">
        <f t="shared" si="33"/>
        <v xml:space="preserve"> </v>
      </c>
      <c r="T383" s="2" t="b">
        <f t="shared" si="34"/>
        <v>0</v>
      </c>
      <c r="U383" s="2" t="b">
        <f t="shared" si="46"/>
        <v>0</v>
      </c>
      <c r="V383" s="2" t="b">
        <f t="shared" si="35"/>
        <v>0</v>
      </c>
      <c r="W383" s="2">
        <f t="shared" si="36"/>
        <v>100</v>
      </c>
      <c r="X383" s="2" t="b">
        <f t="shared" si="37"/>
        <v>0</v>
      </c>
      <c r="Y383" s="2" t="b">
        <f t="shared" si="38"/>
        <v>0</v>
      </c>
      <c r="Z383" s="2" t="str">
        <f t="shared" si="39"/>
        <v/>
      </c>
      <c r="AA383" s="2" t="str">
        <f t="shared" si="40"/>
        <v/>
      </c>
      <c r="AB383" s="2" t="str">
        <f t="shared" si="41"/>
        <v/>
      </c>
      <c r="AC383" s="2">
        <f t="shared" si="42"/>
        <v>0</v>
      </c>
      <c r="AO383" s="6"/>
      <c r="AP383" s="6"/>
      <c r="AQ383" s="6"/>
      <c r="AS383" s="6"/>
      <c r="AT383" s="6"/>
      <c r="AU383" s="6"/>
      <c r="AX383" s="2" t="str">
        <f t="shared" si="43"/>
        <v>null</v>
      </c>
      <c r="AY383" s="2" t="str">
        <f t="shared" si="44"/>
        <v>null</v>
      </c>
      <c r="AZ383" s="2" t="str">
        <f t="shared" si="45"/>
        <v>null</v>
      </c>
      <c r="BA383" s="6"/>
    </row>
    <row r="384" spans="1:53" x14ac:dyDescent="0.25">
      <c r="A384" s="2" t="s">
        <v>253</v>
      </c>
      <c r="B384" s="2">
        <v>2015</v>
      </c>
      <c r="C384" s="2">
        <v>603.13299559999996</v>
      </c>
      <c r="D384" s="2">
        <v>22.359998699999998</v>
      </c>
      <c r="E384" s="2">
        <v>69.329918890000002</v>
      </c>
      <c r="F384" s="2">
        <v>5.7052676340000001</v>
      </c>
      <c r="G384" s="2">
        <v>18.988981249999998</v>
      </c>
      <c r="H384" s="2">
        <v>5.9758322210000001</v>
      </c>
      <c r="I384" s="2">
        <v>63.012138190000002</v>
      </c>
      <c r="J384" s="2">
        <v>6.3384682029999997</v>
      </c>
      <c r="K384" s="2">
        <v>23.284595639999999</v>
      </c>
      <c r="L384" s="2">
        <v>7.3647979660000003</v>
      </c>
      <c r="M384" s="2">
        <v>91.266972050000007</v>
      </c>
      <c r="N384" s="2">
        <v>3.5066230169999999</v>
      </c>
      <c r="O384" s="2">
        <v>4.0734396070000001</v>
      </c>
      <c r="P384" s="2">
        <v>1.1529653280000001</v>
      </c>
      <c r="Q384" s="2" t="str">
        <f t="shared" si="32"/>
        <v>Solomon Islands|2015</v>
      </c>
      <c r="R384" s="2">
        <f t="shared" si="33"/>
        <v>5</v>
      </c>
      <c r="T384" s="2">
        <f t="shared" si="34"/>
        <v>-0.40577867000000084</v>
      </c>
      <c r="U384" s="2">
        <f t="shared" si="46"/>
        <v>-0.72137414000000033</v>
      </c>
      <c r="V384" s="2">
        <f t="shared" si="35"/>
        <v>2.8760967999997434E-2</v>
      </c>
      <c r="W384" s="2">
        <f t="shared" si="36"/>
        <v>69</v>
      </c>
      <c r="X384" s="2">
        <f t="shared" si="37"/>
        <v>63</v>
      </c>
      <c r="Y384" s="2">
        <f t="shared" si="38"/>
        <v>91</v>
      </c>
      <c r="Z384" s="2" t="str">
        <f t="shared" si="39"/>
        <v/>
      </c>
      <c r="AA384" s="2" t="str">
        <f t="shared" si="40"/>
        <v/>
      </c>
      <c r="AB384" s="2" t="str">
        <f t="shared" si="41"/>
        <v>Fully Accessible</v>
      </c>
      <c r="AC384" s="2">
        <f t="shared" si="42"/>
        <v>-0.75013510799999772</v>
      </c>
      <c r="AO384" s="6"/>
      <c r="AP384" s="6"/>
      <c r="AQ384" s="6"/>
      <c r="AS384" s="6"/>
      <c r="AT384" s="6"/>
      <c r="AU384" s="6"/>
      <c r="AX384" s="2">
        <f t="shared" si="43"/>
        <v>1290.0109863</v>
      </c>
      <c r="AY384" s="2">
        <f t="shared" si="44"/>
        <v>47.02999878</v>
      </c>
      <c r="AZ384" s="2">
        <f t="shared" si="45"/>
        <v>1242.9809875200001</v>
      </c>
      <c r="BA384" s="6"/>
    </row>
    <row r="385" spans="1:53" x14ac:dyDescent="0.25">
      <c r="A385" s="2" t="s">
        <v>253</v>
      </c>
      <c r="B385" s="2">
        <v>2020</v>
      </c>
      <c r="C385" s="2">
        <v>686.87799070000005</v>
      </c>
      <c r="D385" s="2">
        <v>24.670000080000001</v>
      </c>
      <c r="E385" s="2">
        <v>67.301025539999998</v>
      </c>
      <c r="F385" s="2">
        <v>5.79547831</v>
      </c>
      <c r="G385" s="2">
        <v>21.267843129999999</v>
      </c>
      <c r="H385" s="2">
        <v>5.6356530249999999</v>
      </c>
      <c r="I385" s="2">
        <v>59.40526749</v>
      </c>
      <c r="J385" s="2">
        <v>6.5285236490000003</v>
      </c>
      <c r="K385" s="2">
        <v>26.955911</v>
      </c>
      <c r="L385" s="2">
        <v>7.1102978569999999</v>
      </c>
      <c r="M385" s="2">
        <v>91.410776889999994</v>
      </c>
      <c r="N385" s="2">
        <v>3.5571204249999999</v>
      </c>
      <c r="O385" s="2">
        <v>3.8992861369999998</v>
      </c>
      <c r="P385" s="2">
        <v>1.1328165530000001</v>
      </c>
      <c r="Q385" s="2" t="str">
        <f t="shared" si="32"/>
        <v>Solomon Islands|2020</v>
      </c>
      <c r="R385" s="2" t="str">
        <f t="shared" si="33"/>
        <v xml:space="preserve"> </v>
      </c>
      <c r="T385" s="2" t="b">
        <f t="shared" si="34"/>
        <v>0</v>
      </c>
      <c r="U385" s="2" t="b">
        <f t="shared" si="46"/>
        <v>0</v>
      </c>
      <c r="V385" s="2" t="b">
        <f t="shared" si="35"/>
        <v>0</v>
      </c>
      <c r="W385" s="2">
        <f t="shared" si="36"/>
        <v>67</v>
      </c>
      <c r="X385" s="2">
        <f t="shared" si="37"/>
        <v>59</v>
      </c>
      <c r="Y385" s="2">
        <f t="shared" si="38"/>
        <v>91</v>
      </c>
      <c r="Z385" s="2" t="str">
        <f t="shared" si="39"/>
        <v/>
      </c>
      <c r="AA385" s="2" t="str">
        <f t="shared" si="40"/>
        <v/>
      </c>
      <c r="AB385" s="2" t="str">
        <f t="shared" si="41"/>
        <v/>
      </c>
      <c r="AC385" s="2">
        <f t="shared" si="42"/>
        <v>0</v>
      </c>
      <c r="AO385" s="6"/>
      <c r="AP385" s="6"/>
      <c r="AQ385" s="6"/>
      <c r="AS385" s="6"/>
      <c r="AT385" s="6"/>
      <c r="AU385" s="6"/>
      <c r="AX385" s="2" t="str">
        <f t="shared" si="43"/>
        <v>null</v>
      </c>
      <c r="AY385" s="2" t="str">
        <f t="shared" si="44"/>
        <v>null</v>
      </c>
      <c r="AZ385" s="2" t="str">
        <f t="shared" si="45"/>
        <v>null</v>
      </c>
      <c r="BA385" s="6"/>
    </row>
    <row r="386" spans="1:53" x14ac:dyDescent="0.25">
      <c r="A386" s="2" t="s">
        <v>254</v>
      </c>
      <c r="B386" s="2">
        <v>2015</v>
      </c>
      <c r="C386" s="2">
        <v>13797.204100000001</v>
      </c>
      <c r="D386" s="2">
        <v>43.245002749999998</v>
      </c>
      <c r="E386" s="2">
        <v>48.711153680000002</v>
      </c>
      <c r="F386" s="2">
        <v>23.406187760000002</v>
      </c>
      <c r="G386" s="2">
        <v>20.154106760000001</v>
      </c>
      <c r="H386" s="2">
        <v>7.7285517889999999</v>
      </c>
      <c r="I386" s="2">
        <v>29.2281926</v>
      </c>
      <c r="J386" s="2">
        <v>28.887148530000001</v>
      </c>
      <c r="K386" s="2">
        <v>28.975788860000002</v>
      </c>
      <c r="L386" s="2">
        <v>12.908870009999999</v>
      </c>
      <c r="M386" s="2">
        <v>74.28070864</v>
      </c>
      <c r="N386" s="2">
        <v>16.212941990000001</v>
      </c>
      <c r="O386" s="2">
        <v>8.5764782830000001</v>
      </c>
      <c r="P386" s="2">
        <v>0.92987109219999997</v>
      </c>
      <c r="Q386" s="2" t="str">
        <f t="shared" si="32"/>
        <v>Somalia|2015</v>
      </c>
      <c r="R386" s="2">
        <f t="shared" si="33"/>
        <v>5</v>
      </c>
      <c r="T386" s="2">
        <f t="shared" si="34"/>
        <v>1.553163941999999</v>
      </c>
      <c r="U386" s="2">
        <f t="shared" si="46"/>
        <v>1.5695340439999996</v>
      </c>
      <c r="V386" s="2">
        <f t="shared" si="35"/>
        <v>0.96851942000000124</v>
      </c>
      <c r="W386" s="2">
        <f t="shared" si="36"/>
        <v>49</v>
      </c>
      <c r="X386" s="2">
        <f t="shared" si="37"/>
        <v>29</v>
      </c>
      <c r="Y386" s="2">
        <f t="shared" si="38"/>
        <v>74</v>
      </c>
      <c r="Z386" s="2" t="str">
        <f t="shared" si="39"/>
        <v/>
      </c>
      <c r="AA386" s="2" t="str">
        <f t="shared" si="40"/>
        <v/>
      </c>
      <c r="AB386" s="2" t="str">
        <f t="shared" si="41"/>
        <v>Fully Accessible</v>
      </c>
      <c r="AC386" s="2">
        <f t="shared" si="42"/>
        <v>0.60101462399999839</v>
      </c>
      <c r="AO386" s="6"/>
      <c r="AP386" s="6"/>
      <c r="AQ386" s="6"/>
      <c r="AS386" s="6"/>
      <c r="AT386" s="6"/>
      <c r="AU386" s="6"/>
      <c r="AX386" s="2">
        <f t="shared" si="43"/>
        <v>29690.422850000003</v>
      </c>
      <c r="AY386" s="2">
        <f t="shared" si="44"/>
        <v>89.386001590000006</v>
      </c>
      <c r="AZ386" s="2">
        <f t="shared" si="45"/>
        <v>29601.036848410004</v>
      </c>
      <c r="BA386" s="16"/>
    </row>
    <row r="387" spans="1:53" x14ac:dyDescent="0.25">
      <c r="A387" s="2" t="s">
        <v>254</v>
      </c>
      <c r="B387" s="2">
        <v>2020</v>
      </c>
      <c r="C387" s="2">
        <v>15893.21875</v>
      </c>
      <c r="D387" s="2">
        <v>46.140998840000002</v>
      </c>
      <c r="E387" s="2">
        <v>56.476973389999998</v>
      </c>
      <c r="F387" s="2">
        <v>27.704199559999999</v>
      </c>
      <c r="G387" s="2">
        <v>13.41704303</v>
      </c>
      <c r="H387" s="2">
        <v>2.4017840210000001</v>
      </c>
      <c r="I387" s="2">
        <v>37.075862819999998</v>
      </c>
      <c r="J387" s="2">
        <v>36.643249580000003</v>
      </c>
      <c r="K387" s="2">
        <v>21.821495460000001</v>
      </c>
      <c r="L387" s="2">
        <v>4.4593921429999996</v>
      </c>
      <c r="M387" s="2">
        <v>79.123305740000006</v>
      </c>
      <c r="N387" s="2">
        <v>17.269915560000001</v>
      </c>
      <c r="O387" s="2">
        <v>3.6067787029999998</v>
      </c>
      <c r="P387" s="2">
        <v>0</v>
      </c>
      <c r="Q387" s="2" t="str">
        <f t="shared" si="32"/>
        <v>Somalia|2020</v>
      </c>
      <c r="R387" s="2" t="str">
        <f t="shared" si="33"/>
        <v xml:space="preserve"> </v>
      </c>
      <c r="T387" s="2" t="b">
        <f t="shared" si="34"/>
        <v>0</v>
      </c>
      <c r="U387" s="2" t="b">
        <f t="shared" si="46"/>
        <v>0</v>
      </c>
      <c r="V387" s="2" t="b">
        <f t="shared" si="35"/>
        <v>0</v>
      </c>
      <c r="W387" s="2">
        <f t="shared" si="36"/>
        <v>56</v>
      </c>
      <c r="X387" s="2">
        <f t="shared" si="37"/>
        <v>37</v>
      </c>
      <c r="Y387" s="2">
        <f t="shared" si="38"/>
        <v>79</v>
      </c>
      <c r="Z387" s="2" t="str">
        <f t="shared" si="39"/>
        <v/>
      </c>
      <c r="AA387" s="2" t="str">
        <f t="shared" si="40"/>
        <v/>
      </c>
      <c r="AB387" s="2" t="str">
        <f t="shared" si="41"/>
        <v/>
      </c>
      <c r="AC387" s="2">
        <f t="shared" si="42"/>
        <v>0</v>
      </c>
      <c r="AO387" s="6"/>
      <c r="AP387" s="6"/>
      <c r="AQ387" s="6"/>
      <c r="AS387" s="6"/>
      <c r="AT387" s="6"/>
      <c r="AU387" s="6"/>
      <c r="AX387" s="2" t="str">
        <f t="shared" si="43"/>
        <v>null</v>
      </c>
      <c r="AY387" s="2" t="str">
        <f t="shared" si="44"/>
        <v>null</v>
      </c>
      <c r="AZ387" s="2" t="str">
        <f t="shared" si="45"/>
        <v>null</v>
      </c>
      <c r="BA387" s="6"/>
    </row>
    <row r="388" spans="1:53" x14ac:dyDescent="0.25">
      <c r="A388" s="2" t="s">
        <v>255</v>
      </c>
      <c r="B388" s="2">
        <v>2015</v>
      </c>
      <c r="C388" s="2">
        <v>55386.367189999997</v>
      </c>
      <c r="D388" s="2">
        <v>64.828002929999997</v>
      </c>
      <c r="E388" s="2">
        <v>91.876343869999999</v>
      </c>
      <c r="F388" s="2">
        <v>2.8031559650000002</v>
      </c>
      <c r="G388" s="2">
        <v>2.0788208039999998</v>
      </c>
      <c r="H388" s="2">
        <v>3.2416793589999999</v>
      </c>
      <c r="I388" s="2">
        <v>79.033738529999994</v>
      </c>
      <c r="J388" s="2">
        <v>6.6176674499999999</v>
      </c>
      <c r="K388" s="2">
        <v>5.1319458180000002</v>
      </c>
      <c r="L388" s="2">
        <v>9.216648202</v>
      </c>
      <c r="M388" s="2">
        <v>98.844013450000006</v>
      </c>
      <c r="N388" s="2">
        <v>0.73361828630000003</v>
      </c>
      <c r="O388" s="2">
        <v>0.42236825970000003</v>
      </c>
      <c r="P388" s="2">
        <v>0</v>
      </c>
      <c r="Q388" s="2" t="str">
        <f t="shared" si="32"/>
        <v>South Africa|2015</v>
      </c>
      <c r="R388" s="2">
        <f t="shared" si="33"/>
        <v>5</v>
      </c>
      <c r="T388" s="2">
        <f t="shared" si="34"/>
        <v>0.4017427139999995</v>
      </c>
      <c r="U388" s="2">
        <f t="shared" si="46"/>
        <v>0.85914853000000169</v>
      </c>
      <c r="V388" s="2">
        <f t="shared" si="35"/>
        <v>3.1450277999999797E-2</v>
      </c>
      <c r="W388" s="2">
        <f t="shared" si="36"/>
        <v>92</v>
      </c>
      <c r="X388" s="2">
        <f t="shared" si="37"/>
        <v>79</v>
      </c>
      <c r="Y388" s="2">
        <f t="shared" si="38"/>
        <v>99</v>
      </c>
      <c r="Z388" s="2" t="str">
        <f t="shared" si="39"/>
        <v/>
      </c>
      <c r="AA388" s="2" t="str">
        <f t="shared" si="40"/>
        <v/>
      </c>
      <c r="AB388" s="2" t="str">
        <f t="shared" si="41"/>
        <v>Fully Accessible</v>
      </c>
      <c r="AC388" s="2">
        <f t="shared" si="42"/>
        <v>0.82769825200000191</v>
      </c>
      <c r="AO388" s="6"/>
      <c r="AP388" s="6"/>
      <c r="AQ388" s="6"/>
      <c r="AS388" s="6"/>
      <c r="AT388" s="6"/>
      <c r="AU388" s="6"/>
      <c r="AX388" s="2">
        <f t="shared" si="43"/>
        <v>114695.05859999999</v>
      </c>
      <c r="AY388" s="2">
        <f t="shared" si="44"/>
        <v>132.18200683999999</v>
      </c>
      <c r="AZ388" s="2">
        <f t="shared" si="45"/>
        <v>114562.87659315999</v>
      </c>
      <c r="BA388" s="16"/>
    </row>
    <row r="389" spans="1:53" x14ac:dyDescent="0.25">
      <c r="A389" s="2" t="s">
        <v>255</v>
      </c>
      <c r="B389" s="2">
        <v>2020</v>
      </c>
      <c r="C389" s="2">
        <v>59308.691409999999</v>
      </c>
      <c r="D389" s="2">
        <v>67.354003910000003</v>
      </c>
      <c r="E389" s="2">
        <v>93.885057439999997</v>
      </c>
      <c r="F389" s="2">
        <v>2.7727361859999999</v>
      </c>
      <c r="G389" s="2">
        <v>1.410816657</v>
      </c>
      <c r="H389" s="2">
        <v>1.9313897120000001</v>
      </c>
      <c r="I389" s="2">
        <v>83.329481180000002</v>
      </c>
      <c r="J389" s="2">
        <v>6.9773593590000003</v>
      </c>
      <c r="K389" s="2">
        <v>3.7769992870000002</v>
      </c>
      <c r="L389" s="2">
        <v>5.9161601729999997</v>
      </c>
      <c r="M389" s="2">
        <v>99.001264840000005</v>
      </c>
      <c r="N389" s="2">
        <v>0.73478540299999995</v>
      </c>
      <c r="O389" s="2">
        <v>0.26394975469999998</v>
      </c>
      <c r="P389" s="2">
        <v>0</v>
      </c>
      <c r="Q389" s="2" t="str">
        <f t="shared" si="32"/>
        <v>South Africa|2020</v>
      </c>
      <c r="R389" s="2" t="str">
        <f t="shared" si="33"/>
        <v xml:space="preserve"> </v>
      </c>
      <c r="T389" s="2" t="b">
        <f t="shared" si="34"/>
        <v>0</v>
      </c>
      <c r="U389" s="2" t="b">
        <f t="shared" si="46"/>
        <v>0</v>
      </c>
      <c r="V389" s="2" t="b">
        <f t="shared" si="35"/>
        <v>0</v>
      </c>
      <c r="W389" s="2">
        <f t="shared" si="36"/>
        <v>94</v>
      </c>
      <c r="X389" s="2">
        <f t="shared" si="37"/>
        <v>83</v>
      </c>
      <c r="Y389" s="2">
        <f t="shared" si="38"/>
        <v>99</v>
      </c>
      <c r="Z389" s="2" t="str">
        <f t="shared" si="39"/>
        <v/>
      </c>
      <c r="AA389" s="2" t="str">
        <f t="shared" si="40"/>
        <v/>
      </c>
      <c r="AB389" s="2" t="str">
        <f t="shared" si="41"/>
        <v/>
      </c>
      <c r="AC389" s="2">
        <f t="shared" si="42"/>
        <v>0</v>
      </c>
      <c r="AO389" s="6"/>
      <c r="AP389" s="6"/>
      <c r="AQ389" s="6"/>
      <c r="AS389" s="6"/>
      <c r="AT389" s="6"/>
      <c r="AU389" s="6"/>
      <c r="AX389" s="2" t="str">
        <f t="shared" si="43"/>
        <v>null</v>
      </c>
      <c r="AY389" s="2" t="str">
        <f t="shared" si="44"/>
        <v>null</v>
      </c>
      <c r="AZ389" s="2" t="str">
        <f t="shared" si="45"/>
        <v>null</v>
      </c>
      <c r="BA389" s="16"/>
    </row>
    <row r="390" spans="1:53" x14ac:dyDescent="0.25">
      <c r="A390" s="2" t="s">
        <v>256</v>
      </c>
      <c r="B390" s="2">
        <v>2015</v>
      </c>
      <c r="C390" s="2">
        <v>10715.657230000001</v>
      </c>
      <c r="D390" s="2">
        <v>18.851999280000001</v>
      </c>
      <c r="E390" s="2">
        <v>41.247509460000003</v>
      </c>
      <c r="F390" s="2">
        <v>30.695737130000001</v>
      </c>
      <c r="G390" s="2">
        <v>13.55439295</v>
      </c>
      <c r="H390" s="2">
        <v>14.502360449999999</v>
      </c>
      <c r="I390" s="2">
        <v>36.726779729999997</v>
      </c>
      <c r="J390" s="2">
        <v>32.662799669999998</v>
      </c>
      <c r="K390" s="2">
        <v>14.310065379999999</v>
      </c>
      <c r="L390" s="2">
        <v>16.30035522</v>
      </c>
      <c r="M390" s="2">
        <v>60.70687736</v>
      </c>
      <c r="N390" s="2">
        <v>22.228553949999998</v>
      </c>
      <c r="O390" s="2">
        <v>10.301639140000001</v>
      </c>
      <c r="P390" s="2">
        <v>6.7629295520000001</v>
      </c>
      <c r="Q390" s="2" t="str">
        <f t="shared" si="32"/>
        <v>South Sudan|2015</v>
      </c>
      <c r="R390" s="2">
        <f t="shared" si="33"/>
        <v>5</v>
      </c>
      <c r="T390" s="2">
        <f t="shared" si="34"/>
        <v>-5.9316458000000696E-2</v>
      </c>
      <c r="U390" s="2">
        <f t="shared" si="46"/>
        <v>-0.6266301839999997</v>
      </c>
      <c r="V390" s="2">
        <f t="shared" si="35"/>
        <v>1.8621654179999994</v>
      </c>
      <c r="W390" s="2">
        <f t="shared" si="36"/>
        <v>41</v>
      </c>
      <c r="X390" s="2">
        <f t="shared" si="37"/>
        <v>37</v>
      </c>
      <c r="Y390" s="2">
        <f t="shared" si="38"/>
        <v>61</v>
      </c>
      <c r="Z390" s="2" t="str">
        <f t="shared" si="39"/>
        <v/>
      </c>
      <c r="AA390" s="2" t="str">
        <f t="shared" si="40"/>
        <v/>
      </c>
      <c r="AB390" s="2" t="str">
        <f t="shared" si="41"/>
        <v>Fully Accessible</v>
      </c>
      <c r="AC390" s="2">
        <f t="shared" si="42"/>
        <v>-2.4887956019999988</v>
      </c>
      <c r="AO390" s="6"/>
      <c r="AP390" s="6"/>
      <c r="AQ390" s="6"/>
      <c r="AS390" s="6"/>
      <c r="AT390" s="6"/>
      <c r="AU390" s="6"/>
      <c r="AX390" s="2">
        <f t="shared" si="43"/>
        <v>21909.385750000001</v>
      </c>
      <c r="AY390" s="2">
        <f t="shared" si="44"/>
        <v>39.050998680000006</v>
      </c>
      <c r="AZ390" s="2">
        <f t="shared" si="45"/>
        <v>21870.334751320002</v>
      </c>
      <c r="BA390" s="6"/>
    </row>
    <row r="391" spans="1:53" x14ac:dyDescent="0.25">
      <c r="A391" s="2" t="s">
        <v>256</v>
      </c>
      <c r="B391" s="2">
        <v>2020</v>
      </c>
      <c r="C391" s="2">
        <v>11193.728520000001</v>
      </c>
      <c r="D391" s="2">
        <v>20.198999400000002</v>
      </c>
      <c r="E391" s="2">
        <v>40.95092717</v>
      </c>
      <c r="F391" s="2">
        <v>37.426962869999997</v>
      </c>
      <c r="G391" s="2">
        <v>13.537555190000001</v>
      </c>
      <c r="H391" s="2">
        <v>8.0845547619999998</v>
      </c>
      <c r="I391" s="2">
        <v>33.593628809999998</v>
      </c>
      <c r="J391" s="2">
        <v>42.164380680000001</v>
      </c>
      <c r="K391" s="2">
        <v>14.111096160000001</v>
      </c>
      <c r="L391" s="2">
        <v>10.13089435</v>
      </c>
      <c r="M391" s="2">
        <v>70.017704449999997</v>
      </c>
      <c r="N391" s="2">
        <v>18.710660919999999</v>
      </c>
      <c r="O391" s="2">
        <v>11.27163464</v>
      </c>
      <c r="P391" s="2">
        <v>0</v>
      </c>
      <c r="Q391" s="2" t="str">
        <f t="shared" si="32"/>
        <v>South Sudan|2020</v>
      </c>
      <c r="R391" s="2" t="str">
        <f t="shared" si="33"/>
        <v xml:space="preserve"> </v>
      </c>
      <c r="T391" s="2" t="b">
        <f t="shared" si="34"/>
        <v>0</v>
      </c>
      <c r="U391" s="2" t="b">
        <f t="shared" si="46"/>
        <v>0</v>
      </c>
      <c r="V391" s="2" t="b">
        <f t="shared" si="35"/>
        <v>0</v>
      </c>
      <c r="W391" s="2">
        <f t="shared" si="36"/>
        <v>41</v>
      </c>
      <c r="X391" s="2">
        <f t="shared" si="37"/>
        <v>34</v>
      </c>
      <c r="Y391" s="2">
        <f t="shared" si="38"/>
        <v>70</v>
      </c>
      <c r="Z391" s="2" t="str">
        <f t="shared" si="39"/>
        <v/>
      </c>
      <c r="AA391" s="2" t="str">
        <f t="shared" si="40"/>
        <v/>
      </c>
      <c r="AB391" s="2" t="str">
        <f t="shared" si="41"/>
        <v/>
      </c>
      <c r="AC391" s="2">
        <f t="shared" si="42"/>
        <v>0</v>
      </c>
      <c r="AO391" s="6"/>
      <c r="AP391" s="6"/>
      <c r="AQ391" s="6"/>
      <c r="AS391" s="6"/>
      <c r="AT391" s="6"/>
      <c r="AU391" s="6"/>
      <c r="AX391" s="2" t="str">
        <f t="shared" si="43"/>
        <v>null</v>
      </c>
      <c r="AY391" s="2" t="str">
        <f t="shared" si="44"/>
        <v>null</v>
      </c>
      <c r="AZ391" s="2" t="str">
        <f t="shared" si="45"/>
        <v>null</v>
      </c>
      <c r="BA391" s="6"/>
    </row>
    <row r="392" spans="1:53" x14ac:dyDescent="0.25">
      <c r="A392" s="2" t="s">
        <v>257</v>
      </c>
      <c r="B392" s="2">
        <v>2015</v>
      </c>
      <c r="C392" s="2">
        <v>46671.917970000002</v>
      </c>
      <c r="D392" s="2">
        <v>79.60199738</v>
      </c>
      <c r="E392" s="2">
        <v>99.926720459999999</v>
      </c>
      <c r="F392" s="2">
        <v>0</v>
      </c>
      <c r="G392" s="2">
        <v>7.3279544409999994E-2</v>
      </c>
      <c r="H392" s="2">
        <v>0</v>
      </c>
      <c r="I392" s="2">
        <v>100</v>
      </c>
      <c r="J392" s="2">
        <v>0</v>
      </c>
      <c r="K392" s="2">
        <v>0</v>
      </c>
      <c r="L392" s="2">
        <v>0</v>
      </c>
      <c r="M392" s="2">
        <v>99.907945209999994</v>
      </c>
      <c r="N392" s="2">
        <v>0</v>
      </c>
      <c r="O392" s="2">
        <v>9.2054794519999997E-2</v>
      </c>
      <c r="P392" s="2">
        <v>0</v>
      </c>
      <c r="Q392" s="2" t="str">
        <f t="shared" si="32"/>
        <v>Spain|2015</v>
      </c>
      <c r="R392" s="2">
        <f t="shared" si="33"/>
        <v>5</v>
      </c>
      <c r="T392" s="2">
        <f t="shared" si="34"/>
        <v>-2.2156999999936033E-4</v>
      </c>
      <c r="U392" s="2">
        <f t="shared" si="46"/>
        <v>0</v>
      </c>
      <c r="V392" s="2">
        <f t="shared" si="35"/>
        <v>0</v>
      </c>
      <c r="W392" s="2">
        <f t="shared" si="36"/>
        <v>100</v>
      </c>
      <c r="X392" s="2">
        <f t="shared" si="37"/>
        <v>100</v>
      </c>
      <c r="Y392" s="2">
        <f t="shared" si="38"/>
        <v>100</v>
      </c>
      <c r="Z392" s="2" t="str">
        <f t="shared" si="39"/>
        <v/>
      </c>
      <c r="AA392" s="2" t="str">
        <f t="shared" si="40"/>
        <v/>
      </c>
      <c r="AB392" s="2" t="str">
        <f t="shared" si="41"/>
        <v>Fully Accessible</v>
      </c>
      <c r="AC392" s="2">
        <f t="shared" si="42"/>
        <v>0</v>
      </c>
      <c r="AO392" s="6"/>
      <c r="AP392" s="6"/>
      <c r="AQ392" s="6"/>
      <c r="AS392" s="6"/>
      <c r="AT392" s="6"/>
      <c r="AU392" s="6"/>
      <c r="AX392" s="2">
        <f t="shared" si="43"/>
        <v>93426.69922000001</v>
      </c>
      <c r="AY392" s="2">
        <f t="shared" si="44"/>
        <v>160.41199494</v>
      </c>
      <c r="AZ392" s="2">
        <f t="shared" si="45"/>
        <v>93266.287225060005</v>
      </c>
      <c r="BA392" s="6"/>
    </row>
    <row r="393" spans="1:53" x14ac:dyDescent="0.25">
      <c r="A393" s="2" t="s">
        <v>257</v>
      </c>
      <c r="B393" s="2">
        <v>2020</v>
      </c>
      <c r="C393" s="2">
        <v>46754.78125</v>
      </c>
      <c r="D393" s="2">
        <v>80.809997559999999</v>
      </c>
      <c r="E393" s="2">
        <v>99.925612610000002</v>
      </c>
      <c r="F393" s="2">
        <v>0</v>
      </c>
      <c r="G393" s="2">
        <v>7.4387391420000004E-2</v>
      </c>
      <c r="H393" s="2">
        <v>0</v>
      </c>
      <c r="I393" s="2">
        <v>100</v>
      </c>
      <c r="J393" s="2">
        <v>0</v>
      </c>
      <c r="K393" s="2">
        <v>0</v>
      </c>
      <c r="L393" s="2">
        <v>0</v>
      </c>
      <c r="M393" s="2">
        <v>99.907945209999994</v>
      </c>
      <c r="N393" s="2">
        <v>0</v>
      </c>
      <c r="O393" s="2">
        <v>9.2054794519999997E-2</v>
      </c>
      <c r="P393" s="2">
        <v>0</v>
      </c>
      <c r="Q393" s="2" t="str">
        <f t="shared" si="32"/>
        <v>Spain|2020</v>
      </c>
      <c r="R393" s="2" t="str">
        <f t="shared" si="33"/>
        <v xml:space="preserve"> </v>
      </c>
      <c r="T393" s="2" t="b">
        <f t="shared" si="34"/>
        <v>0</v>
      </c>
      <c r="U393" s="2" t="b">
        <f t="shared" si="46"/>
        <v>0</v>
      </c>
      <c r="V393" s="2" t="b">
        <f t="shared" si="35"/>
        <v>0</v>
      </c>
      <c r="W393" s="2">
        <f t="shared" si="36"/>
        <v>100</v>
      </c>
      <c r="X393" s="2">
        <f t="shared" si="37"/>
        <v>100</v>
      </c>
      <c r="Y393" s="2">
        <f t="shared" si="38"/>
        <v>100</v>
      </c>
      <c r="Z393" s="2" t="str">
        <f t="shared" si="39"/>
        <v/>
      </c>
      <c r="AA393" s="2" t="str">
        <f t="shared" si="40"/>
        <v/>
      </c>
      <c r="AB393" s="2" t="str">
        <f t="shared" si="41"/>
        <v/>
      </c>
      <c r="AC393" s="2">
        <f t="shared" si="42"/>
        <v>0</v>
      </c>
      <c r="AO393" s="6"/>
      <c r="AP393" s="6"/>
      <c r="AQ393" s="6"/>
      <c r="AS393" s="6"/>
      <c r="AT393" s="6"/>
      <c r="AU393" s="6"/>
      <c r="AX393" s="2" t="str">
        <f t="shared" si="43"/>
        <v>null</v>
      </c>
      <c r="AY393" s="2" t="str">
        <f t="shared" si="44"/>
        <v>null</v>
      </c>
      <c r="AZ393" s="2" t="str">
        <f t="shared" si="45"/>
        <v>null</v>
      </c>
      <c r="BA393" s="6"/>
    </row>
    <row r="394" spans="1:53" x14ac:dyDescent="0.25">
      <c r="A394" s="2" t="s">
        <v>258</v>
      </c>
      <c r="B394" s="2">
        <v>2015</v>
      </c>
      <c r="C394" s="2">
        <v>20908.023440000001</v>
      </c>
      <c r="D394" s="2">
        <v>18.256000520000001</v>
      </c>
      <c r="E394" s="2">
        <v>90.111028570000002</v>
      </c>
      <c r="F394" s="2">
        <v>0.91280129350000005</v>
      </c>
      <c r="G394" s="2">
        <v>6.7615228930000004</v>
      </c>
      <c r="H394" s="2">
        <v>2.2146472469999998</v>
      </c>
      <c r="I394" s="2">
        <v>88.257106140000005</v>
      </c>
      <c r="J394" s="2">
        <v>1.0162902579999999</v>
      </c>
      <c r="K394" s="2">
        <v>8.017356135</v>
      </c>
      <c r="L394" s="2">
        <v>2.7092474630000001</v>
      </c>
      <c r="M394" s="2">
        <v>98.412246519999997</v>
      </c>
      <c r="N394" s="2">
        <v>0.44941380939999998</v>
      </c>
      <c r="O394" s="2">
        <v>1.1383396720000001</v>
      </c>
      <c r="P394" s="2">
        <v>0</v>
      </c>
      <c r="Q394" s="2" t="str">
        <f t="shared" si="32"/>
        <v>Sri Lanka|2015</v>
      </c>
      <c r="R394" s="2">
        <f t="shared" si="33"/>
        <v>5</v>
      </c>
      <c r="T394" s="2">
        <f t="shared" si="34"/>
        <v>0.42331015999999977</v>
      </c>
      <c r="U394" s="2">
        <f t="shared" si="46"/>
        <v>0.45606591199999968</v>
      </c>
      <c r="V394" s="2">
        <f t="shared" si="35"/>
        <v>0.23142673400000149</v>
      </c>
      <c r="W394" s="2">
        <f t="shared" si="36"/>
        <v>90</v>
      </c>
      <c r="X394" s="2">
        <f t="shared" si="37"/>
        <v>88</v>
      </c>
      <c r="Y394" s="2">
        <f t="shared" si="38"/>
        <v>98</v>
      </c>
      <c r="Z394" s="2" t="str">
        <f t="shared" si="39"/>
        <v/>
      </c>
      <c r="AA394" s="2" t="str">
        <f t="shared" si="40"/>
        <v/>
      </c>
      <c r="AB394" s="2" t="str">
        <f t="shared" si="41"/>
        <v>Fully Accessible</v>
      </c>
      <c r="AC394" s="2">
        <f t="shared" si="42"/>
        <v>0.22463917799999819</v>
      </c>
      <c r="AO394" s="6"/>
      <c r="AP394" s="6"/>
      <c r="AQ394" s="6"/>
      <c r="AS394" s="6"/>
      <c r="AT394" s="6"/>
      <c r="AU394" s="6"/>
      <c r="AX394" s="2">
        <f t="shared" si="43"/>
        <v>42321.273440000004</v>
      </c>
      <c r="AY394" s="2">
        <f t="shared" si="44"/>
        <v>36.968999859999997</v>
      </c>
      <c r="AZ394" s="2">
        <f t="shared" si="45"/>
        <v>42284.304440140004</v>
      </c>
      <c r="BA394" s="16"/>
    </row>
    <row r="395" spans="1:53" x14ac:dyDescent="0.25">
      <c r="A395" s="2" t="s">
        <v>258</v>
      </c>
      <c r="B395" s="2">
        <v>2020</v>
      </c>
      <c r="C395" s="2">
        <v>21413.25</v>
      </c>
      <c r="D395" s="2">
        <v>18.71299934</v>
      </c>
      <c r="E395" s="2">
        <v>92.227579370000001</v>
      </c>
      <c r="F395" s="2">
        <v>0.59545814949999998</v>
      </c>
      <c r="G395" s="2">
        <v>5.3489270639999997</v>
      </c>
      <c r="H395" s="2">
        <v>1.82803542</v>
      </c>
      <c r="I395" s="2">
        <v>90.537435700000003</v>
      </c>
      <c r="J395" s="2">
        <v>0.70320990380000004</v>
      </c>
      <c r="K395" s="2">
        <v>6.5104886119999996</v>
      </c>
      <c r="L395" s="2">
        <v>2.2488657820000002</v>
      </c>
      <c r="M395" s="2">
        <v>99.569380190000004</v>
      </c>
      <c r="N395" s="2">
        <v>0.12739779009999999</v>
      </c>
      <c r="O395" s="2">
        <v>0.3032220202</v>
      </c>
      <c r="P395" s="2">
        <v>0</v>
      </c>
      <c r="Q395" s="2" t="str">
        <f t="shared" si="32"/>
        <v>Sri Lanka|2020</v>
      </c>
      <c r="R395" s="2" t="str">
        <f t="shared" si="33"/>
        <v xml:space="preserve"> </v>
      </c>
      <c r="T395" s="2" t="b">
        <f t="shared" si="34"/>
        <v>0</v>
      </c>
      <c r="U395" s="2" t="b">
        <f t="shared" si="46"/>
        <v>0</v>
      </c>
      <c r="V395" s="2" t="b">
        <f t="shared" si="35"/>
        <v>0</v>
      </c>
      <c r="W395" s="2">
        <f t="shared" si="36"/>
        <v>92</v>
      </c>
      <c r="X395" s="2">
        <f t="shared" si="37"/>
        <v>91</v>
      </c>
      <c r="Y395" s="2">
        <f t="shared" si="38"/>
        <v>100</v>
      </c>
      <c r="Z395" s="2" t="str">
        <f t="shared" si="39"/>
        <v/>
      </c>
      <c r="AA395" s="2" t="str">
        <f t="shared" si="40"/>
        <v/>
      </c>
      <c r="AB395" s="2" t="str">
        <f t="shared" si="41"/>
        <v/>
      </c>
      <c r="AC395" s="2">
        <f t="shared" si="42"/>
        <v>0</v>
      </c>
      <c r="AO395" s="6"/>
      <c r="AP395" s="6"/>
      <c r="AQ395" s="6"/>
      <c r="AS395" s="6"/>
      <c r="AT395" s="6"/>
      <c r="AU395" s="6"/>
      <c r="AX395" s="2" t="str">
        <f t="shared" si="43"/>
        <v>null</v>
      </c>
      <c r="AY395" s="2" t="str">
        <f t="shared" si="44"/>
        <v>null</v>
      </c>
      <c r="AZ395" s="2" t="str">
        <f t="shared" si="45"/>
        <v>null</v>
      </c>
      <c r="BA395" s="6"/>
    </row>
    <row r="396" spans="1:53" x14ac:dyDescent="0.25">
      <c r="A396" s="2" t="s">
        <v>259</v>
      </c>
      <c r="B396" s="2">
        <v>2015</v>
      </c>
      <c r="C396" s="2">
        <v>38902.949220000002</v>
      </c>
      <c r="D396" s="2">
        <v>33.894001009999997</v>
      </c>
      <c r="E396" s="2">
        <v>58.950253320000002</v>
      </c>
      <c r="F396" s="2">
        <v>26.111815979999999</v>
      </c>
      <c r="G396" s="2">
        <v>5.635847128</v>
      </c>
      <c r="H396" s="2">
        <v>9.3020835690000006</v>
      </c>
      <c r="I396" s="2">
        <v>51.707437730000002</v>
      </c>
      <c r="J396" s="2">
        <v>26.687789639999998</v>
      </c>
      <c r="K396" s="2">
        <v>8.1225675119999998</v>
      </c>
      <c r="L396" s="2">
        <v>13.482205130000001</v>
      </c>
      <c r="M396" s="2">
        <v>73.076457570000002</v>
      </c>
      <c r="N396" s="2">
        <v>24.98845154</v>
      </c>
      <c r="O396" s="2">
        <v>0.78581062170000004</v>
      </c>
      <c r="P396" s="2">
        <v>1.14928027</v>
      </c>
      <c r="Q396" s="2" t="str">
        <f t="shared" si="32"/>
        <v>Sudan|2015</v>
      </c>
      <c r="R396" s="2">
        <f t="shared" si="33"/>
        <v>5</v>
      </c>
      <c r="T396" s="2">
        <f t="shared" si="34"/>
        <v>0.29968445599999993</v>
      </c>
      <c r="U396" s="2">
        <f t="shared" si="46"/>
        <v>0.29831786799999949</v>
      </c>
      <c r="V396" s="2">
        <f t="shared" si="35"/>
        <v>0.13744039799999824</v>
      </c>
      <c r="W396" s="2">
        <f t="shared" si="36"/>
        <v>59</v>
      </c>
      <c r="X396" s="2">
        <f t="shared" si="37"/>
        <v>52</v>
      </c>
      <c r="Y396" s="2">
        <f t="shared" si="38"/>
        <v>73</v>
      </c>
      <c r="Z396" s="2" t="str">
        <f t="shared" si="39"/>
        <v/>
      </c>
      <c r="AA396" s="2" t="str">
        <f t="shared" si="40"/>
        <v/>
      </c>
      <c r="AB396" s="2" t="str">
        <f t="shared" si="41"/>
        <v>Fully Accessible</v>
      </c>
      <c r="AC396" s="2">
        <f t="shared" si="42"/>
        <v>0.16087747000000124</v>
      </c>
      <c r="AO396" s="6"/>
      <c r="AP396" s="6"/>
      <c r="AQ396" s="6"/>
      <c r="AS396" s="6"/>
      <c r="AT396" s="6"/>
      <c r="AU396" s="6"/>
      <c r="AX396" s="2">
        <f t="shared" si="43"/>
        <v>82752.21875</v>
      </c>
      <c r="AY396" s="2">
        <f t="shared" si="44"/>
        <v>69.146999359999995</v>
      </c>
      <c r="AZ396" s="2">
        <f t="shared" si="45"/>
        <v>82683.071750639996</v>
      </c>
      <c r="BA396" s="16"/>
    </row>
    <row r="397" spans="1:53" x14ac:dyDescent="0.25">
      <c r="A397" s="2" t="s">
        <v>259</v>
      </c>
      <c r="B397" s="2">
        <v>2020</v>
      </c>
      <c r="C397" s="2">
        <v>43849.269529999998</v>
      </c>
      <c r="D397" s="2">
        <v>35.252998349999999</v>
      </c>
      <c r="E397" s="2">
        <v>60.448675600000001</v>
      </c>
      <c r="F397" s="2">
        <v>26.670019750000002</v>
      </c>
      <c r="G397" s="2">
        <v>3.6502178750000001</v>
      </c>
      <c r="H397" s="2">
        <v>9.2310867739999996</v>
      </c>
      <c r="I397" s="2">
        <v>53.19902707</v>
      </c>
      <c r="J397" s="2">
        <v>27.457644510000002</v>
      </c>
      <c r="K397" s="2">
        <v>5.6376600080000001</v>
      </c>
      <c r="L397" s="2">
        <v>13.70566842</v>
      </c>
      <c r="M397" s="2">
        <v>73.763659559999994</v>
      </c>
      <c r="N397" s="2">
        <v>25.223439859999999</v>
      </c>
      <c r="O397" s="2">
        <v>0</v>
      </c>
      <c r="P397" s="2">
        <v>1.012900581</v>
      </c>
      <c r="Q397" s="2" t="str">
        <f t="shared" si="32"/>
        <v>Sudan|2020</v>
      </c>
      <c r="R397" s="2" t="str">
        <f t="shared" si="33"/>
        <v xml:space="preserve"> </v>
      </c>
      <c r="T397" s="2" t="b">
        <f t="shared" si="34"/>
        <v>0</v>
      </c>
      <c r="U397" s="2" t="b">
        <f t="shared" si="46"/>
        <v>0</v>
      </c>
      <c r="V397" s="2" t="b">
        <f t="shared" si="35"/>
        <v>0</v>
      </c>
      <c r="W397" s="2">
        <f t="shared" si="36"/>
        <v>60</v>
      </c>
      <c r="X397" s="2">
        <f t="shared" si="37"/>
        <v>53</v>
      </c>
      <c r="Y397" s="2">
        <f t="shared" si="38"/>
        <v>74</v>
      </c>
      <c r="Z397" s="2" t="str">
        <f t="shared" si="39"/>
        <v/>
      </c>
      <c r="AA397" s="2" t="str">
        <f t="shared" si="40"/>
        <v/>
      </c>
      <c r="AB397" s="2" t="str">
        <f t="shared" si="41"/>
        <v/>
      </c>
      <c r="AC397" s="2">
        <f t="shared" si="42"/>
        <v>0</v>
      </c>
      <c r="AO397" s="6"/>
      <c r="AP397" s="6"/>
      <c r="AQ397" s="6"/>
      <c r="AS397" s="6"/>
      <c r="AT397" s="6"/>
      <c r="AU397" s="6"/>
      <c r="AX397" s="2" t="str">
        <f t="shared" si="43"/>
        <v>null</v>
      </c>
      <c r="AY397" s="2" t="str">
        <f t="shared" si="44"/>
        <v>null</v>
      </c>
      <c r="AZ397" s="2" t="str">
        <f t="shared" si="45"/>
        <v>null</v>
      </c>
      <c r="BA397" s="16"/>
    </row>
    <row r="398" spans="1:53" x14ac:dyDescent="0.25">
      <c r="A398" s="2" t="s">
        <v>260</v>
      </c>
      <c r="B398" s="2">
        <v>2015</v>
      </c>
      <c r="C398" s="2">
        <v>559.13598630000001</v>
      </c>
      <c r="D398" s="2">
        <v>66.055999760000006</v>
      </c>
      <c r="E398" s="2">
        <v>95.747692169999993</v>
      </c>
      <c r="F398" s="2">
        <v>0.88280139830000004</v>
      </c>
      <c r="G398" s="2">
        <v>1.0138349760000001</v>
      </c>
      <c r="H398" s="2">
        <v>2.3556714599999999</v>
      </c>
      <c r="I398" s="2">
        <v>90.57961632</v>
      </c>
      <c r="J398" s="2">
        <v>1.2850321419999999</v>
      </c>
      <c r="K398" s="2">
        <v>1.200506574</v>
      </c>
      <c r="L398" s="2">
        <v>6.9348449649999999</v>
      </c>
      <c r="M398" s="2">
        <v>98.403399699999994</v>
      </c>
      <c r="N398" s="2">
        <v>0.67610833329999998</v>
      </c>
      <c r="O398" s="2">
        <v>0.91790651420000002</v>
      </c>
      <c r="P398" s="2">
        <v>2.585454545E-3</v>
      </c>
      <c r="Q398" s="2" t="str">
        <f t="shared" si="32"/>
        <v>Suriname|2015</v>
      </c>
      <c r="R398" s="2">
        <f t="shared" si="33"/>
        <v>5</v>
      </c>
      <c r="T398" s="2">
        <f t="shared" si="34"/>
        <v>0.44838790000000017</v>
      </c>
      <c r="U398" s="2">
        <f t="shared" si="46"/>
        <v>1.1989592619999996</v>
      </c>
      <c r="V398" s="2">
        <f t="shared" si="35"/>
        <v>6.209083399999997E-2</v>
      </c>
      <c r="W398" s="2">
        <f t="shared" si="36"/>
        <v>96</v>
      </c>
      <c r="X398" s="2">
        <f t="shared" si="37"/>
        <v>91</v>
      </c>
      <c r="Y398" s="2">
        <f t="shared" si="38"/>
        <v>98</v>
      </c>
      <c r="Z398" s="2" t="str">
        <f t="shared" si="39"/>
        <v/>
      </c>
      <c r="AA398" s="2" t="str">
        <f t="shared" si="40"/>
        <v/>
      </c>
      <c r="AB398" s="2" t="str">
        <f t="shared" si="41"/>
        <v>Fully Accessible</v>
      </c>
      <c r="AC398" s="2">
        <f t="shared" si="42"/>
        <v>1.1368684279999997</v>
      </c>
      <c r="AO398" s="6"/>
      <c r="AP398" s="6"/>
      <c r="AQ398" s="6"/>
      <c r="AS398" s="6"/>
      <c r="AT398" s="6"/>
      <c r="AU398" s="6"/>
      <c r="AX398" s="2">
        <f t="shared" si="43"/>
        <v>1145.7699585</v>
      </c>
      <c r="AY398" s="2">
        <f t="shared" si="44"/>
        <v>132.20500184000002</v>
      </c>
      <c r="AZ398" s="2">
        <f t="shared" si="45"/>
        <v>1013.56495666</v>
      </c>
      <c r="BA398" s="6"/>
    </row>
    <row r="399" spans="1:53" x14ac:dyDescent="0.25">
      <c r="A399" s="2" t="s">
        <v>260</v>
      </c>
      <c r="B399" s="2">
        <v>2020</v>
      </c>
      <c r="C399" s="2">
        <v>586.63397220000002</v>
      </c>
      <c r="D399" s="2">
        <v>66.149002080000002</v>
      </c>
      <c r="E399" s="2">
        <v>97.989631669999994</v>
      </c>
      <c r="F399" s="2">
        <v>1.0672469410000001</v>
      </c>
      <c r="G399" s="2">
        <v>0.37933650730000001</v>
      </c>
      <c r="H399" s="2">
        <v>0.56378488400000004</v>
      </c>
      <c r="I399" s="2">
        <v>96.574412629999998</v>
      </c>
      <c r="J399" s="2">
        <v>1.6002958599999999</v>
      </c>
      <c r="K399" s="2">
        <v>0.1598017947</v>
      </c>
      <c r="L399" s="2">
        <v>1.6654897200000001</v>
      </c>
      <c r="M399" s="2">
        <v>98.713853869999994</v>
      </c>
      <c r="N399" s="2">
        <v>0.79446523710000005</v>
      </c>
      <c r="O399" s="2">
        <v>0.49168089250000002</v>
      </c>
      <c r="P399" s="2">
        <v>0</v>
      </c>
      <c r="Q399" s="2" t="str">
        <f t="shared" si="32"/>
        <v>Suriname|2020</v>
      </c>
      <c r="R399" s="2" t="str">
        <f t="shared" si="33"/>
        <v xml:space="preserve"> </v>
      </c>
      <c r="T399" s="2" t="b">
        <f t="shared" si="34"/>
        <v>0</v>
      </c>
      <c r="U399" s="2" t="b">
        <f t="shared" si="46"/>
        <v>0</v>
      </c>
      <c r="V399" s="2" t="b">
        <f t="shared" si="35"/>
        <v>0</v>
      </c>
      <c r="W399" s="2">
        <f t="shared" si="36"/>
        <v>98</v>
      </c>
      <c r="X399" s="2">
        <f t="shared" si="37"/>
        <v>97</v>
      </c>
      <c r="Y399" s="2">
        <f t="shared" si="38"/>
        <v>99</v>
      </c>
      <c r="Z399" s="2" t="str">
        <f t="shared" si="39"/>
        <v/>
      </c>
      <c r="AA399" s="2" t="str">
        <f t="shared" si="40"/>
        <v/>
      </c>
      <c r="AB399" s="2" t="str">
        <f t="shared" si="41"/>
        <v/>
      </c>
      <c r="AC399" s="2">
        <f t="shared" si="42"/>
        <v>0</v>
      </c>
      <c r="AO399" s="6"/>
      <c r="AP399" s="6"/>
      <c r="AQ399" s="6"/>
      <c r="AS399" s="6"/>
      <c r="AT399" s="6"/>
      <c r="AU399" s="6"/>
      <c r="AX399" s="2" t="str">
        <f t="shared" si="43"/>
        <v>null</v>
      </c>
      <c r="AY399" s="2" t="str">
        <f t="shared" si="44"/>
        <v>null</v>
      </c>
      <c r="AZ399" s="2" t="str">
        <f t="shared" si="45"/>
        <v>null</v>
      </c>
      <c r="BA399" s="6"/>
    </row>
    <row r="400" spans="1:53" x14ac:dyDescent="0.25">
      <c r="A400" s="2" t="s">
        <v>261</v>
      </c>
      <c r="B400" s="2">
        <v>2015</v>
      </c>
      <c r="C400" s="2">
        <v>9764.9492190000001</v>
      </c>
      <c r="D400" s="2">
        <v>86.553001399999999</v>
      </c>
      <c r="E400" s="2">
        <v>99.781231030000001</v>
      </c>
      <c r="F400" s="2">
        <v>0</v>
      </c>
      <c r="G400" s="2">
        <v>0.2187689729</v>
      </c>
      <c r="H400" s="2">
        <v>0</v>
      </c>
      <c r="I400" s="2">
        <v>99.549986529999998</v>
      </c>
      <c r="J400" s="2">
        <v>0</v>
      </c>
      <c r="K400" s="2">
        <v>0.4500134657</v>
      </c>
      <c r="L400" s="2">
        <v>0</v>
      </c>
      <c r="M400" s="2">
        <v>99.817160389999998</v>
      </c>
      <c r="N400" s="2">
        <v>0</v>
      </c>
      <c r="O400" s="2">
        <v>0.18283961479999999</v>
      </c>
      <c r="P400" s="2">
        <v>0</v>
      </c>
      <c r="Q400" s="2" t="str">
        <f t="shared" si="32"/>
        <v>Sweden|2015</v>
      </c>
      <c r="R400" s="2">
        <f t="shared" si="33"/>
        <v>5</v>
      </c>
      <c r="T400" s="2">
        <f t="shared" si="34"/>
        <v>9.1273199999989171E-3</v>
      </c>
      <c r="U400" s="2">
        <f t="shared" si="46"/>
        <v>3.387764200000163E-2</v>
      </c>
      <c r="V400" s="2">
        <f t="shared" si="35"/>
        <v>4.8794579999992035E-3</v>
      </c>
      <c r="W400" s="2">
        <f t="shared" si="36"/>
        <v>100</v>
      </c>
      <c r="X400" s="2">
        <f t="shared" si="37"/>
        <v>100</v>
      </c>
      <c r="Y400" s="2">
        <f t="shared" si="38"/>
        <v>100</v>
      </c>
      <c r="Z400" s="2" t="str">
        <f t="shared" si="39"/>
        <v/>
      </c>
      <c r="AA400" s="2" t="str">
        <f t="shared" si="40"/>
        <v/>
      </c>
      <c r="AB400" s="2" t="str">
        <f t="shared" si="41"/>
        <v>Fully Accessible</v>
      </c>
      <c r="AC400" s="2">
        <f t="shared" si="42"/>
        <v>2.8998184000002425E-2</v>
      </c>
      <c r="AO400" s="6"/>
      <c r="AP400" s="6"/>
      <c r="AQ400" s="6"/>
      <c r="AS400" s="6"/>
      <c r="AT400" s="6"/>
      <c r="AU400" s="6"/>
      <c r="AX400" s="2">
        <f t="shared" si="43"/>
        <v>19864.218749</v>
      </c>
      <c r="AY400" s="2">
        <f t="shared" si="44"/>
        <v>174.52999878</v>
      </c>
      <c r="AZ400" s="2">
        <f t="shared" si="45"/>
        <v>19689.688750220001</v>
      </c>
      <c r="BA400" s="6"/>
    </row>
    <row r="401" spans="1:53" x14ac:dyDescent="0.25">
      <c r="A401" s="2" t="s">
        <v>261</v>
      </c>
      <c r="B401" s="2">
        <v>2020</v>
      </c>
      <c r="C401" s="2">
        <v>10099.26953</v>
      </c>
      <c r="D401" s="2">
        <v>87.97699738</v>
      </c>
      <c r="E401" s="2">
        <v>99.826867629999995</v>
      </c>
      <c r="F401" s="2">
        <v>0</v>
      </c>
      <c r="G401" s="2">
        <v>0.17313237349999999</v>
      </c>
      <c r="H401" s="2">
        <v>0</v>
      </c>
      <c r="I401" s="2">
        <v>99.719374740000006</v>
      </c>
      <c r="J401" s="2">
        <v>0</v>
      </c>
      <c r="K401" s="2">
        <v>0.28062526259999998</v>
      </c>
      <c r="L401" s="2">
        <v>0</v>
      </c>
      <c r="M401" s="2">
        <v>99.841557679999994</v>
      </c>
      <c r="N401" s="2">
        <v>0</v>
      </c>
      <c r="O401" s="2">
        <v>0.1584423157</v>
      </c>
      <c r="P401" s="2">
        <v>0</v>
      </c>
      <c r="Q401" s="2" t="str">
        <f t="shared" si="32"/>
        <v>Sweden|2020</v>
      </c>
      <c r="R401" s="2" t="str">
        <f t="shared" si="33"/>
        <v xml:space="preserve"> </v>
      </c>
      <c r="T401" s="2" t="b">
        <f t="shared" si="34"/>
        <v>0</v>
      </c>
      <c r="U401" s="2" t="b">
        <f t="shared" si="46"/>
        <v>0</v>
      </c>
      <c r="V401" s="2" t="b">
        <f t="shared" si="35"/>
        <v>0</v>
      </c>
      <c r="W401" s="2">
        <f t="shared" si="36"/>
        <v>100</v>
      </c>
      <c r="X401" s="2">
        <f t="shared" si="37"/>
        <v>100</v>
      </c>
      <c r="Y401" s="2">
        <f t="shared" si="38"/>
        <v>100</v>
      </c>
      <c r="Z401" s="2" t="str">
        <f t="shared" si="39"/>
        <v/>
      </c>
      <c r="AA401" s="2" t="str">
        <f t="shared" si="40"/>
        <v/>
      </c>
      <c r="AB401" s="2" t="str">
        <f t="shared" si="41"/>
        <v/>
      </c>
      <c r="AC401" s="2">
        <f t="shared" si="42"/>
        <v>0</v>
      </c>
      <c r="AO401" s="6"/>
      <c r="AP401" s="6"/>
      <c r="AQ401" s="6"/>
      <c r="AS401" s="6"/>
      <c r="AT401" s="6"/>
      <c r="AU401" s="6"/>
      <c r="AX401" s="2" t="str">
        <f t="shared" si="43"/>
        <v>null</v>
      </c>
      <c r="AY401" s="2" t="str">
        <f t="shared" si="44"/>
        <v>null</v>
      </c>
      <c r="AZ401" s="2" t="str">
        <f t="shared" si="45"/>
        <v>null</v>
      </c>
      <c r="BA401" s="6"/>
    </row>
    <row r="402" spans="1:53" x14ac:dyDescent="0.25">
      <c r="A402" s="2" t="s">
        <v>262</v>
      </c>
      <c r="B402" s="2">
        <v>2015</v>
      </c>
      <c r="C402" s="2">
        <v>8296.7753909999992</v>
      </c>
      <c r="D402" s="2">
        <v>73.718002319999997</v>
      </c>
      <c r="E402" s="2">
        <v>100</v>
      </c>
      <c r="F402" s="2">
        <v>0</v>
      </c>
      <c r="G402" s="2">
        <v>0</v>
      </c>
      <c r="H402" s="2">
        <v>0</v>
      </c>
      <c r="I402" s="2">
        <v>100</v>
      </c>
      <c r="J402" s="2">
        <v>0</v>
      </c>
      <c r="K402" s="2">
        <v>0</v>
      </c>
      <c r="L402" s="2">
        <v>0</v>
      </c>
      <c r="M402" s="2">
        <v>100</v>
      </c>
      <c r="N402" s="2">
        <v>0</v>
      </c>
      <c r="O402" s="2">
        <v>0</v>
      </c>
      <c r="P402" s="2">
        <v>0</v>
      </c>
      <c r="Q402" s="2" t="str">
        <f t="shared" si="32"/>
        <v>Switzerland|2015</v>
      </c>
      <c r="R402" s="2">
        <f t="shared" si="33"/>
        <v>5</v>
      </c>
      <c r="T402" s="2">
        <f t="shared" si="34"/>
        <v>5.6000000085987263E-7</v>
      </c>
      <c r="U402" s="2">
        <f t="shared" si="46"/>
        <v>0</v>
      </c>
      <c r="V402" s="2">
        <f t="shared" si="35"/>
        <v>0</v>
      </c>
      <c r="W402" s="2">
        <f t="shared" si="36"/>
        <v>100</v>
      </c>
      <c r="X402" s="2">
        <f t="shared" si="37"/>
        <v>100</v>
      </c>
      <c r="Y402" s="2">
        <f t="shared" si="38"/>
        <v>100</v>
      </c>
      <c r="Z402" s="2" t="str">
        <f t="shared" si="39"/>
        <v/>
      </c>
      <c r="AA402" s="2" t="str">
        <f t="shared" si="40"/>
        <v/>
      </c>
      <c r="AB402" s="2" t="str">
        <f t="shared" si="41"/>
        <v>Fully Accessible</v>
      </c>
      <c r="AC402" s="2">
        <f t="shared" si="42"/>
        <v>0</v>
      </c>
      <c r="AO402" s="6"/>
      <c r="AP402" s="6"/>
      <c r="AQ402" s="6"/>
      <c r="AS402" s="6"/>
      <c r="AT402" s="6"/>
      <c r="AU402" s="6"/>
      <c r="AX402" s="2">
        <f t="shared" si="43"/>
        <v>16951.393554999999</v>
      </c>
      <c r="AY402" s="2">
        <f t="shared" si="44"/>
        <v>147.63300323999999</v>
      </c>
      <c r="AZ402" s="2">
        <f t="shared" si="45"/>
        <v>16803.760551759999</v>
      </c>
      <c r="BA402" s="16"/>
    </row>
    <row r="403" spans="1:53" x14ac:dyDescent="0.25">
      <c r="A403" s="2" t="s">
        <v>262</v>
      </c>
      <c r="B403" s="2">
        <v>2020</v>
      </c>
      <c r="C403" s="2">
        <v>8654.6181639999995</v>
      </c>
      <c r="D403" s="2">
        <v>73.915000919999997</v>
      </c>
      <c r="E403" s="2">
        <v>100.0000028</v>
      </c>
      <c r="F403" s="2">
        <v>0</v>
      </c>
      <c r="G403" s="2">
        <v>0</v>
      </c>
      <c r="H403" s="2">
        <v>0</v>
      </c>
      <c r="I403" s="2">
        <v>100</v>
      </c>
      <c r="J403" s="2">
        <v>0</v>
      </c>
      <c r="K403" s="2">
        <v>0</v>
      </c>
      <c r="L403" s="2">
        <v>0</v>
      </c>
      <c r="M403" s="2">
        <v>100</v>
      </c>
      <c r="N403" s="2">
        <v>0</v>
      </c>
      <c r="O403" s="2">
        <v>0</v>
      </c>
      <c r="P403" s="2">
        <v>0</v>
      </c>
      <c r="Q403" s="2" t="str">
        <f t="shared" si="32"/>
        <v>Switzerland|2020</v>
      </c>
      <c r="R403" s="2" t="str">
        <f t="shared" si="33"/>
        <v xml:space="preserve"> </v>
      </c>
      <c r="T403" s="2" t="b">
        <f t="shared" si="34"/>
        <v>0</v>
      </c>
      <c r="U403" s="2" t="b">
        <f t="shared" si="46"/>
        <v>0</v>
      </c>
      <c r="V403" s="2" t="b">
        <f t="shared" si="35"/>
        <v>0</v>
      </c>
      <c r="W403" s="2">
        <f t="shared" si="36"/>
        <v>100</v>
      </c>
      <c r="X403" s="2">
        <f t="shared" si="37"/>
        <v>100</v>
      </c>
      <c r="Y403" s="2">
        <f t="shared" si="38"/>
        <v>100</v>
      </c>
      <c r="Z403" s="2" t="str">
        <f t="shared" si="39"/>
        <v/>
      </c>
      <c r="AA403" s="2" t="str">
        <f t="shared" si="40"/>
        <v/>
      </c>
      <c r="AB403" s="2" t="str">
        <f t="shared" si="41"/>
        <v/>
      </c>
      <c r="AC403" s="2">
        <f t="shared" si="42"/>
        <v>0</v>
      </c>
      <c r="AO403" s="6"/>
      <c r="AP403" s="6"/>
      <c r="AQ403" s="6"/>
      <c r="AS403" s="6"/>
      <c r="AT403" s="6"/>
      <c r="AU403" s="6"/>
      <c r="AX403" s="2" t="str">
        <f t="shared" si="43"/>
        <v>null</v>
      </c>
      <c r="AY403" s="2" t="str">
        <f t="shared" si="44"/>
        <v>null</v>
      </c>
      <c r="AZ403" s="2" t="str">
        <f t="shared" si="45"/>
        <v>null</v>
      </c>
      <c r="BA403" s="6"/>
    </row>
    <row r="404" spans="1:53" x14ac:dyDescent="0.25">
      <c r="A404" s="2" t="s">
        <v>263</v>
      </c>
      <c r="B404" s="2">
        <v>2015</v>
      </c>
      <c r="C404" s="2">
        <v>17997.410159999999</v>
      </c>
      <c r="D404" s="2">
        <v>52.167999270000003</v>
      </c>
      <c r="E404" s="2">
        <v>93.509611480000004</v>
      </c>
      <c r="F404" s="2">
        <v>5.9680836279999996</v>
      </c>
      <c r="G404" s="2">
        <v>0.52230488829999999</v>
      </c>
      <c r="H404" s="2">
        <v>0</v>
      </c>
      <c r="I404" s="2">
        <v>91.385705099999996</v>
      </c>
      <c r="J404" s="2">
        <v>7.8573236560000002</v>
      </c>
      <c r="K404" s="2">
        <v>0.75697124390000003</v>
      </c>
      <c r="L404" s="2">
        <v>0</v>
      </c>
      <c r="M404" s="2">
        <v>95.456987190000007</v>
      </c>
      <c r="N404" s="2">
        <v>4.2358697369999998</v>
      </c>
      <c r="O404" s="2">
        <v>0.30714306949999998</v>
      </c>
      <c r="P404" s="2">
        <v>0</v>
      </c>
      <c r="Q404" s="2" t="str">
        <f t="shared" si="32"/>
        <v>Syrian Arab Republic|2015</v>
      </c>
      <c r="R404" s="2">
        <f t="shared" si="33"/>
        <v>5</v>
      </c>
      <c r="T404" s="2">
        <f t="shared" si="34"/>
        <v>8.3249139999998084E-2</v>
      </c>
      <c r="U404" s="2">
        <f t="shared" si="46"/>
        <v>0.13940798000000143</v>
      </c>
      <c r="V404" s="2">
        <f t="shared" si="35"/>
        <v>-1.0364566000001218E-2</v>
      </c>
      <c r="W404" s="2">
        <f t="shared" si="36"/>
        <v>94</v>
      </c>
      <c r="X404" s="2">
        <f t="shared" si="37"/>
        <v>91</v>
      </c>
      <c r="Y404" s="2">
        <f t="shared" si="38"/>
        <v>95</v>
      </c>
      <c r="Z404" s="2" t="str">
        <f t="shared" si="39"/>
        <v/>
      </c>
      <c r="AA404" s="2" t="str">
        <f t="shared" si="40"/>
        <v/>
      </c>
      <c r="AB404" s="2" t="str">
        <f t="shared" si="41"/>
        <v>Fully Accessible</v>
      </c>
      <c r="AC404" s="2">
        <f t="shared" si="42"/>
        <v>0.14977254600000264</v>
      </c>
      <c r="AO404" s="6"/>
      <c r="AP404" s="6"/>
      <c r="AQ404" s="6"/>
      <c r="AS404" s="6"/>
      <c r="AT404" s="6"/>
      <c r="AU404" s="6"/>
      <c r="AX404" s="2">
        <f t="shared" si="43"/>
        <v>35498.066409999999</v>
      </c>
      <c r="AY404" s="2">
        <f t="shared" si="44"/>
        <v>107.64300156</v>
      </c>
      <c r="AZ404" s="2">
        <f t="shared" si="45"/>
        <v>35390.423408440001</v>
      </c>
      <c r="BA404" s="16"/>
    </row>
    <row r="405" spans="1:53" x14ac:dyDescent="0.25">
      <c r="A405" s="2" t="s">
        <v>263</v>
      </c>
      <c r="B405" s="2">
        <v>2020</v>
      </c>
      <c r="C405" s="2">
        <v>17500.65625</v>
      </c>
      <c r="D405" s="2">
        <v>55.475002289999999</v>
      </c>
      <c r="E405" s="2">
        <v>93.925857179999994</v>
      </c>
      <c r="F405" s="2">
        <v>5.8737307679999997</v>
      </c>
      <c r="G405" s="2">
        <v>0.20041205419999999</v>
      </c>
      <c r="H405" s="2">
        <v>0</v>
      </c>
      <c r="I405" s="2">
        <v>92.082745000000003</v>
      </c>
      <c r="J405" s="2">
        <v>7.9172549999999999</v>
      </c>
      <c r="K405" s="2">
        <v>0</v>
      </c>
      <c r="L405" s="2">
        <v>0</v>
      </c>
      <c r="M405" s="2">
        <v>95.405164360000001</v>
      </c>
      <c r="N405" s="2">
        <v>4.2335701170000002</v>
      </c>
      <c r="O405" s="2">
        <v>0.36126552499999998</v>
      </c>
      <c r="P405" s="2">
        <v>0</v>
      </c>
      <c r="Q405" s="2" t="str">
        <f t="shared" si="32"/>
        <v>Syrian Arab Republic|2020</v>
      </c>
      <c r="R405" s="2" t="str">
        <f t="shared" si="33"/>
        <v xml:space="preserve"> </v>
      </c>
      <c r="T405" s="2" t="b">
        <f t="shared" si="34"/>
        <v>0</v>
      </c>
      <c r="U405" s="2" t="b">
        <f t="shared" si="46"/>
        <v>0</v>
      </c>
      <c r="V405" s="2" t="b">
        <f t="shared" si="35"/>
        <v>0</v>
      </c>
      <c r="W405" s="2">
        <f t="shared" si="36"/>
        <v>94</v>
      </c>
      <c r="X405" s="2">
        <f t="shared" si="37"/>
        <v>92</v>
      </c>
      <c r="Y405" s="2">
        <f t="shared" si="38"/>
        <v>95</v>
      </c>
      <c r="Z405" s="2" t="str">
        <f t="shared" si="39"/>
        <v/>
      </c>
      <c r="AA405" s="2" t="str">
        <f t="shared" si="40"/>
        <v/>
      </c>
      <c r="AB405" s="2" t="str">
        <f t="shared" si="41"/>
        <v/>
      </c>
      <c r="AC405" s="2">
        <f t="shared" si="42"/>
        <v>0</v>
      </c>
      <c r="AO405" s="6"/>
      <c r="AP405" s="6"/>
      <c r="AQ405" s="6"/>
      <c r="AS405" s="6"/>
      <c r="AT405" s="6"/>
      <c r="AU405" s="6"/>
      <c r="AX405" s="2" t="str">
        <f t="shared" si="43"/>
        <v>null</v>
      </c>
      <c r="AY405" s="2" t="str">
        <f t="shared" si="44"/>
        <v>null</v>
      </c>
      <c r="AZ405" s="2" t="str">
        <f t="shared" si="45"/>
        <v>null</v>
      </c>
      <c r="BA405" s="16"/>
    </row>
    <row r="406" spans="1:53" x14ac:dyDescent="0.25">
      <c r="A406" s="2" t="s">
        <v>264</v>
      </c>
      <c r="B406" s="2">
        <v>2015</v>
      </c>
      <c r="C406" s="2">
        <v>8454.0185550000006</v>
      </c>
      <c r="D406" s="2">
        <v>26.742000579999999</v>
      </c>
      <c r="E406" s="2">
        <v>76.239495509999998</v>
      </c>
      <c r="F406" s="2">
        <v>3.050011091</v>
      </c>
      <c r="G406" s="2">
        <v>3.944733748</v>
      </c>
      <c r="H406" s="2">
        <v>16.76575965</v>
      </c>
      <c r="I406" s="2">
        <v>69.552182060000007</v>
      </c>
      <c r="J406" s="2">
        <v>3.681021887</v>
      </c>
      <c r="K406" s="2">
        <v>4.8574855120000002</v>
      </c>
      <c r="L406" s="2">
        <v>21.90931054</v>
      </c>
      <c r="M406" s="2">
        <v>94.558955389999994</v>
      </c>
      <c r="N406" s="2">
        <v>1.321396987</v>
      </c>
      <c r="O406" s="2">
        <v>1.444318955</v>
      </c>
      <c r="P406" s="2">
        <v>2.6753286630000002</v>
      </c>
      <c r="Q406" s="2" t="str">
        <f t="shared" si="32"/>
        <v>Tajikistan|2015</v>
      </c>
      <c r="R406" s="2">
        <f t="shared" si="33"/>
        <v>5</v>
      </c>
      <c r="T406" s="2">
        <f t="shared" si="34"/>
        <v>1.1225839019999995</v>
      </c>
      <c r="U406" s="2">
        <f t="shared" si="46"/>
        <v>1.4182834279999981</v>
      </c>
      <c r="V406" s="2">
        <f t="shared" si="35"/>
        <v>0.20433369400000173</v>
      </c>
      <c r="W406" s="2">
        <f t="shared" si="36"/>
        <v>76</v>
      </c>
      <c r="X406" s="2">
        <f t="shared" si="37"/>
        <v>70</v>
      </c>
      <c r="Y406" s="2">
        <f t="shared" si="38"/>
        <v>95</v>
      </c>
      <c r="Z406" s="2" t="str">
        <f t="shared" si="39"/>
        <v/>
      </c>
      <c r="AA406" s="2" t="str">
        <f t="shared" si="40"/>
        <v/>
      </c>
      <c r="AB406" s="2" t="str">
        <f t="shared" si="41"/>
        <v>Fully Accessible</v>
      </c>
      <c r="AC406" s="2">
        <f t="shared" si="42"/>
        <v>1.2139497339999963</v>
      </c>
      <c r="AO406" s="6"/>
      <c r="AP406" s="6"/>
      <c r="AQ406" s="6"/>
      <c r="AS406" s="6"/>
      <c r="AT406" s="6"/>
      <c r="AU406" s="6"/>
      <c r="AX406" s="2">
        <f t="shared" si="43"/>
        <v>17991.660156999998</v>
      </c>
      <c r="AY406" s="2">
        <f t="shared" si="44"/>
        <v>54.247999190000002</v>
      </c>
      <c r="AZ406" s="2">
        <f t="shared" si="45"/>
        <v>17937.412157809998</v>
      </c>
      <c r="BA406" s="6"/>
    </row>
    <row r="407" spans="1:53" x14ac:dyDescent="0.25">
      <c r="A407" s="2" t="s">
        <v>264</v>
      </c>
      <c r="B407" s="2">
        <v>2020</v>
      </c>
      <c r="C407" s="2">
        <v>9537.6416019999997</v>
      </c>
      <c r="D407" s="2">
        <v>27.505998609999999</v>
      </c>
      <c r="E407" s="2">
        <v>81.852415019999995</v>
      </c>
      <c r="F407" s="2">
        <v>2.5683639349999998</v>
      </c>
      <c r="G407" s="2">
        <v>3.4218570050000001</v>
      </c>
      <c r="H407" s="2">
        <v>12.157364039999999</v>
      </c>
      <c r="I407" s="2">
        <v>76.643599199999997</v>
      </c>
      <c r="J407" s="2">
        <v>3.2071439279999998</v>
      </c>
      <c r="K407" s="2">
        <v>4.1407069480000001</v>
      </c>
      <c r="L407" s="2">
        <v>16.00854992</v>
      </c>
      <c r="M407" s="2">
        <v>95.580623860000003</v>
      </c>
      <c r="N407" s="2">
        <v>0.88481447629999999</v>
      </c>
      <c r="O407" s="2">
        <v>1.5272683229999999</v>
      </c>
      <c r="P407" s="2">
        <v>2.0072933389999998</v>
      </c>
      <c r="Q407" s="2" t="str">
        <f t="shared" si="32"/>
        <v>Tajikistan|2020</v>
      </c>
      <c r="R407" s="2" t="str">
        <f t="shared" si="33"/>
        <v xml:space="preserve"> </v>
      </c>
      <c r="T407" s="2" t="b">
        <f t="shared" si="34"/>
        <v>0</v>
      </c>
      <c r="U407" s="2" t="b">
        <f t="shared" si="46"/>
        <v>0</v>
      </c>
      <c r="V407" s="2" t="b">
        <f t="shared" si="35"/>
        <v>0</v>
      </c>
      <c r="W407" s="2">
        <f t="shared" si="36"/>
        <v>82</v>
      </c>
      <c r="X407" s="2">
        <f t="shared" si="37"/>
        <v>77</v>
      </c>
      <c r="Y407" s="2">
        <f t="shared" si="38"/>
        <v>96</v>
      </c>
      <c r="Z407" s="2" t="str">
        <f t="shared" si="39"/>
        <v/>
      </c>
      <c r="AA407" s="2" t="str">
        <f t="shared" si="40"/>
        <v/>
      </c>
      <c r="AB407" s="2" t="str">
        <f t="shared" si="41"/>
        <v/>
      </c>
      <c r="AC407" s="2">
        <f t="shared" si="42"/>
        <v>0</v>
      </c>
      <c r="AO407" s="6"/>
      <c r="AP407" s="6"/>
      <c r="AQ407" s="6"/>
      <c r="AS407" s="6"/>
      <c r="AT407" s="6"/>
      <c r="AU407" s="6"/>
      <c r="AX407" s="2" t="str">
        <f t="shared" si="43"/>
        <v>null</v>
      </c>
      <c r="AY407" s="2" t="str">
        <f t="shared" si="44"/>
        <v>null</v>
      </c>
      <c r="AZ407" s="2" t="str">
        <f t="shared" si="45"/>
        <v>null</v>
      </c>
      <c r="BA407" s="6"/>
    </row>
    <row r="408" spans="1:53" x14ac:dyDescent="0.25">
      <c r="A408" s="2" t="s">
        <v>265</v>
      </c>
      <c r="B408" s="2">
        <v>2015</v>
      </c>
      <c r="C408" s="2">
        <v>68714.515629999994</v>
      </c>
      <c r="D408" s="2">
        <v>47.694004059999997</v>
      </c>
      <c r="E408" s="2">
        <v>99.259170580000003</v>
      </c>
      <c r="F408" s="2">
        <v>0.2176525852</v>
      </c>
      <c r="G408" s="2">
        <v>0.1822513237</v>
      </c>
      <c r="H408" s="2">
        <v>0.34092551430000001</v>
      </c>
      <c r="I408" s="2">
        <v>98.879516710000004</v>
      </c>
      <c r="J408" s="2">
        <v>0.2456716052</v>
      </c>
      <c r="K408" s="2">
        <v>0.22302119049999999</v>
      </c>
      <c r="L408" s="2">
        <v>0.65179049</v>
      </c>
      <c r="M408" s="2">
        <v>99.675536840000007</v>
      </c>
      <c r="N408" s="2">
        <v>0.1869241354</v>
      </c>
      <c r="O408" s="2">
        <v>0.1375390245</v>
      </c>
      <c r="P408" s="2">
        <v>0</v>
      </c>
      <c r="Q408" s="2" t="str">
        <f t="shared" si="32"/>
        <v>Thailand|2015</v>
      </c>
      <c r="R408" s="2">
        <f t="shared" si="33"/>
        <v>5</v>
      </c>
      <c r="T408" s="2">
        <f t="shared" si="34"/>
        <v>0.14816588399999944</v>
      </c>
      <c r="U408" s="2">
        <f t="shared" si="46"/>
        <v>0.22409665799999914</v>
      </c>
      <c r="V408" s="2">
        <f t="shared" si="35"/>
        <v>6.4892631999998687E-2</v>
      </c>
      <c r="W408" s="2">
        <f t="shared" si="36"/>
        <v>99</v>
      </c>
      <c r="X408" s="2">
        <f t="shared" si="37"/>
        <v>99</v>
      </c>
      <c r="Y408" s="2">
        <f t="shared" si="38"/>
        <v>100</v>
      </c>
      <c r="Z408" s="2" t="str">
        <f t="shared" si="39"/>
        <v/>
      </c>
      <c r="AA408" s="2" t="str">
        <f t="shared" si="40"/>
        <v/>
      </c>
      <c r="AB408" s="2" t="str">
        <f t="shared" si="41"/>
        <v>Fully Accessible</v>
      </c>
      <c r="AC408" s="2">
        <f t="shared" si="42"/>
        <v>0.15920402600000044</v>
      </c>
      <c r="AO408" s="6"/>
      <c r="AP408" s="6"/>
      <c r="AQ408" s="6"/>
      <c r="AS408" s="6"/>
      <c r="AT408" s="6"/>
      <c r="AU408" s="6"/>
      <c r="AX408" s="2">
        <f t="shared" si="43"/>
        <v>138514.49218999999</v>
      </c>
      <c r="AY408" s="2">
        <f t="shared" si="44"/>
        <v>99.124004369999994</v>
      </c>
      <c r="AZ408" s="2">
        <f t="shared" si="45"/>
        <v>138415.36818562998</v>
      </c>
      <c r="BA408" s="6"/>
    </row>
    <row r="409" spans="1:53" x14ac:dyDescent="0.25">
      <c r="A409" s="2" t="s">
        <v>265</v>
      </c>
      <c r="B409" s="2">
        <v>2020</v>
      </c>
      <c r="C409" s="2">
        <v>69799.976559999996</v>
      </c>
      <c r="D409" s="2">
        <v>51.430000309999997</v>
      </c>
      <c r="E409" s="2">
        <v>100</v>
      </c>
      <c r="F409" s="2">
        <v>0</v>
      </c>
      <c r="G409" s="2">
        <v>0</v>
      </c>
      <c r="H409" s="2">
        <v>0</v>
      </c>
      <c r="I409" s="2">
        <v>100</v>
      </c>
      <c r="J409" s="2">
        <v>0</v>
      </c>
      <c r="K409" s="2">
        <v>0</v>
      </c>
      <c r="L409" s="2">
        <v>0</v>
      </c>
      <c r="M409" s="2">
        <v>100</v>
      </c>
      <c r="N409" s="2">
        <v>0</v>
      </c>
      <c r="O409" s="2">
        <v>0</v>
      </c>
      <c r="P409" s="2">
        <v>0</v>
      </c>
      <c r="Q409" s="2" t="str">
        <f t="shared" si="32"/>
        <v>Thailand|2020</v>
      </c>
      <c r="R409" s="2" t="str">
        <f t="shared" si="33"/>
        <v xml:space="preserve"> </v>
      </c>
      <c r="T409" s="2" t="b">
        <f t="shared" si="34"/>
        <v>0</v>
      </c>
      <c r="U409" s="2" t="b">
        <f t="shared" si="46"/>
        <v>0</v>
      </c>
      <c r="V409" s="2" t="b">
        <f t="shared" si="35"/>
        <v>0</v>
      </c>
      <c r="W409" s="2">
        <f t="shared" si="36"/>
        <v>100</v>
      </c>
      <c r="X409" s="2">
        <f t="shared" si="37"/>
        <v>100</v>
      </c>
      <c r="Y409" s="2">
        <f t="shared" si="38"/>
        <v>100</v>
      </c>
      <c r="Z409" s="2" t="str">
        <f t="shared" si="39"/>
        <v/>
      </c>
      <c r="AA409" s="2" t="str">
        <f t="shared" si="40"/>
        <v/>
      </c>
      <c r="AB409" s="2" t="str">
        <f t="shared" si="41"/>
        <v/>
      </c>
      <c r="AC409" s="2">
        <f t="shared" si="42"/>
        <v>0</v>
      </c>
      <c r="AO409" s="6"/>
      <c r="AP409" s="6"/>
      <c r="AQ409" s="6"/>
      <c r="AS409" s="6"/>
      <c r="AT409" s="6"/>
      <c r="AU409" s="6"/>
      <c r="AX409" s="2" t="str">
        <f t="shared" si="43"/>
        <v>null</v>
      </c>
      <c r="AY409" s="2" t="str">
        <f t="shared" si="44"/>
        <v>null</v>
      </c>
      <c r="AZ409" s="2" t="str">
        <f t="shared" si="45"/>
        <v>null</v>
      </c>
      <c r="BA409" s="6"/>
    </row>
    <row r="410" spans="1:53" x14ac:dyDescent="0.25">
      <c r="A410" s="2" t="s">
        <v>266</v>
      </c>
      <c r="B410" s="2">
        <v>2015</v>
      </c>
      <c r="C410" s="2">
        <v>1196.2939449999999</v>
      </c>
      <c r="D410" s="2">
        <v>29.489999770000001</v>
      </c>
      <c r="E410" s="2">
        <v>75.250103710000005</v>
      </c>
      <c r="F410" s="2">
        <v>3.486316247</v>
      </c>
      <c r="G410" s="2">
        <v>16.460746719999999</v>
      </c>
      <c r="H410" s="2">
        <v>4.8028333229999998</v>
      </c>
      <c r="I410" s="2">
        <v>68.95938975</v>
      </c>
      <c r="J410" s="2">
        <v>4.2085077100000001</v>
      </c>
      <c r="K410" s="2">
        <v>20.19524109</v>
      </c>
      <c r="L410" s="2">
        <v>6.6368614499999996</v>
      </c>
      <c r="M410" s="2">
        <v>90.291081230000003</v>
      </c>
      <c r="N410" s="2">
        <v>1.759571234</v>
      </c>
      <c r="O410" s="2">
        <v>7.5316383</v>
      </c>
      <c r="P410" s="2">
        <v>0.41770924009999999</v>
      </c>
      <c r="Q410" s="2" t="str">
        <f t="shared" si="32"/>
        <v>Timor-Leste|2015</v>
      </c>
      <c r="R410" s="2">
        <f t="shared" si="33"/>
        <v>5</v>
      </c>
      <c r="T410" s="2">
        <f t="shared" si="34"/>
        <v>2.0490994979999981</v>
      </c>
      <c r="U410" s="2">
        <f t="shared" si="46"/>
        <v>2.3056811740000001</v>
      </c>
      <c r="V410" s="2">
        <f t="shared" si="35"/>
        <v>1.2371753380000001</v>
      </c>
      <c r="W410" s="2">
        <f t="shared" si="36"/>
        <v>75</v>
      </c>
      <c r="X410" s="2">
        <f t="shared" si="37"/>
        <v>69</v>
      </c>
      <c r="Y410" s="2">
        <f t="shared" si="38"/>
        <v>90</v>
      </c>
      <c r="Z410" s="2" t="str">
        <f t="shared" si="39"/>
        <v/>
      </c>
      <c r="AA410" s="2" t="str">
        <f t="shared" si="40"/>
        <v/>
      </c>
      <c r="AB410" s="2" t="str">
        <f t="shared" si="41"/>
        <v>Fully Accessible</v>
      </c>
      <c r="AC410" s="2">
        <f t="shared" si="42"/>
        <v>1.0685058359999999</v>
      </c>
      <c r="AO410" s="6"/>
      <c r="AP410" s="6"/>
      <c r="AQ410" s="6"/>
      <c r="AS410" s="6"/>
      <c r="AT410" s="6"/>
      <c r="AU410" s="6"/>
      <c r="AX410" s="2">
        <f t="shared" si="43"/>
        <v>2514.7359619999997</v>
      </c>
      <c r="AY410" s="2">
        <f t="shared" si="44"/>
        <v>60.80999946</v>
      </c>
      <c r="AZ410" s="2">
        <f t="shared" si="45"/>
        <v>2453.9259625399995</v>
      </c>
      <c r="BA410" s="16"/>
    </row>
    <row r="411" spans="1:53" x14ac:dyDescent="0.25">
      <c r="A411" s="2" t="s">
        <v>266</v>
      </c>
      <c r="B411" s="2">
        <v>2020</v>
      </c>
      <c r="C411" s="2">
        <v>1318.4420170000001</v>
      </c>
      <c r="D411" s="2">
        <v>31.31999969</v>
      </c>
      <c r="E411" s="2">
        <v>85.495601199999996</v>
      </c>
      <c r="F411" s="2">
        <v>1.88586597</v>
      </c>
      <c r="G411" s="2">
        <v>8.3600293969999999</v>
      </c>
      <c r="H411" s="2">
        <v>4.2585034329999996</v>
      </c>
      <c r="I411" s="2">
        <v>80.48779562</v>
      </c>
      <c r="J411" s="2">
        <v>2.0493646750000001</v>
      </c>
      <c r="K411" s="2">
        <v>11.26233968</v>
      </c>
      <c r="L411" s="2">
        <v>6.2005000179999996</v>
      </c>
      <c r="M411" s="2">
        <v>96.476957920000004</v>
      </c>
      <c r="N411" s="2">
        <v>1.527338152</v>
      </c>
      <c r="O411" s="2">
        <v>1.995703929</v>
      </c>
      <c r="P411" s="2">
        <v>0</v>
      </c>
      <c r="Q411" s="2" t="str">
        <f t="shared" si="32"/>
        <v>Timor-Leste|2020</v>
      </c>
      <c r="R411" s="2" t="str">
        <f t="shared" si="33"/>
        <v xml:space="preserve"> </v>
      </c>
      <c r="T411" s="2" t="b">
        <f t="shared" si="34"/>
        <v>0</v>
      </c>
      <c r="U411" s="2" t="b">
        <f t="shared" si="46"/>
        <v>0</v>
      </c>
      <c r="V411" s="2" t="b">
        <f t="shared" si="35"/>
        <v>0</v>
      </c>
      <c r="W411" s="2">
        <f t="shared" si="36"/>
        <v>85</v>
      </c>
      <c r="X411" s="2">
        <f t="shared" si="37"/>
        <v>80</v>
      </c>
      <c r="Y411" s="2">
        <f t="shared" si="38"/>
        <v>96</v>
      </c>
      <c r="Z411" s="2" t="str">
        <f t="shared" si="39"/>
        <v/>
      </c>
      <c r="AA411" s="2" t="str">
        <f t="shared" si="40"/>
        <v/>
      </c>
      <c r="AB411" s="2" t="str">
        <f t="shared" si="41"/>
        <v/>
      </c>
      <c r="AC411" s="2">
        <f t="shared" si="42"/>
        <v>0</v>
      </c>
      <c r="AO411" s="6"/>
      <c r="AP411" s="6"/>
      <c r="AQ411" s="6"/>
      <c r="AS411" s="6"/>
      <c r="AT411" s="6"/>
      <c r="AU411" s="6"/>
      <c r="AX411" s="2" t="str">
        <f t="shared" si="43"/>
        <v>null</v>
      </c>
      <c r="AY411" s="2" t="str">
        <f t="shared" si="44"/>
        <v>null</v>
      </c>
      <c r="AZ411" s="2" t="str">
        <f t="shared" si="45"/>
        <v>null</v>
      </c>
      <c r="BA411" s="6"/>
    </row>
    <row r="412" spans="1:53" x14ac:dyDescent="0.25">
      <c r="A412" s="2" t="s">
        <v>267</v>
      </c>
      <c r="B412" s="2">
        <v>2015</v>
      </c>
      <c r="C412" s="2">
        <v>7323.1621089999999</v>
      </c>
      <c r="D412" s="2">
        <v>40.099998470000003</v>
      </c>
      <c r="E412" s="2">
        <v>63.637126350000003</v>
      </c>
      <c r="F412" s="2">
        <v>5.6657679649999997</v>
      </c>
      <c r="G412" s="2">
        <v>17.17891539</v>
      </c>
      <c r="H412" s="2">
        <v>13.51819029</v>
      </c>
      <c r="I412" s="2">
        <v>47.242183279999999</v>
      </c>
      <c r="J412" s="2">
        <v>7.3346522839999997</v>
      </c>
      <c r="K412" s="2">
        <v>23.470036180000001</v>
      </c>
      <c r="L412" s="2">
        <v>21.953128249999999</v>
      </c>
      <c r="M412" s="2">
        <v>88.127329700000004</v>
      </c>
      <c r="N412" s="2">
        <v>3.1728458380000002</v>
      </c>
      <c r="O412" s="2">
        <v>7.7814550410000001</v>
      </c>
      <c r="P412" s="2">
        <v>0.91836941770000002</v>
      </c>
      <c r="Q412" s="2" t="str">
        <f t="shared" si="32"/>
        <v>Togo|2015</v>
      </c>
      <c r="R412" s="2">
        <f t="shared" si="33"/>
        <v>5</v>
      </c>
      <c r="T412" s="2">
        <f t="shared" si="34"/>
        <v>0.98931874799999941</v>
      </c>
      <c r="U412" s="2">
        <f t="shared" si="46"/>
        <v>0.97507389400000055</v>
      </c>
      <c r="V412" s="2">
        <f t="shared" si="35"/>
        <v>0.49251606199999853</v>
      </c>
      <c r="W412" s="2">
        <f t="shared" si="36"/>
        <v>64</v>
      </c>
      <c r="X412" s="2">
        <f t="shared" si="37"/>
        <v>47</v>
      </c>
      <c r="Y412" s="2">
        <f t="shared" si="38"/>
        <v>88</v>
      </c>
      <c r="Z412" s="2" t="str">
        <f t="shared" si="39"/>
        <v/>
      </c>
      <c r="AA412" s="2" t="str">
        <f t="shared" si="40"/>
        <v/>
      </c>
      <c r="AB412" s="2" t="str">
        <f t="shared" si="41"/>
        <v>Fully Accessible</v>
      </c>
      <c r="AC412" s="2">
        <f t="shared" si="42"/>
        <v>0.48255783200000202</v>
      </c>
      <c r="AO412" s="6"/>
      <c r="AP412" s="6"/>
      <c r="AQ412" s="6"/>
      <c r="AS412" s="6"/>
      <c r="AT412" s="6"/>
      <c r="AU412" s="6"/>
      <c r="AX412" s="2">
        <f t="shared" si="43"/>
        <v>15601.899414</v>
      </c>
      <c r="AY412" s="2">
        <f t="shared" si="44"/>
        <v>82.899997710000008</v>
      </c>
      <c r="AZ412" s="2">
        <f t="shared" si="45"/>
        <v>15518.99941629</v>
      </c>
      <c r="BA412" s="16"/>
    </row>
    <row r="413" spans="1:53" x14ac:dyDescent="0.25">
      <c r="A413" s="2" t="s">
        <v>267</v>
      </c>
      <c r="B413" s="2">
        <v>2020</v>
      </c>
      <c r="C413" s="2">
        <v>8278.7373050000006</v>
      </c>
      <c r="D413" s="2">
        <v>42.799999239999998</v>
      </c>
      <c r="E413" s="2">
        <v>68.58372009</v>
      </c>
      <c r="F413" s="2">
        <v>6.065434765</v>
      </c>
      <c r="G413" s="2">
        <v>14.16432245</v>
      </c>
      <c r="H413" s="2">
        <v>11.18652269</v>
      </c>
      <c r="I413" s="2">
        <v>52.117552750000002</v>
      </c>
      <c r="J413" s="2">
        <v>8.1875420190000003</v>
      </c>
      <c r="K413" s="2">
        <v>20.7910842</v>
      </c>
      <c r="L413" s="2">
        <v>18.90382103</v>
      </c>
      <c r="M413" s="2">
        <v>90.589910009999997</v>
      </c>
      <c r="N413" s="2">
        <v>3.2293480560000001</v>
      </c>
      <c r="O413" s="2">
        <v>5.3079905280000004</v>
      </c>
      <c r="P413" s="2">
        <v>0.87275140490000003</v>
      </c>
      <c r="Q413" s="2" t="str">
        <f t="shared" si="32"/>
        <v>Togo|2020</v>
      </c>
      <c r="R413" s="2" t="str">
        <f t="shared" si="33"/>
        <v xml:space="preserve"> </v>
      </c>
      <c r="T413" s="2" t="b">
        <f t="shared" si="34"/>
        <v>0</v>
      </c>
      <c r="U413" s="2" t="b">
        <f t="shared" si="46"/>
        <v>0</v>
      </c>
      <c r="V413" s="2" t="b">
        <f t="shared" si="35"/>
        <v>0</v>
      </c>
      <c r="W413" s="2">
        <f t="shared" si="36"/>
        <v>69</v>
      </c>
      <c r="X413" s="2">
        <f t="shared" si="37"/>
        <v>52</v>
      </c>
      <c r="Y413" s="2">
        <f t="shared" si="38"/>
        <v>91</v>
      </c>
      <c r="Z413" s="2" t="str">
        <f t="shared" si="39"/>
        <v/>
      </c>
      <c r="AA413" s="2" t="str">
        <f t="shared" si="40"/>
        <v/>
      </c>
      <c r="AB413" s="2" t="str">
        <f t="shared" si="41"/>
        <v/>
      </c>
      <c r="AC413" s="2">
        <f t="shared" si="42"/>
        <v>0</v>
      </c>
      <c r="AO413" s="6"/>
      <c r="AP413" s="6"/>
      <c r="AQ413" s="6"/>
      <c r="AS413" s="6"/>
      <c r="AT413" s="6"/>
      <c r="AU413" s="6"/>
      <c r="AX413" s="2" t="str">
        <f t="shared" si="43"/>
        <v>null</v>
      </c>
      <c r="AY413" s="2" t="str">
        <f t="shared" si="44"/>
        <v>null</v>
      </c>
      <c r="AZ413" s="2" t="str">
        <f t="shared" si="45"/>
        <v>null</v>
      </c>
      <c r="BA413" s="16"/>
    </row>
    <row r="414" spans="1:53" x14ac:dyDescent="0.25">
      <c r="A414" s="2" t="s">
        <v>268</v>
      </c>
      <c r="B414" s="2">
        <v>2015</v>
      </c>
      <c r="C414" s="2">
        <v>1.2469999789999999</v>
      </c>
      <c r="D414" s="2">
        <v>0</v>
      </c>
      <c r="E414" s="2">
        <v>99.457396000000003</v>
      </c>
      <c r="F414" s="2">
        <v>0</v>
      </c>
      <c r="G414" s="2">
        <v>0.54260399999999998</v>
      </c>
      <c r="H414" s="2">
        <v>0</v>
      </c>
      <c r="I414" s="2">
        <v>99.457396000000003</v>
      </c>
      <c r="J414" s="2">
        <v>0</v>
      </c>
      <c r="K414" s="2">
        <v>0.54260399999999998</v>
      </c>
      <c r="L414" s="2">
        <v>0</v>
      </c>
      <c r="M414" s="2" t="s">
        <v>64</v>
      </c>
      <c r="N414" s="2" t="s">
        <v>64</v>
      </c>
      <c r="O414" s="2" t="s">
        <v>64</v>
      </c>
      <c r="P414" s="2" t="s">
        <v>64</v>
      </c>
      <c r="Q414" s="2" t="str">
        <f t="shared" si="32"/>
        <v>Tokelau|2015</v>
      </c>
      <c r="R414" s="2">
        <f t="shared" si="33"/>
        <v>5</v>
      </c>
      <c r="T414" s="2">
        <f t="shared" si="34"/>
        <v>5.0056129999998686E-2</v>
      </c>
      <c r="U414" s="2">
        <f t="shared" si="46"/>
        <v>5.0056129999998686E-2</v>
      </c>
      <c r="V414" s="2" t="str">
        <f t="shared" si="35"/>
        <v>null</v>
      </c>
      <c r="W414" s="2">
        <f t="shared" si="36"/>
        <v>99</v>
      </c>
      <c r="X414" s="2">
        <f t="shared" si="37"/>
        <v>99</v>
      </c>
      <c r="Y414" s="2" t="b">
        <f t="shared" si="38"/>
        <v>0</v>
      </c>
      <c r="Z414" s="2" t="str">
        <f t="shared" si="39"/>
        <v/>
      </c>
      <c r="AA414" s="2" t="str">
        <f t="shared" si="40"/>
        <v/>
      </c>
      <c r="AB414" s="2" t="str">
        <f t="shared" si="41"/>
        <v>Fully Accessible</v>
      </c>
      <c r="AC414" s="2" t="b">
        <f t="shared" si="42"/>
        <v>0</v>
      </c>
      <c r="AO414" s="6"/>
      <c r="AP414" s="6"/>
      <c r="AQ414" s="6"/>
      <c r="AS414" s="6"/>
      <c r="AT414" s="6"/>
      <c r="AU414" s="6"/>
      <c r="AX414" s="2">
        <f t="shared" si="43"/>
        <v>2.5970000029999998</v>
      </c>
      <c r="AY414" s="2">
        <f t="shared" si="44"/>
        <v>0</v>
      </c>
      <c r="AZ414" s="2">
        <f t="shared" si="45"/>
        <v>2.5970000029999998</v>
      </c>
      <c r="BA414" s="6"/>
    </row>
    <row r="415" spans="1:53" x14ac:dyDescent="0.25">
      <c r="A415" s="2" t="s">
        <v>268</v>
      </c>
      <c r="B415" s="2">
        <v>2020</v>
      </c>
      <c r="C415" s="2">
        <v>1.3500000240000001</v>
      </c>
      <c r="D415" s="2">
        <v>0</v>
      </c>
      <c r="E415" s="2">
        <v>99.707676649999996</v>
      </c>
      <c r="F415" s="2">
        <v>0</v>
      </c>
      <c r="G415" s="2">
        <v>0.29232334589999998</v>
      </c>
      <c r="H415" s="2">
        <v>0</v>
      </c>
      <c r="I415" s="2">
        <v>99.707676649999996</v>
      </c>
      <c r="J415" s="2">
        <v>0</v>
      </c>
      <c r="K415" s="2">
        <v>0.29232334589999998</v>
      </c>
      <c r="L415" s="2">
        <v>0</v>
      </c>
      <c r="M415" s="2" t="s">
        <v>64</v>
      </c>
      <c r="N415" s="2" t="s">
        <v>64</v>
      </c>
      <c r="O415" s="2" t="s">
        <v>64</v>
      </c>
      <c r="P415" s="2" t="s">
        <v>64</v>
      </c>
      <c r="Q415" s="2" t="str">
        <f t="shared" si="32"/>
        <v>Tokelau|2020</v>
      </c>
      <c r="R415" s="2" t="str">
        <f t="shared" si="33"/>
        <v xml:space="preserve"> </v>
      </c>
      <c r="T415" s="2" t="b">
        <f t="shared" si="34"/>
        <v>0</v>
      </c>
      <c r="U415" s="2" t="b">
        <f t="shared" si="46"/>
        <v>0</v>
      </c>
      <c r="V415" s="2" t="b">
        <f t="shared" si="35"/>
        <v>0</v>
      </c>
      <c r="W415" s="2">
        <f t="shared" si="36"/>
        <v>100</v>
      </c>
      <c r="X415" s="2">
        <f t="shared" si="37"/>
        <v>100</v>
      </c>
      <c r="Y415" s="2" t="b">
        <f t="shared" si="38"/>
        <v>0</v>
      </c>
      <c r="Z415" s="2" t="str">
        <f t="shared" si="39"/>
        <v/>
      </c>
      <c r="AA415" s="2" t="str">
        <f t="shared" si="40"/>
        <v/>
      </c>
      <c r="AB415" s="2" t="str">
        <f t="shared" si="41"/>
        <v/>
      </c>
      <c r="AC415" s="2">
        <f t="shared" si="42"/>
        <v>0</v>
      </c>
      <c r="AO415" s="6"/>
      <c r="AP415" s="6"/>
      <c r="AQ415" s="6"/>
      <c r="AS415" s="6"/>
      <c r="AT415" s="6"/>
      <c r="AU415" s="6"/>
      <c r="AX415" s="2" t="str">
        <f t="shared" si="43"/>
        <v>null</v>
      </c>
      <c r="AY415" s="2" t="str">
        <f t="shared" si="44"/>
        <v>null</v>
      </c>
      <c r="AZ415" s="2" t="str">
        <f t="shared" si="45"/>
        <v>null</v>
      </c>
      <c r="BA415" s="6"/>
    </row>
    <row r="416" spans="1:53" x14ac:dyDescent="0.25">
      <c r="A416" s="2" t="s">
        <v>269</v>
      </c>
      <c r="B416" s="2">
        <v>2015</v>
      </c>
      <c r="C416" s="2">
        <v>100.7799988</v>
      </c>
      <c r="D416" s="2">
        <v>23.274999619999999</v>
      </c>
      <c r="E416" s="2">
        <v>98.549705349999996</v>
      </c>
      <c r="F416" s="2">
        <v>0.87898212229999995</v>
      </c>
      <c r="G416" s="2">
        <v>0.57131252860000004</v>
      </c>
      <c r="H416" s="2">
        <v>0</v>
      </c>
      <c r="I416" s="2">
        <v>98.393048230000005</v>
      </c>
      <c r="J416" s="2">
        <v>1.1023191240000001</v>
      </c>
      <c r="K416" s="2">
        <v>0.50463264750000003</v>
      </c>
      <c r="L416" s="2">
        <v>0</v>
      </c>
      <c r="M416" s="2">
        <v>99.066110559999998</v>
      </c>
      <c r="N416" s="2">
        <v>0.14276156700000001</v>
      </c>
      <c r="O416" s="2">
        <v>0.79112787279999996</v>
      </c>
      <c r="P416" s="2">
        <v>0</v>
      </c>
      <c r="Q416" s="2" t="str">
        <f t="shared" si="32"/>
        <v>Tonga|2015</v>
      </c>
      <c r="R416" s="2">
        <f t="shared" si="33"/>
        <v>5</v>
      </c>
      <c r="T416" s="2">
        <f t="shared" si="34"/>
        <v>3.6275095999999965E-2</v>
      </c>
      <c r="U416" s="2">
        <f t="shared" si="46"/>
        <v>1.5006061999997655E-2</v>
      </c>
      <c r="V416" s="2">
        <f t="shared" si="35"/>
        <v>0.1081095260000012</v>
      </c>
      <c r="W416" s="2">
        <f t="shared" si="36"/>
        <v>99</v>
      </c>
      <c r="X416" s="2">
        <f t="shared" si="37"/>
        <v>98</v>
      </c>
      <c r="Y416" s="2">
        <f t="shared" si="38"/>
        <v>99</v>
      </c>
      <c r="Z416" s="2" t="str">
        <f t="shared" si="39"/>
        <v/>
      </c>
      <c r="AA416" s="2" t="str">
        <f t="shared" si="40"/>
        <v/>
      </c>
      <c r="AB416" s="2" t="str">
        <f t="shared" si="41"/>
        <v>Fully Accessible</v>
      </c>
      <c r="AC416" s="2">
        <f t="shared" si="42"/>
        <v>-9.310346400000355E-2</v>
      </c>
      <c r="AO416" s="6"/>
      <c r="AP416" s="6"/>
      <c r="AQ416" s="6"/>
      <c r="AS416" s="6"/>
      <c r="AT416" s="6"/>
      <c r="AU416" s="6"/>
      <c r="AX416" s="2">
        <f t="shared" si="43"/>
        <v>206.47699740000002</v>
      </c>
      <c r="AY416" s="2">
        <f t="shared" si="44"/>
        <v>46.373998639999996</v>
      </c>
      <c r="AZ416" s="2">
        <f t="shared" si="45"/>
        <v>160.10299876000002</v>
      </c>
      <c r="BA416" s="6"/>
    </row>
    <row r="417" spans="1:53" x14ac:dyDescent="0.25">
      <c r="A417" s="2" t="s">
        <v>269</v>
      </c>
      <c r="B417" s="2">
        <v>2020</v>
      </c>
      <c r="C417" s="2">
        <v>105.6969986</v>
      </c>
      <c r="D417" s="2">
        <v>23.098999020000001</v>
      </c>
      <c r="E417" s="2">
        <v>98.731080829999996</v>
      </c>
      <c r="F417" s="2">
        <v>0.88149729619999995</v>
      </c>
      <c r="G417" s="2">
        <v>0.38742187769999997</v>
      </c>
      <c r="H417" s="2">
        <v>0</v>
      </c>
      <c r="I417" s="2">
        <v>98.468078539999993</v>
      </c>
      <c r="J417" s="2">
        <v>1.103159706</v>
      </c>
      <c r="K417" s="2">
        <v>0.42876175509999997</v>
      </c>
      <c r="L417" s="2">
        <v>0</v>
      </c>
      <c r="M417" s="2">
        <v>99.606658190000005</v>
      </c>
      <c r="N417" s="2">
        <v>0.143540536</v>
      </c>
      <c r="O417" s="2">
        <v>0.2498012758</v>
      </c>
      <c r="P417" s="2">
        <v>0</v>
      </c>
      <c r="Q417" s="2" t="str">
        <f t="shared" si="32"/>
        <v>Tonga|2020</v>
      </c>
      <c r="R417" s="2" t="str">
        <f t="shared" si="33"/>
        <v xml:space="preserve"> </v>
      </c>
      <c r="T417" s="2" t="b">
        <f t="shared" si="34"/>
        <v>0</v>
      </c>
      <c r="U417" s="2" t="b">
        <f t="shared" si="46"/>
        <v>0</v>
      </c>
      <c r="V417" s="2" t="b">
        <f t="shared" si="35"/>
        <v>0</v>
      </c>
      <c r="W417" s="2">
        <f t="shared" si="36"/>
        <v>99</v>
      </c>
      <c r="X417" s="2">
        <f t="shared" si="37"/>
        <v>98</v>
      </c>
      <c r="Y417" s="2">
        <f t="shared" si="38"/>
        <v>100</v>
      </c>
      <c r="Z417" s="2" t="str">
        <f t="shared" si="39"/>
        <v/>
      </c>
      <c r="AA417" s="2" t="str">
        <f t="shared" si="40"/>
        <v/>
      </c>
      <c r="AB417" s="2" t="str">
        <f t="shared" si="41"/>
        <v/>
      </c>
      <c r="AC417" s="2">
        <f t="shared" si="42"/>
        <v>0</v>
      </c>
      <c r="AO417" s="6"/>
      <c r="AP417" s="6"/>
      <c r="AQ417" s="6"/>
      <c r="AS417" s="6"/>
      <c r="AT417" s="6"/>
      <c r="AU417" s="6"/>
      <c r="AX417" s="2" t="str">
        <f t="shared" si="43"/>
        <v>null</v>
      </c>
      <c r="AY417" s="2" t="str">
        <f t="shared" si="44"/>
        <v>null</v>
      </c>
      <c r="AZ417" s="2" t="str">
        <f t="shared" si="45"/>
        <v>null</v>
      </c>
      <c r="BA417" s="6"/>
    </row>
    <row r="418" spans="1:53" x14ac:dyDescent="0.25">
      <c r="A418" s="2" t="s">
        <v>270</v>
      </c>
      <c r="B418" s="2">
        <v>2015</v>
      </c>
      <c r="C418" s="2">
        <v>1370.3320309999999</v>
      </c>
      <c r="D418" s="2">
        <v>53.319000240000001</v>
      </c>
      <c r="E418" s="2">
        <v>98.136177649999993</v>
      </c>
      <c r="F418" s="2">
        <v>1.1164222559999999</v>
      </c>
      <c r="G418" s="2">
        <v>0.56928192339999995</v>
      </c>
      <c r="H418" s="2">
        <v>0.17811817260000001</v>
      </c>
      <c r="I418" s="2" t="s">
        <v>64</v>
      </c>
      <c r="J418" s="2" t="s">
        <v>64</v>
      </c>
      <c r="K418" s="2" t="s">
        <v>64</v>
      </c>
      <c r="L418" s="2" t="s">
        <v>64</v>
      </c>
      <c r="M418" s="2" t="s">
        <v>64</v>
      </c>
      <c r="N418" s="2" t="s">
        <v>64</v>
      </c>
      <c r="O418" s="2" t="s">
        <v>64</v>
      </c>
      <c r="P418" s="2" t="s">
        <v>64</v>
      </c>
      <c r="Q418" s="2" t="str">
        <f t="shared" si="32"/>
        <v>Trinidad and Tobago|2015</v>
      </c>
      <c r="R418" s="2">
        <f t="shared" si="33"/>
        <v>5</v>
      </c>
      <c r="T418" s="2">
        <f t="shared" si="34"/>
        <v>0.14779862400000071</v>
      </c>
      <c r="U418" s="2" t="str">
        <f t="shared" si="46"/>
        <v>null</v>
      </c>
      <c r="V418" s="2" t="str">
        <f t="shared" si="35"/>
        <v>null</v>
      </c>
      <c r="W418" s="2">
        <f t="shared" si="36"/>
        <v>98</v>
      </c>
      <c r="X418" s="2" t="b">
        <f t="shared" si="37"/>
        <v>0</v>
      </c>
      <c r="Y418" s="2" t="b">
        <f t="shared" si="38"/>
        <v>0</v>
      </c>
      <c r="Z418" s="2" t="str">
        <f t="shared" si="39"/>
        <v/>
      </c>
      <c r="AA418" s="2" t="str">
        <f t="shared" si="40"/>
        <v>Fully Accessible</v>
      </c>
      <c r="AB418" s="2" t="str">
        <f t="shared" si="41"/>
        <v>Fully Accessible</v>
      </c>
      <c r="AC418" s="2" t="b">
        <f t="shared" si="42"/>
        <v>0</v>
      </c>
      <c r="AO418" s="6"/>
      <c r="AP418" s="6"/>
      <c r="AQ418" s="6"/>
      <c r="AS418" s="6"/>
      <c r="AT418" s="6"/>
      <c r="AU418" s="6"/>
      <c r="AX418" s="2">
        <f t="shared" si="43"/>
        <v>2769.8229979999996</v>
      </c>
      <c r="AY418" s="2">
        <f t="shared" si="44"/>
        <v>106.53300093999999</v>
      </c>
      <c r="AZ418" s="2">
        <f t="shared" si="45"/>
        <v>2663.2899970599997</v>
      </c>
      <c r="BA418" s="16"/>
    </row>
    <row r="419" spans="1:53" x14ac:dyDescent="0.25">
      <c r="A419" s="2" t="s">
        <v>270</v>
      </c>
      <c r="B419" s="2">
        <v>2020</v>
      </c>
      <c r="C419" s="2">
        <v>1399.490967</v>
      </c>
      <c r="D419" s="2">
        <v>53.2140007</v>
      </c>
      <c r="E419" s="2">
        <v>98.875170769999997</v>
      </c>
      <c r="F419" s="2">
        <v>1.1248292310000001</v>
      </c>
      <c r="G419" s="2">
        <v>0</v>
      </c>
      <c r="H419" s="2">
        <v>0</v>
      </c>
      <c r="I419" s="2" t="s">
        <v>64</v>
      </c>
      <c r="J419" s="2" t="s">
        <v>64</v>
      </c>
      <c r="K419" s="2" t="s">
        <v>64</v>
      </c>
      <c r="L419" s="2" t="s">
        <v>64</v>
      </c>
      <c r="M419" s="2" t="s">
        <v>64</v>
      </c>
      <c r="N419" s="2" t="s">
        <v>64</v>
      </c>
      <c r="O419" s="2" t="s">
        <v>64</v>
      </c>
      <c r="P419" s="2" t="s">
        <v>64</v>
      </c>
      <c r="Q419" s="2" t="str">
        <f t="shared" si="32"/>
        <v>Trinidad and Tobago|2020</v>
      </c>
      <c r="R419" s="2" t="str">
        <f t="shared" si="33"/>
        <v xml:space="preserve"> </v>
      </c>
      <c r="T419" s="2" t="b">
        <f t="shared" si="34"/>
        <v>0</v>
      </c>
      <c r="U419" s="2" t="b">
        <f t="shared" si="46"/>
        <v>0</v>
      </c>
      <c r="V419" s="2" t="b">
        <f t="shared" si="35"/>
        <v>0</v>
      </c>
      <c r="W419" s="2">
        <f t="shared" si="36"/>
        <v>99</v>
      </c>
      <c r="X419" s="2" t="b">
        <f t="shared" si="37"/>
        <v>0</v>
      </c>
      <c r="Y419" s="2" t="b">
        <f t="shared" si="38"/>
        <v>0</v>
      </c>
      <c r="Z419" s="2" t="str">
        <f t="shared" si="39"/>
        <v/>
      </c>
      <c r="AA419" s="2" t="str">
        <f t="shared" si="40"/>
        <v/>
      </c>
      <c r="AB419" s="2" t="str">
        <f t="shared" si="41"/>
        <v/>
      </c>
      <c r="AC419" s="2">
        <f t="shared" si="42"/>
        <v>0</v>
      </c>
      <c r="AO419" s="6"/>
      <c r="AP419" s="6"/>
      <c r="AQ419" s="6"/>
      <c r="AS419" s="6"/>
      <c r="AT419" s="6"/>
      <c r="AU419" s="6"/>
      <c r="AX419" s="2" t="str">
        <f t="shared" si="43"/>
        <v>null</v>
      </c>
      <c r="AY419" s="2" t="str">
        <f t="shared" si="44"/>
        <v>null</v>
      </c>
      <c r="AZ419" s="2" t="str">
        <f t="shared" si="45"/>
        <v>null</v>
      </c>
      <c r="BA419" s="6"/>
    </row>
    <row r="420" spans="1:53" x14ac:dyDescent="0.25">
      <c r="A420" s="2" t="s">
        <v>271</v>
      </c>
      <c r="B420" s="2">
        <v>2015</v>
      </c>
      <c r="C420" s="2">
        <v>11179.95117</v>
      </c>
      <c r="D420" s="2">
        <v>68.055999760000006</v>
      </c>
      <c r="E420" s="2">
        <v>94.845455099999995</v>
      </c>
      <c r="F420" s="2">
        <v>2.9001003930000002</v>
      </c>
      <c r="G420" s="2">
        <v>2.1791030770000002</v>
      </c>
      <c r="H420" s="2">
        <v>7.5341425109999999E-2</v>
      </c>
      <c r="I420" s="2">
        <v>85.59067297</v>
      </c>
      <c r="J420" s="2">
        <v>7.6364837000000003</v>
      </c>
      <c r="K420" s="2">
        <v>6.5369886399999997</v>
      </c>
      <c r="L420" s="2">
        <v>0.23585469070000001</v>
      </c>
      <c r="M420" s="2">
        <v>99.189447939999994</v>
      </c>
      <c r="N420" s="2">
        <v>0.67694539840000001</v>
      </c>
      <c r="O420" s="2">
        <v>0.13360666639999999</v>
      </c>
      <c r="P420" s="2">
        <v>0</v>
      </c>
      <c r="Q420" s="2" t="str">
        <f t="shared" si="32"/>
        <v>Tunisia|2015</v>
      </c>
      <c r="R420" s="2">
        <f t="shared" si="33"/>
        <v>5</v>
      </c>
      <c r="T420" s="2">
        <f t="shared" si="34"/>
        <v>0.53957077800000097</v>
      </c>
      <c r="U420" s="2">
        <f t="shared" si="46"/>
        <v>1.6691117920000011</v>
      </c>
      <c r="V420" s="2">
        <f t="shared" si="35"/>
        <v>-1.3650061999999252E-2</v>
      </c>
      <c r="W420" s="2">
        <f t="shared" si="36"/>
        <v>95</v>
      </c>
      <c r="X420" s="2">
        <f t="shared" si="37"/>
        <v>86</v>
      </c>
      <c r="Y420" s="2">
        <f t="shared" si="38"/>
        <v>99</v>
      </c>
      <c r="Z420" s="2" t="str">
        <f t="shared" si="39"/>
        <v/>
      </c>
      <c r="AA420" s="2" t="str">
        <f t="shared" si="40"/>
        <v/>
      </c>
      <c r="AB420" s="2" t="str">
        <f t="shared" si="41"/>
        <v>Fully Accessible</v>
      </c>
      <c r="AC420" s="2">
        <f t="shared" si="42"/>
        <v>1.6827618540000004</v>
      </c>
      <c r="AO420" s="6"/>
      <c r="AP420" s="6"/>
      <c r="AQ420" s="6"/>
      <c r="AS420" s="6"/>
      <c r="AT420" s="6"/>
      <c r="AU420" s="6"/>
      <c r="AX420" s="2">
        <f t="shared" si="43"/>
        <v>22998.569329999998</v>
      </c>
      <c r="AY420" s="2">
        <f t="shared" si="44"/>
        <v>137.62400055000001</v>
      </c>
      <c r="AZ420" s="2">
        <f t="shared" si="45"/>
        <v>22860.945329449998</v>
      </c>
      <c r="BA420" s="16"/>
    </row>
    <row r="421" spans="1:53" x14ac:dyDescent="0.25">
      <c r="A421" s="2" t="s">
        <v>271</v>
      </c>
      <c r="B421" s="2">
        <v>2020</v>
      </c>
      <c r="C421" s="2">
        <v>11818.61816</v>
      </c>
      <c r="D421" s="2">
        <v>69.568000789999999</v>
      </c>
      <c r="E421" s="2">
        <v>97.54330899</v>
      </c>
      <c r="F421" s="2">
        <v>1.63135067</v>
      </c>
      <c r="G421" s="2">
        <v>0.82534033780000005</v>
      </c>
      <c r="H421" s="2">
        <v>0</v>
      </c>
      <c r="I421" s="2">
        <v>93.936231930000005</v>
      </c>
      <c r="J421" s="2">
        <v>3.3516873569999999</v>
      </c>
      <c r="K421" s="2">
        <v>2.71208071</v>
      </c>
      <c r="L421" s="2">
        <v>0</v>
      </c>
      <c r="M421" s="2">
        <v>99.121197629999998</v>
      </c>
      <c r="N421" s="2">
        <v>0.87880236840000003</v>
      </c>
      <c r="O421" s="2">
        <v>0</v>
      </c>
      <c r="P421" s="2">
        <v>0</v>
      </c>
      <c r="Q421" s="2" t="str">
        <f t="shared" si="32"/>
        <v>Tunisia|2020</v>
      </c>
      <c r="R421" s="2" t="str">
        <f t="shared" si="33"/>
        <v xml:space="preserve"> </v>
      </c>
      <c r="T421" s="2" t="b">
        <f t="shared" si="34"/>
        <v>0</v>
      </c>
      <c r="U421" s="2" t="b">
        <f t="shared" si="46"/>
        <v>0</v>
      </c>
      <c r="V421" s="2" t="b">
        <f t="shared" si="35"/>
        <v>0</v>
      </c>
      <c r="W421" s="2">
        <f t="shared" si="36"/>
        <v>98</v>
      </c>
      <c r="X421" s="2">
        <f t="shared" si="37"/>
        <v>94</v>
      </c>
      <c r="Y421" s="2">
        <f t="shared" si="38"/>
        <v>99</v>
      </c>
      <c r="Z421" s="2" t="str">
        <f t="shared" si="39"/>
        <v/>
      </c>
      <c r="AA421" s="2" t="str">
        <f t="shared" si="40"/>
        <v/>
      </c>
      <c r="AB421" s="2" t="str">
        <f t="shared" si="41"/>
        <v/>
      </c>
      <c r="AC421" s="2">
        <f t="shared" si="42"/>
        <v>0</v>
      </c>
      <c r="AO421" s="6"/>
      <c r="AP421" s="6"/>
      <c r="AQ421" s="6"/>
      <c r="AS421" s="6"/>
      <c r="AT421" s="6"/>
      <c r="AU421" s="6"/>
      <c r="AX421" s="2" t="str">
        <f t="shared" si="43"/>
        <v>null</v>
      </c>
      <c r="AY421" s="2" t="str">
        <f t="shared" si="44"/>
        <v>null</v>
      </c>
      <c r="AZ421" s="2" t="str">
        <f t="shared" si="45"/>
        <v>null</v>
      </c>
      <c r="BA421" s="16"/>
    </row>
    <row r="422" spans="1:53" x14ac:dyDescent="0.25">
      <c r="A422" s="2" t="s">
        <v>272</v>
      </c>
      <c r="B422" s="2">
        <v>2015</v>
      </c>
      <c r="C422" s="2">
        <v>78529.414059999996</v>
      </c>
      <c r="D422" s="2">
        <v>73.611000059999995</v>
      </c>
      <c r="E422" s="2">
        <v>96.256159120000007</v>
      </c>
      <c r="F422" s="2">
        <v>2.0267476019999999</v>
      </c>
      <c r="G422" s="2">
        <v>1.5188707130000001</v>
      </c>
      <c r="H422" s="2">
        <v>0.1982225671</v>
      </c>
      <c r="I422" s="2">
        <v>94.203882989999997</v>
      </c>
      <c r="J422" s="2">
        <v>2.6336569440000002</v>
      </c>
      <c r="K422" s="2">
        <v>2.7404600640000001</v>
      </c>
      <c r="L422" s="2">
        <v>0.42199999999999999</v>
      </c>
      <c r="M422" s="2">
        <v>96.99188504</v>
      </c>
      <c r="N422" s="2">
        <v>1.8091750579999999</v>
      </c>
      <c r="O422" s="2">
        <v>1.080939898</v>
      </c>
      <c r="P422" s="2">
        <v>0.11799999999999999</v>
      </c>
      <c r="Q422" s="2" t="str">
        <f t="shared" si="32"/>
        <v>Turkey|2015</v>
      </c>
      <c r="R422" s="2">
        <f t="shared" si="33"/>
        <v>5</v>
      </c>
      <c r="T422" s="2">
        <f t="shared" si="34"/>
        <v>0.15162200799999823</v>
      </c>
      <c r="U422" s="2">
        <f t="shared" si="46"/>
        <v>0.36425735600000164</v>
      </c>
      <c r="V422" s="2">
        <f t="shared" si="35"/>
        <v>6.6586558000000198E-2</v>
      </c>
      <c r="W422" s="2">
        <f t="shared" si="36"/>
        <v>96</v>
      </c>
      <c r="X422" s="2">
        <f t="shared" si="37"/>
        <v>94</v>
      </c>
      <c r="Y422" s="2">
        <f t="shared" si="38"/>
        <v>97</v>
      </c>
      <c r="Z422" s="2" t="str">
        <f t="shared" si="39"/>
        <v/>
      </c>
      <c r="AA422" s="2" t="str">
        <f t="shared" si="40"/>
        <v/>
      </c>
      <c r="AB422" s="2" t="str">
        <f t="shared" si="41"/>
        <v>Fully Accessible</v>
      </c>
      <c r="AC422" s="2">
        <f t="shared" si="42"/>
        <v>0.29767079800000146</v>
      </c>
      <c r="AO422" s="6"/>
      <c r="AP422" s="6"/>
      <c r="AQ422" s="6"/>
      <c r="AS422" s="6"/>
      <c r="AT422" s="6"/>
      <c r="AU422" s="6"/>
      <c r="AX422" s="2">
        <f t="shared" si="43"/>
        <v>162868.48436999999</v>
      </c>
      <c r="AY422" s="2">
        <f t="shared" si="44"/>
        <v>149.71600341999999</v>
      </c>
      <c r="AZ422" s="2">
        <f t="shared" si="45"/>
        <v>162718.76836657999</v>
      </c>
      <c r="BA422" s="6"/>
    </row>
    <row r="423" spans="1:53" x14ac:dyDescent="0.25">
      <c r="A423" s="2" t="s">
        <v>272</v>
      </c>
      <c r="B423" s="2">
        <v>2020</v>
      </c>
      <c r="C423" s="2">
        <v>84339.070309999996</v>
      </c>
      <c r="D423" s="2">
        <v>76.105003359999998</v>
      </c>
      <c r="E423" s="2">
        <v>97.014269159999998</v>
      </c>
      <c r="F423" s="2">
        <v>2.0230780749999999</v>
      </c>
      <c r="G423" s="2">
        <v>0.73767495449999998</v>
      </c>
      <c r="H423" s="2">
        <v>0.2249778093</v>
      </c>
      <c r="I423" s="2">
        <v>96.025169770000005</v>
      </c>
      <c r="J423" s="2">
        <v>2.684574639</v>
      </c>
      <c r="K423" s="2">
        <v>0.78825559109999999</v>
      </c>
      <c r="L423" s="2">
        <v>0.502</v>
      </c>
      <c r="M423" s="2">
        <v>97.324817830000001</v>
      </c>
      <c r="N423" s="2">
        <v>1.8153852029999999</v>
      </c>
      <c r="O423" s="2">
        <v>0.72179696339999999</v>
      </c>
      <c r="P423" s="2">
        <v>0.13800000000000001</v>
      </c>
      <c r="Q423" s="2" t="str">
        <f t="shared" si="32"/>
        <v>Turkey|2020</v>
      </c>
      <c r="R423" s="2" t="str">
        <f t="shared" si="33"/>
        <v xml:space="preserve"> </v>
      </c>
      <c r="T423" s="2" t="b">
        <f t="shared" si="34"/>
        <v>0</v>
      </c>
      <c r="U423" s="2" t="b">
        <f t="shared" si="46"/>
        <v>0</v>
      </c>
      <c r="V423" s="2" t="b">
        <f t="shared" si="35"/>
        <v>0</v>
      </c>
      <c r="W423" s="2">
        <f t="shared" si="36"/>
        <v>97</v>
      </c>
      <c r="X423" s="2">
        <f t="shared" si="37"/>
        <v>96</v>
      </c>
      <c r="Y423" s="2">
        <f t="shared" si="38"/>
        <v>97</v>
      </c>
      <c r="Z423" s="2" t="str">
        <f t="shared" si="39"/>
        <v/>
      </c>
      <c r="AA423" s="2" t="str">
        <f t="shared" si="40"/>
        <v/>
      </c>
      <c r="AB423" s="2" t="str">
        <f t="shared" si="41"/>
        <v/>
      </c>
      <c r="AC423" s="2">
        <f t="shared" si="42"/>
        <v>0</v>
      </c>
      <c r="AO423" s="6"/>
      <c r="AP423" s="6"/>
      <c r="AQ423" s="6"/>
      <c r="AS423" s="6"/>
      <c r="AT423" s="6"/>
      <c r="AU423" s="6"/>
      <c r="AX423" s="2" t="str">
        <f t="shared" si="43"/>
        <v>null</v>
      </c>
      <c r="AY423" s="2" t="str">
        <f t="shared" si="44"/>
        <v>null</v>
      </c>
      <c r="AZ423" s="2" t="str">
        <f t="shared" si="45"/>
        <v>null</v>
      </c>
      <c r="BA423" s="6"/>
    </row>
    <row r="424" spans="1:53" x14ac:dyDescent="0.25">
      <c r="A424" s="2" t="s">
        <v>273</v>
      </c>
      <c r="B424" s="2">
        <v>2015</v>
      </c>
      <c r="C424" s="2">
        <v>5565.283203</v>
      </c>
      <c r="D424" s="2">
        <v>50.317001339999997</v>
      </c>
      <c r="E424" s="2">
        <v>97.658944309999995</v>
      </c>
      <c r="F424" s="2">
        <v>0.94791505470000004</v>
      </c>
      <c r="G424" s="2">
        <v>0.24775003200000001</v>
      </c>
      <c r="H424" s="2">
        <v>1.1453906060000001</v>
      </c>
      <c r="I424" s="2">
        <v>96.219783160000006</v>
      </c>
      <c r="J424" s="2">
        <v>1.0009544290000001</v>
      </c>
      <c r="K424" s="2">
        <v>0.47386486500000002</v>
      </c>
      <c r="L424" s="2">
        <v>2.305397551</v>
      </c>
      <c r="M424" s="2">
        <v>99.079971720000003</v>
      </c>
      <c r="N424" s="2">
        <v>0.89554398800000001</v>
      </c>
      <c r="O424" s="2">
        <v>2.4484294899999998E-2</v>
      </c>
      <c r="P424" s="2">
        <v>0</v>
      </c>
      <c r="Q424" s="2" t="str">
        <f t="shared" si="32"/>
        <v>Turkmenistan|2015</v>
      </c>
      <c r="R424" s="2">
        <f t="shared" si="33"/>
        <v>5</v>
      </c>
      <c r="T424" s="2">
        <f t="shared" si="34"/>
        <v>0.46821113800000091</v>
      </c>
      <c r="U424" s="2">
        <f t="shared" si="46"/>
        <v>0.75604336799999883</v>
      </c>
      <c r="V424" s="2">
        <f t="shared" si="35"/>
        <v>0.18400565599999935</v>
      </c>
      <c r="W424" s="2">
        <f t="shared" si="36"/>
        <v>98</v>
      </c>
      <c r="X424" s="2">
        <f t="shared" si="37"/>
        <v>96</v>
      </c>
      <c r="Y424" s="2">
        <f t="shared" si="38"/>
        <v>99</v>
      </c>
      <c r="Z424" s="2" t="str">
        <f t="shared" si="39"/>
        <v/>
      </c>
      <c r="AA424" s="2" t="str">
        <f t="shared" si="40"/>
        <v/>
      </c>
      <c r="AB424" s="2" t="str">
        <f t="shared" si="41"/>
        <v>Fully Accessible</v>
      </c>
      <c r="AC424" s="2">
        <f t="shared" si="42"/>
        <v>0.57203771199999953</v>
      </c>
      <c r="AO424" s="6"/>
      <c r="AP424" s="6"/>
      <c r="AQ424" s="6"/>
      <c r="AS424" s="6"/>
      <c r="AT424" s="6"/>
      <c r="AU424" s="6"/>
      <c r="AX424" s="2">
        <f t="shared" si="43"/>
        <v>11596.470215000001</v>
      </c>
      <c r="AY424" s="2">
        <f t="shared" si="44"/>
        <v>102.83300399999999</v>
      </c>
      <c r="AZ424" s="2">
        <f t="shared" si="45"/>
        <v>11493.637211000001</v>
      </c>
      <c r="BA424" s="6"/>
    </row>
    <row r="425" spans="1:53" x14ac:dyDescent="0.25">
      <c r="A425" s="2" t="s">
        <v>273</v>
      </c>
      <c r="B425" s="2">
        <v>2020</v>
      </c>
      <c r="C425" s="2">
        <v>6031.1870120000003</v>
      </c>
      <c r="D425" s="2">
        <v>52.516002659999998</v>
      </c>
      <c r="E425" s="2">
        <v>100</v>
      </c>
      <c r="F425" s="2">
        <v>0</v>
      </c>
      <c r="G425" s="2">
        <v>0</v>
      </c>
      <c r="H425" s="2">
        <v>0</v>
      </c>
      <c r="I425" s="2">
        <v>100</v>
      </c>
      <c r="J425" s="2">
        <v>0</v>
      </c>
      <c r="K425" s="2">
        <v>0</v>
      </c>
      <c r="L425" s="2">
        <v>0</v>
      </c>
      <c r="M425" s="2">
        <v>100</v>
      </c>
      <c r="N425" s="2">
        <v>0</v>
      </c>
      <c r="O425" s="2">
        <v>0</v>
      </c>
      <c r="P425" s="2">
        <v>0</v>
      </c>
      <c r="Q425" s="2" t="str">
        <f t="shared" si="32"/>
        <v>Turkmenistan|2020</v>
      </c>
      <c r="R425" s="2" t="str">
        <f t="shared" si="33"/>
        <v xml:space="preserve"> </v>
      </c>
      <c r="T425" s="2" t="b">
        <f t="shared" si="34"/>
        <v>0</v>
      </c>
      <c r="U425" s="2" t="b">
        <f t="shared" si="46"/>
        <v>0</v>
      </c>
      <c r="V425" s="2" t="b">
        <f t="shared" si="35"/>
        <v>0</v>
      </c>
      <c r="W425" s="2">
        <f t="shared" si="36"/>
        <v>100</v>
      </c>
      <c r="X425" s="2">
        <f t="shared" si="37"/>
        <v>100</v>
      </c>
      <c r="Y425" s="2">
        <f t="shared" si="38"/>
        <v>100</v>
      </c>
      <c r="Z425" s="2" t="str">
        <f t="shared" si="39"/>
        <v/>
      </c>
      <c r="AA425" s="2" t="str">
        <f t="shared" si="40"/>
        <v/>
      </c>
      <c r="AB425" s="2" t="str">
        <f t="shared" si="41"/>
        <v/>
      </c>
      <c r="AC425" s="2">
        <f t="shared" si="42"/>
        <v>0</v>
      </c>
      <c r="AO425" s="6"/>
      <c r="AP425" s="6"/>
      <c r="AQ425" s="6"/>
      <c r="AS425" s="6"/>
      <c r="AT425" s="6"/>
      <c r="AU425" s="6"/>
      <c r="AX425" s="2" t="str">
        <f t="shared" si="43"/>
        <v>null</v>
      </c>
      <c r="AY425" s="2" t="str">
        <f t="shared" si="44"/>
        <v>null</v>
      </c>
      <c r="AZ425" s="2" t="str">
        <f t="shared" si="45"/>
        <v>null</v>
      </c>
      <c r="BA425" s="6"/>
    </row>
    <row r="426" spans="1:53" x14ac:dyDescent="0.25">
      <c r="A426" s="2" t="s">
        <v>274</v>
      </c>
      <c r="B426" s="2">
        <v>2015</v>
      </c>
      <c r="C426" s="2">
        <v>35.97900009</v>
      </c>
      <c r="D426" s="2">
        <v>92.194992069999998</v>
      </c>
      <c r="E426" s="2">
        <v>94.318181820000007</v>
      </c>
      <c r="F426" s="2">
        <v>0</v>
      </c>
      <c r="G426" s="2">
        <v>5.6818181819999998</v>
      </c>
      <c r="H426" s="2">
        <v>0</v>
      </c>
      <c r="I426" s="2" t="s">
        <v>64</v>
      </c>
      <c r="J426" s="2" t="s">
        <v>64</v>
      </c>
      <c r="K426" s="2" t="s">
        <v>64</v>
      </c>
      <c r="L426" s="2" t="s">
        <v>64</v>
      </c>
      <c r="M426" s="2" t="s">
        <v>64</v>
      </c>
      <c r="N426" s="2" t="s">
        <v>64</v>
      </c>
      <c r="O426" s="2" t="s">
        <v>64</v>
      </c>
      <c r="P426" s="2" t="s">
        <v>64</v>
      </c>
      <c r="Q426" s="2" t="str">
        <f t="shared" si="32"/>
        <v>Turks and Caicos Islands|2015</v>
      </c>
      <c r="R426" s="2">
        <f t="shared" si="33"/>
        <v>3</v>
      </c>
      <c r="T426" s="2">
        <f t="shared" si="34"/>
        <v>0</v>
      </c>
      <c r="U426" s="2" t="str">
        <f t="shared" si="46"/>
        <v>null</v>
      </c>
      <c r="V426" s="2" t="str">
        <f t="shared" si="35"/>
        <v>null</v>
      </c>
      <c r="W426" s="2">
        <f t="shared" si="36"/>
        <v>94</v>
      </c>
      <c r="X426" s="2" t="b">
        <f t="shared" si="37"/>
        <v>0</v>
      </c>
      <c r="Y426" s="2" t="b">
        <f t="shared" si="38"/>
        <v>0</v>
      </c>
      <c r="Z426" s="2" t="str">
        <f t="shared" si="39"/>
        <v/>
      </c>
      <c r="AA426" s="2" t="str">
        <f t="shared" si="40"/>
        <v>Fully Accessible</v>
      </c>
      <c r="AB426" s="2" t="str">
        <f t="shared" si="41"/>
        <v>Fully Accessible</v>
      </c>
      <c r="AC426" s="2" t="b">
        <f t="shared" si="42"/>
        <v>0</v>
      </c>
      <c r="AO426" s="6"/>
      <c r="AP426" s="6"/>
      <c r="AQ426" s="6"/>
      <c r="AS426" s="6"/>
      <c r="AT426" s="6"/>
      <c r="AU426" s="6"/>
      <c r="AX426" s="2">
        <f t="shared" si="43"/>
        <v>73.64599991</v>
      </c>
      <c r="AY426" s="2">
        <f t="shared" si="44"/>
        <v>185.29299164</v>
      </c>
      <c r="AZ426" s="2">
        <f t="shared" si="45"/>
        <v>-111.64699173</v>
      </c>
      <c r="BA426" s="16"/>
    </row>
    <row r="427" spans="1:53" x14ac:dyDescent="0.25">
      <c r="A427" s="2" t="s">
        <v>274</v>
      </c>
      <c r="B427" s="2">
        <v>2018</v>
      </c>
      <c r="C427" s="2">
        <v>37.666999820000001</v>
      </c>
      <c r="D427" s="2">
        <v>93.097999569999999</v>
      </c>
      <c r="E427" s="2">
        <v>94.318181820000007</v>
      </c>
      <c r="F427" s="2">
        <v>0</v>
      </c>
      <c r="G427" s="2">
        <v>5.6818181819999998</v>
      </c>
      <c r="H427" s="2">
        <v>0</v>
      </c>
      <c r="I427" s="2" t="s">
        <v>64</v>
      </c>
      <c r="J427" s="2" t="s">
        <v>64</v>
      </c>
      <c r="K427" s="2" t="s">
        <v>64</v>
      </c>
      <c r="L427" s="2" t="s">
        <v>64</v>
      </c>
      <c r="M427" s="2" t="s">
        <v>64</v>
      </c>
      <c r="N427" s="2" t="s">
        <v>64</v>
      </c>
      <c r="O427" s="2" t="s">
        <v>64</v>
      </c>
      <c r="P427" s="2" t="s">
        <v>64</v>
      </c>
      <c r="Q427" s="2" t="str">
        <f t="shared" si="32"/>
        <v>Turks and Caicos Islands|2018</v>
      </c>
      <c r="R427" s="2" t="str">
        <f t="shared" si="33"/>
        <v xml:space="preserve"> </v>
      </c>
      <c r="T427" s="2" t="b">
        <f t="shared" si="34"/>
        <v>0</v>
      </c>
      <c r="U427" s="2" t="b">
        <f t="shared" si="46"/>
        <v>0</v>
      </c>
      <c r="V427" s="2" t="b">
        <f t="shared" si="35"/>
        <v>0</v>
      </c>
      <c r="W427" s="2">
        <f t="shared" si="36"/>
        <v>94</v>
      </c>
      <c r="X427" s="2" t="b">
        <f t="shared" si="37"/>
        <v>0</v>
      </c>
      <c r="Y427" s="2" t="b">
        <f t="shared" si="38"/>
        <v>0</v>
      </c>
      <c r="Z427" s="2" t="str">
        <f t="shared" si="39"/>
        <v/>
      </c>
      <c r="AA427" s="2" t="str">
        <f t="shared" si="40"/>
        <v/>
      </c>
      <c r="AB427" s="2" t="str">
        <f t="shared" si="41"/>
        <v/>
      </c>
      <c r="AC427" s="2">
        <f t="shared" si="42"/>
        <v>0</v>
      </c>
      <c r="AO427" s="6"/>
      <c r="AP427" s="6"/>
      <c r="AQ427" s="6"/>
      <c r="AS427" s="6"/>
      <c r="AT427" s="6"/>
      <c r="AU427" s="6"/>
      <c r="AX427" s="2" t="str">
        <f t="shared" si="43"/>
        <v>null</v>
      </c>
      <c r="AY427" s="2" t="str">
        <f t="shared" si="44"/>
        <v>null</v>
      </c>
      <c r="AZ427" s="2" t="str">
        <f t="shared" si="45"/>
        <v>null</v>
      </c>
      <c r="BA427" s="6"/>
    </row>
    <row r="428" spans="1:53" x14ac:dyDescent="0.25">
      <c r="A428" s="2" t="s">
        <v>275</v>
      </c>
      <c r="B428" s="2">
        <v>2015</v>
      </c>
      <c r="C428" s="2">
        <v>11.09899998</v>
      </c>
      <c r="D428" s="2">
        <v>59.729999540000001</v>
      </c>
      <c r="E428" s="2">
        <v>100</v>
      </c>
      <c r="F428" s="2">
        <v>0</v>
      </c>
      <c r="G428" s="2">
        <v>0</v>
      </c>
      <c r="H428" s="2">
        <v>0</v>
      </c>
      <c r="I428" s="2">
        <v>100</v>
      </c>
      <c r="J428" s="2">
        <v>0</v>
      </c>
      <c r="K428" s="2">
        <v>0</v>
      </c>
      <c r="L428" s="2">
        <v>0</v>
      </c>
      <c r="M428" s="2">
        <v>100</v>
      </c>
      <c r="N428" s="2">
        <v>0</v>
      </c>
      <c r="O428" s="2">
        <v>0</v>
      </c>
      <c r="P428" s="2">
        <v>0</v>
      </c>
      <c r="Q428" s="2" t="str">
        <f t="shared" si="32"/>
        <v>Tuvalu|2015</v>
      </c>
      <c r="R428" s="2">
        <f t="shared" si="33"/>
        <v>5</v>
      </c>
      <c r="T428" s="2">
        <f t="shared" si="34"/>
        <v>0</v>
      </c>
      <c r="U428" s="2">
        <f t="shared" si="46"/>
        <v>0</v>
      </c>
      <c r="V428" s="2">
        <f t="shared" si="35"/>
        <v>0</v>
      </c>
      <c r="W428" s="2">
        <f t="shared" si="36"/>
        <v>100</v>
      </c>
      <c r="X428" s="2">
        <f t="shared" si="37"/>
        <v>100</v>
      </c>
      <c r="Y428" s="2">
        <f t="shared" si="38"/>
        <v>100</v>
      </c>
      <c r="Z428" s="2" t="str">
        <f t="shared" si="39"/>
        <v/>
      </c>
      <c r="AA428" s="2" t="str">
        <f t="shared" si="40"/>
        <v/>
      </c>
      <c r="AB428" s="2" t="str">
        <f t="shared" si="41"/>
        <v>Fully Accessible</v>
      </c>
      <c r="AC428" s="2">
        <f t="shared" si="42"/>
        <v>0</v>
      </c>
      <c r="AO428" s="6"/>
      <c r="AP428" s="6"/>
      <c r="AQ428" s="6"/>
      <c r="AS428" s="6"/>
      <c r="AT428" s="6"/>
      <c r="AU428" s="6"/>
      <c r="AX428" s="2">
        <f t="shared" si="43"/>
        <v>22.890999799999999</v>
      </c>
      <c r="AY428" s="2">
        <f t="shared" si="44"/>
        <v>123.74399948000001</v>
      </c>
      <c r="AZ428" s="2">
        <f t="shared" si="45"/>
        <v>-100.85299968000001</v>
      </c>
      <c r="BA428" s="16"/>
    </row>
    <row r="429" spans="1:53" x14ac:dyDescent="0.25">
      <c r="A429" s="2" t="s">
        <v>275</v>
      </c>
      <c r="B429" s="2">
        <v>2020</v>
      </c>
      <c r="C429" s="2">
        <v>11.791999819999999</v>
      </c>
      <c r="D429" s="2">
        <v>64.013999940000005</v>
      </c>
      <c r="E429" s="2">
        <v>100</v>
      </c>
      <c r="F429" s="2">
        <v>0</v>
      </c>
      <c r="G429" s="2">
        <v>0</v>
      </c>
      <c r="H429" s="2">
        <v>0</v>
      </c>
      <c r="I429" s="2">
        <v>100</v>
      </c>
      <c r="J429" s="2">
        <v>0</v>
      </c>
      <c r="K429" s="2">
        <v>0</v>
      </c>
      <c r="L429" s="2">
        <v>0</v>
      </c>
      <c r="M429" s="2">
        <v>100</v>
      </c>
      <c r="N429" s="2">
        <v>0</v>
      </c>
      <c r="O429" s="2">
        <v>0</v>
      </c>
      <c r="P429" s="2">
        <v>0</v>
      </c>
      <c r="Q429" s="2" t="str">
        <f t="shared" si="32"/>
        <v>Tuvalu|2020</v>
      </c>
      <c r="R429" s="2" t="str">
        <f t="shared" si="33"/>
        <v xml:space="preserve"> </v>
      </c>
      <c r="T429" s="2" t="b">
        <f t="shared" si="34"/>
        <v>0</v>
      </c>
      <c r="U429" s="2" t="b">
        <f t="shared" si="46"/>
        <v>0</v>
      </c>
      <c r="V429" s="2" t="b">
        <f t="shared" si="35"/>
        <v>0</v>
      </c>
      <c r="W429" s="2">
        <f t="shared" si="36"/>
        <v>100</v>
      </c>
      <c r="X429" s="2">
        <f t="shared" si="37"/>
        <v>100</v>
      </c>
      <c r="Y429" s="2">
        <f t="shared" si="38"/>
        <v>100</v>
      </c>
      <c r="Z429" s="2" t="str">
        <f t="shared" si="39"/>
        <v/>
      </c>
      <c r="AA429" s="2" t="str">
        <f t="shared" si="40"/>
        <v/>
      </c>
      <c r="AB429" s="2" t="str">
        <f t="shared" si="41"/>
        <v/>
      </c>
      <c r="AC429" s="2">
        <f t="shared" si="42"/>
        <v>0</v>
      </c>
      <c r="AO429" s="6"/>
      <c r="AP429" s="6"/>
      <c r="AQ429" s="6"/>
      <c r="AS429" s="6"/>
      <c r="AT429" s="6"/>
      <c r="AU429" s="6"/>
      <c r="AX429" s="2" t="str">
        <f t="shared" si="43"/>
        <v>null</v>
      </c>
      <c r="AY429" s="2" t="str">
        <f t="shared" si="44"/>
        <v>null</v>
      </c>
      <c r="AZ429" s="2" t="str">
        <f t="shared" si="45"/>
        <v>null</v>
      </c>
      <c r="BA429" s="16"/>
    </row>
    <row r="430" spans="1:53" x14ac:dyDescent="0.25">
      <c r="A430" s="2" t="s">
        <v>276</v>
      </c>
      <c r="B430" s="2">
        <v>2015</v>
      </c>
      <c r="C430" s="2">
        <v>38225.445310000003</v>
      </c>
      <c r="D430" s="2">
        <v>22.059999470000001</v>
      </c>
      <c r="E430" s="2">
        <v>47.841558360000001</v>
      </c>
      <c r="F430" s="2">
        <v>30.095403770000001</v>
      </c>
      <c r="G430" s="2">
        <v>15.106768450000001</v>
      </c>
      <c r="H430" s="2">
        <v>6.9562694199999999</v>
      </c>
      <c r="I430" s="2">
        <v>39.717003130000002</v>
      </c>
      <c r="J430" s="2">
        <v>34.176563299999998</v>
      </c>
      <c r="K430" s="2">
        <v>17.519117219999998</v>
      </c>
      <c r="L430" s="2">
        <v>8.5873163479999999</v>
      </c>
      <c r="M430" s="2">
        <v>76.546356090000003</v>
      </c>
      <c r="N430" s="2">
        <v>15.67629339</v>
      </c>
      <c r="O430" s="2">
        <v>6.5837192800000004</v>
      </c>
      <c r="P430" s="2">
        <v>1.1936312419999999</v>
      </c>
      <c r="Q430" s="2" t="str">
        <f t="shared" si="32"/>
        <v>Uganda|2015</v>
      </c>
      <c r="R430" s="2">
        <f t="shared" si="33"/>
        <v>5</v>
      </c>
      <c r="T430" s="2">
        <f t="shared" si="34"/>
        <v>1.6026981699999994</v>
      </c>
      <c r="U430" s="2">
        <f t="shared" si="46"/>
        <v>1.7028372899999993</v>
      </c>
      <c r="V430" s="2">
        <f t="shared" si="35"/>
        <v>0.44729914199999998</v>
      </c>
      <c r="W430" s="2">
        <f t="shared" si="36"/>
        <v>48</v>
      </c>
      <c r="X430" s="2">
        <f t="shared" si="37"/>
        <v>40</v>
      </c>
      <c r="Y430" s="2">
        <f t="shared" si="38"/>
        <v>77</v>
      </c>
      <c r="Z430" s="2" t="str">
        <f t="shared" si="39"/>
        <v/>
      </c>
      <c r="AA430" s="2" t="str">
        <f t="shared" si="40"/>
        <v/>
      </c>
      <c r="AB430" s="2" t="str">
        <f t="shared" si="41"/>
        <v>Fully Accessible</v>
      </c>
      <c r="AC430" s="2">
        <f t="shared" si="42"/>
        <v>1.2555381479999994</v>
      </c>
      <c r="AO430" s="6"/>
      <c r="AP430" s="6"/>
      <c r="AQ430" s="6"/>
      <c r="AS430" s="6"/>
      <c r="AT430" s="6"/>
      <c r="AU430" s="6"/>
      <c r="AX430" s="2">
        <f t="shared" si="43"/>
        <v>83966.44531000001</v>
      </c>
      <c r="AY430" s="2">
        <f t="shared" si="44"/>
        <v>47.013999940000005</v>
      </c>
      <c r="AZ430" s="2">
        <f t="shared" si="45"/>
        <v>83919.431310060012</v>
      </c>
      <c r="BA430" s="6"/>
    </row>
    <row r="431" spans="1:53" x14ac:dyDescent="0.25">
      <c r="A431" s="2" t="s">
        <v>276</v>
      </c>
      <c r="B431" s="2">
        <v>2020</v>
      </c>
      <c r="C431" s="2">
        <v>45741</v>
      </c>
      <c r="D431" s="2">
        <v>24.95400047</v>
      </c>
      <c r="E431" s="2">
        <v>55.855049209999997</v>
      </c>
      <c r="F431" s="2">
        <v>27.282859999999999</v>
      </c>
      <c r="G431" s="2">
        <v>12.16590654</v>
      </c>
      <c r="H431" s="2">
        <v>4.6961842520000001</v>
      </c>
      <c r="I431" s="2">
        <v>48.231189579999999</v>
      </c>
      <c r="J431" s="2">
        <v>31.784694259999998</v>
      </c>
      <c r="K431" s="2">
        <v>14.076160610000001</v>
      </c>
      <c r="L431" s="2">
        <v>5.9079555460000002</v>
      </c>
      <c r="M431" s="2">
        <v>78.782851800000003</v>
      </c>
      <c r="N431" s="2">
        <v>13.74416783</v>
      </c>
      <c r="O431" s="2">
        <v>6.4210441329999997</v>
      </c>
      <c r="P431" s="2">
        <v>1.0519362379999999</v>
      </c>
      <c r="Q431" s="2" t="str">
        <f t="shared" si="32"/>
        <v>Uganda|2020</v>
      </c>
      <c r="R431" s="2" t="str">
        <f t="shared" si="33"/>
        <v xml:space="preserve"> </v>
      </c>
      <c r="T431" s="2" t="b">
        <f t="shared" si="34"/>
        <v>0</v>
      </c>
      <c r="U431" s="2" t="b">
        <f t="shared" si="46"/>
        <v>0</v>
      </c>
      <c r="V431" s="2" t="b">
        <f t="shared" si="35"/>
        <v>0</v>
      </c>
      <c r="W431" s="2">
        <f t="shared" si="36"/>
        <v>56</v>
      </c>
      <c r="X431" s="2">
        <f t="shared" si="37"/>
        <v>48</v>
      </c>
      <c r="Y431" s="2">
        <f t="shared" si="38"/>
        <v>79</v>
      </c>
      <c r="Z431" s="2" t="str">
        <f t="shared" si="39"/>
        <v/>
      </c>
      <c r="AA431" s="2" t="str">
        <f t="shared" si="40"/>
        <v/>
      </c>
      <c r="AB431" s="2" t="str">
        <f t="shared" si="41"/>
        <v/>
      </c>
      <c r="AC431" s="2">
        <f t="shared" si="42"/>
        <v>0</v>
      </c>
      <c r="AO431" s="6"/>
      <c r="AP431" s="6"/>
      <c r="AQ431" s="6"/>
      <c r="AS431" s="6"/>
      <c r="AT431" s="6"/>
      <c r="AU431" s="6"/>
      <c r="AX431" s="2" t="str">
        <f t="shared" si="43"/>
        <v>null</v>
      </c>
      <c r="AY431" s="2" t="str">
        <f t="shared" si="44"/>
        <v>null</v>
      </c>
      <c r="AZ431" s="2" t="str">
        <f t="shared" si="45"/>
        <v>null</v>
      </c>
      <c r="BA431" s="6"/>
    </row>
    <row r="432" spans="1:53" x14ac:dyDescent="0.25">
      <c r="A432" s="2" t="s">
        <v>277</v>
      </c>
      <c r="B432" s="2">
        <v>2015</v>
      </c>
      <c r="C432" s="2">
        <v>44921.636720000002</v>
      </c>
      <c r="D432" s="2">
        <v>69.061004639999993</v>
      </c>
      <c r="E432" s="2">
        <v>93.65690669</v>
      </c>
      <c r="F432" s="2">
        <v>5.6308737229999997</v>
      </c>
      <c r="G432" s="2">
        <v>0.4364563488</v>
      </c>
      <c r="H432" s="2">
        <v>0.27576323949999998</v>
      </c>
      <c r="I432" s="2">
        <v>98.843111609999994</v>
      </c>
      <c r="J432" s="2">
        <v>0</v>
      </c>
      <c r="K432" s="2">
        <v>0.944405312</v>
      </c>
      <c r="L432" s="2">
        <v>0.21248308169999999</v>
      </c>
      <c r="M432" s="2">
        <v>91.333508530000003</v>
      </c>
      <c r="N432" s="2">
        <v>8.1534782769999996</v>
      </c>
      <c r="O432" s="2">
        <v>0.20890075559999999</v>
      </c>
      <c r="P432" s="2">
        <v>0.30411244139999999</v>
      </c>
      <c r="Q432" s="2" t="str">
        <f t="shared" si="32"/>
        <v>Ukraine|2015</v>
      </c>
      <c r="R432" s="2">
        <f t="shared" si="33"/>
        <v>5</v>
      </c>
      <c r="T432" s="2">
        <f t="shared" si="34"/>
        <v>5.4275051999999845E-2</v>
      </c>
      <c r="U432" s="2">
        <f t="shared" si="46"/>
        <v>0.2313776780000012</v>
      </c>
      <c r="V432" s="2">
        <f t="shared" si="35"/>
        <v>-1.1247683999999935E-2</v>
      </c>
      <c r="W432" s="2">
        <f t="shared" si="36"/>
        <v>94</v>
      </c>
      <c r="X432" s="2">
        <f t="shared" si="37"/>
        <v>99</v>
      </c>
      <c r="Y432" s="2">
        <f t="shared" si="38"/>
        <v>91</v>
      </c>
      <c r="Z432" s="2" t="str">
        <f t="shared" si="39"/>
        <v/>
      </c>
      <c r="AA432" s="2" t="str">
        <f t="shared" si="40"/>
        <v/>
      </c>
      <c r="AB432" s="2" t="str">
        <f t="shared" si="41"/>
        <v>Fully Accessible</v>
      </c>
      <c r="AC432" s="2">
        <f t="shared" si="42"/>
        <v>0.24262536200000112</v>
      </c>
      <c r="AO432" s="6"/>
      <c r="AP432" s="6"/>
      <c r="AQ432" s="6"/>
      <c r="AS432" s="6"/>
      <c r="AT432" s="6"/>
      <c r="AU432" s="6"/>
      <c r="AX432" s="2">
        <f t="shared" si="43"/>
        <v>88655.394530000005</v>
      </c>
      <c r="AY432" s="2">
        <f t="shared" si="44"/>
        <v>138.66900634999999</v>
      </c>
      <c r="AZ432" s="2">
        <f t="shared" si="45"/>
        <v>88516.725523650006</v>
      </c>
      <c r="BA432" s="6"/>
    </row>
    <row r="433" spans="1:53" x14ac:dyDescent="0.25">
      <c r="A433" s="2" t="s">
        <v>277</v>
      </c>
      <c r="B433" s="2">
        <v>2020</v>
      </c>
      <c r="C433" s="2">
        <v>43733.757810000003</v>
      </c>
      <c r="D433" s="2">
        <v>69.608001709999996</v>
      </c>
      <c r="E433" s="2">
        <v>93.928281949999999</v>
      </c>
      <c r="F433" s="2">
        <v>5.671978717</v>
      </c>
      <c r="G433" s="2">
        <v>7.5904501289999995E-2</v>
      </c>
      <c r="H433" s="2">
        <v>0.32383483600000001</v>
      </c>
      <c r="I433" s="2">
        <v>100</v>
      </c>
      <c r="J433" s="2">
        <v>0</v>
      </c>
      <c r="K433" s="2">
        <v>0</v>
      </c>
      <c r="L433" s="2">
        <v>0</v>
      </c>
      <c r="M433" s="2">
        <v>91.277270110000003</v>
      </c>
      <c r="N433" s="2">
        <v>8.1484577900000001</v>
      </c>
      <c r="O433" s="2">
        <v>0.1090456533</v>
      </c>
      <c r="P433" s="2">
        <v>0.46522644460000001</v>
      </c>
      <c r="Q433" s="2" t="str">
        <f t="shared" si="32"/>
        <v>Ukraine|2020</v>
      </c>
      <c r="R433" s="2" t="str">
        <f t="shared" si="33"/>
        <v xml:space="preserve"> </v>
      </c>
      <c r="T433" s="2" t="b">
        <f t="shared" si="34"/>
        <v>0</v>
      </c>
      <c r="U433" s="2" t="b">
        <f t="shared" si="46"/>
        <v>0</v>
      </c>
      <c r="V433" s="2" t="b">
        <f t="shared" si="35"/>
        <v>0</v>
      </c>
      <c r="W433" s="2">
        <f t="shared" si="36"/>
        <v>94</v>
      </c>
      <c r="X433" s="2">
        <f t="shared" si="37"/>
        <v>100</v>
      </c>
      <c r="Y433" s="2">
        <f t="shared" si="38"/>
        <v>91</v>
      </c>
      <c r="Z433" s="2" t="str">
        <f t="shared" si="39"/>
        <v/>
      </c>
      <c r="AA433" s="2" t="str">
        <f t="shared" si="40"/>
        <v/>
      </c>
      <c r="AB433" s="2" t="str">
        <f t="shared" si="41"/>
        <v/>
      </c>
      <c r="AC433" s="2">
        <f t="shared" si="42"/>
        <v>0</v>
      </c>
      <c r="AO433" s="6"/>
      <c r="AP433" s="6"/>
      <c r="AQ433" s="6"/>
      <c r="AS433" s="6"/>
      <c r="AT433" s="6"/>
      <c r="AU433" s="6"/>
      <c r="AX433" s="2" t="str">
        <f t="shared" si="43"/>
        <v>null</v>
      </c>
      <c r="AY433" s="2" t="str">
        <f t="shared" si="44"/>
        <v>null</v>
      </c>
      <c r="AZ433" s="2" t="str">
        <f t="shared" si="45"/>
        <v>null</v>
      </c>
      <c r="BA433" s="6"/>
    </row>
    <row r="434" spans="1:53" x14ac:dyDescent="0.25">
      <c r="A434" s="2" t="s">
        <v>278</v>
      </c>
      <c r="B434" s="2">
        <v>2015</v>
      </c>
      <c r="C434" s="2">
        <v>9262.8964840000008</v>
      </c>
      <c r="D434" s="2">
        <v>85.674003600000006</v>
      </c>
      <c r="E434" s="2">
        <v>99.971332469999993</v>
      </c>
      <c r="F434" s="2">
        <v>0</v>
      </c>
      <c r="G434" s="2">
        <v>2.8667534309999999E-2</v>
      </c>
      <c r="H434" s="2">
        <v>0</v>
      </c>
      <c r="I434" s="2" t="s">
        <v>64</v>
      </c>
      <c r="J434" s="2" t="s">
        <v>64</v>
      </c>
      <c r="K434" s="2" t="s">
        <v>64</v>
      </c>
      <c r="L434" s="2" t="s">
        <v>64</v>
      </c>
      <c r="M434" s="2" t="s">
        <v>64</v>
      </c>
      <c r="N434" s="2" t="s">
        <v>64</v>
      </c>
      <c r="O434" s="2" t="s">
        <v>64</v>
      </c>
      <c r="P434" s="2" t="s">
        <v>64</v>
      </c>
      <c r="Q434" s="2" t="str">
        <f t="shared" si="32"/>
        <v>United Arab Emirates|2015</v>
      </c>
      <c r="R434" s="2">
        <f t="shared" si="33"/>
        <v>5</v>
      </c>
      <c r="T434" s="2">
        <f t="shared" si="34"/>
        <v>-1.1472939999976005E-3</v>
      </c>
      <c r="U434" s="2" t="str">
        <f t="shared" si="46"/>
        <v>null</v>
      </c>
      <c r="V434" s="2" t="str">
        <f t="shared" si="35"/>
        <v>null</v>
      </c>
      <c r="W434" s="2">
        <f t="shared" si="36"/>
        <v>100</v>
      </c>
      <c r="X434" s="2" t="b">
        <f t="shared" si="37"/>
        <v>0</v>
      </c>
      <c r="Y434" s="2" t="b">
        <f t="shared" si="38"/>
        <v>0</v>
      </c>
      <c r="Z434" s="2" t="str">
        <f t="shared" si="39"/>
        <v/>
      </c>
      <c r="AA434" s="2" t="str">
        <f t="shared" si="40"/>
        <v>Fully Accessible</v>
      </c>
      <c r="AB434" s="2" t="str">
        <f t="shared" si="41"/>
        <v>Fully Accessible</v>
      </c>
      <c r="AC434" s="2" t="b">
        <f t="shared" si="42"/>
        <v>0</v>
      </c>
      <c r="AO434" s="6"/>
      <c r="AP434" s="6"/>
      <c r="AQ434" s="6"/>
      <c r="AS434" s="6"/>
      <c r="AT434" s="6"/>
      <c r="AU434" s="6"/>
      <c r="AX434" s="2">
        <f t="shared" si="43"/>
        <v>19153.296875</v>
      </c>
      <c r="AY434" s="2">
        <f t="shared" si="44"/>
        <v>172.72200012000002</v>
      </c>
      <c r="AZ434" s="2">
        <f t="shared" si="45"/>
        <v>18980.57487488</v>
      </c>
      <c r="BA434" s="16"/>
    </row>
    <row r="435" spans="1:53" x14ac:dyDescent="0.25">
      <c r="A435" s="2" t="s">
        <v>278</v>
      </c>
      <c r="B435" s="2">
        <v>2020</v>
      </c>
      <c r="C435" s="2">
        <v>9890.4003909999992</v>
      </c>
      <c r="D435" s="2">
        <v>87.047996519999998</v>
      </c>
      <c r="E435" s="2">
        <v>99.965596000000005</v>
      </c>
      <c r="F435" s="2">
        <v>0</v>
      </c>
      <c r="G435" s="2">
        <v>3.4403999999999997E-2</v>
      </c>
      <c r="H435" s="2">
        <v>0</v>
      </c>
      <c r="I435" s="2" t="s">
        <v>64</v>
      </c>
      <c r="J435" s="2" t="s">
        <v>64</v>
      </c>
      <c r="K435" s="2" t="s">
        <v>64</v>
      </c>
      <c r="L435" s="2" t="s">
        <v>64</v>
      </c>
      <c r="M435" s="2" t="s">
        <v>64</v>
      </c>
      <c r="N435" s="2" t="s">
        <v>64</v>
      </c>
      <c r="O435" s="2" t="s">
        <v>64</v>
      </c>
      <c r="P435" s="2" t="s">
        <v>64</v>
      </c>
      <c r="Q435" s="2" t="str">
        <f t="shared" si="32"/>
        <v>United Arab Emirates|2020</v>
      </c>
      <c r="R435" s="2" t="str">
        <f t="shared" si="33"/>
        <v xml:space="preserve"> </v>
      </c>
      <c r="T435" s="2" t="b">
        <f t="shared" si="34"/>
        <v>0</v>
      </c>
      <c r="U435" s="2" t="b">
        <f t="shared" si="46"/>
        <v>0</v>
      </c>
      <c r="V435" s="2" t="b">
        <f t="shared" si="35"/>
        <v>0</v>
      </c>
      <c r="W435" s="2">
        <f t="shared" si="36"/>
        <v>100</v>
      </c>
      <c r="X435" s="2" t="b">
        <f t="shared" si="37"/>
        <v>0</v>
      </c>
      <c r="Y435" s="2" t="b">
        <f t="shared" si="38"/>
        <v>0</v>
      </c>
      <c r="Z435" s="2" t="str">
        <f t="shared" si="39"/>
        <v/>
      </c>
      <c r="AA435" s="2" t="str">
        <f t="shared" si="40"/>
        <v/>
      </c>
      <c r="AB435" s="2" t="str">
        <f t="shared" si="41"/>
        <v/>
      </c>
      <c r="AC435" s="2">
        <f t="shared" si="42"/>
        <v>0</v>
      </c>
      <c r="AO435" s="6"/>
      <c r="AP435" s="6"/>
      <c r="AQ435" s="6"/>
      <c r="AS435" s="6"/>
      <c r="AT435" s="6"/>
      <c r="AU435" s="6"/>
      <c r="AX435" s="2" t="str">
        <f t="shared" si="43"/>
        <v>null</v>
      </c>
      <c r="AY435" s="2" t="str">
        <f t="shared" si="44"/>
        <v>null</v>
      </c>
      <c r="AZ435" s="2" t="str">
        <f t="shared" si="45"/>
        <v>null</v>
      </c>
      <c r="BA435" s="6"/>
    </row>
    <row r="436" spans="1:53" x14ac:dyDescent="0.25">
      <c r="A436" s="2" t="s">
        <v>279</v>
      </c>
      <c r="B436" s="2">
        <v>2015</v>
      </c>
      <c r="C436" s="2">
        <v>65860.148440000004</v>
      </c>
      <c r="D436" s="2">
        <v>82.625999449999995</v>
      </c>
      <c r="E436" s="2">
        <v>100.0000015</v>
      </c>
      <c r="F436" s="2">
        <v>0</v>
      </c>
      <c r="G436" s="2">
        <v>0</v>
      </c>
      <c r="H436" s="2">
        <v>0</v>
      </c>
      <c r="I436" s="2">
        <v>100</v>
      </c>
      <c r="J436" s="2">
        <v>0</v>
      </c>
      <c r="K436" s="2">
        <v>0</v>
      </c>
      <c r="L436" s="2">
        <v>0</v>
      </c>
      <c r="M436" s="2">
        <v>100</v>
      </c>
      <c r="N436" s="2">
        <v>0</v>
      </c>
      <c r="O436" s="2">
        <v>0</v>
      </c>
      <c r="P436" s="2">
        <v>0</v>
      </c>
      <c r="Q436" s="2" t="str">
        <f t="shared" si="32"/>
        <v>United Kingdom|2015</v>
      </c>
      <c r="R436" s="2">
        <f t="shared" si="33"/>
        <v>5</v>
      </c>
      <c r="T436" s="2">
        <f t="shared" si="34"/>
        <v>-5.8800000033443214E-7</v>
      </c>
      <c r="U436" s="2">
        <f t="shared" si="46"/>
        <v>0</v>
      </c>
      <c r="V436" s="2">
        <f t="shared" si="35"/>
        <v>0</v>
      </c>
      <c r="W436" s="2">
        <f t="shared" si="36"/>
        <v>100</v>
      </c>
      <c r="X436" s="2">
        <f t="shared" si="37"/>
        <v>100</v>
      </c>
      <c r="Y436" s="2">
        <f t="shared" si="38"/>
        <v>100</v>
      </c>
      <c r="Z436" s="2" t="str">
        <f t="shared" si="39"/>
        <v/>
      </c>
      <c r="AA436" s="2" t="str">
        <f t="shared" si="40"/>
        <v/>
      </c>
      <c r="AB436" s="2" t="str">
        <f t="shared" si="41"/>
        <v>Fully Accessible</v>
      </c>
      <c r="AC436" s="2">
        <f t="shared" si="42"/>
        <v>0</v>
      </c>
      <c r="AO436" s="6"/>
      <c r="AP436" s="6"/>
      <c r="AQ436" s="6"/>
      <c r="AS436" s="6"/>
      <c r="AT436" s="6"/>
      <c r="AU436" s="6"/>
      <c r="AX436" s="2">
        <f t="shared" si="43"/>
        <v>133746.15625</v>
      </c>
      <c r="AY436" s="2">
        <f t="shared" si="44"/>
        <v>166.52899932999998</v>
      </c>
      <c r="AZ436" s="2">
        <f t="shared" si="45"/>
        <v>133579.62725066999</v>
      </c>
      <c r="BA436" s="16"/>
    </row>
    <row r="437" spans="1:53" x14ac:dyDescent="0.25">
      <c r="A437" s="2" t="s">
        <v>279</v>
      </c>
      <c r="B437" s="2">
        <v>2020</v>
      </c>
      <c r="C437" s="2">
        <v>67886.007809999996</v>
      </c>
      <c r="D437" s="2">
        <v>83.902999879999996</v>
      </c>
      <c r="E437" s="2">
        <v>99.999998559999995</v>
      </c>
      <c r="F437" s="2">
        <v>0</v>
      </c>
      <c r="G437" s="2">
        <v>1.4385328199999999E-6</v>
      </c>
      <c r="H437" s="2">
        <v>0</v>
      </c>
      <c r="I437" s="2">
        <v>100</v>
      </c>
      <c r="J437" s="2">
        <v>0</v>
      </c>
      <c r="K437" s="2">
        <v>0</v>
      </c>
      <c r="L437" s="2">
        <v>0</v>
      </c>
      <c r="M437" s="2">
        <v>100</v>
      </c>
      <c r="N437" s="2">
        <v>0</v>
      </c>
      <c r="O437" s="2">
        <v>0</v>
      </c>
      <c r="P437" s="2">
        <v>0</v>
      </c>
      <c r="Q437" s="2" t="str">
        <f t="shared" si="32"/>
        <v>United Kingdom|2020</v>
      </c>
      <c r="R437" s="2" t="str">
        <f t="shared" si="33"/>
        <v xml:space="preserve"> </v>
      </c>
      <c r="T437" s="2" t="b">
        <f t="shared" si="34"/>
        <v>0</v>
      </c>
      <c r="U437" s="2" t="b">
        <f t="shared" si="46"/>
        <v>0</v>
      </c>
      <c r="V437" s="2" t="b">
        <f t="shared" si="35"/>
        <v>0</v>
      </c>
      <c r="W437" s="2">
        <f t="shared" si="36"/>
        <v>100</v>
      </c>
      <c r="X437" s="2">
        <f t="shared" si="37"/>
        <v>100</v>
      </c>
      <c r="Y437" s="2">
        <f t="shared" si="38"/>
        <v>100</v>
      </c>
      <c r="Z437" s="2" t="str">
        <f t="shared" si="39"/>
        <v/>
      </c>
      <c r="AA437" s="2" t="str">
        <f t="shared" si="40"/>
        <v/>
      </c>
      <c r="AB437" s="2" t="str">
        <f t="shared" si="41"/>
        <v/>
      </c>
      <c r="AC437" s="2">
        <f t="shared" si="42"/>
        <v>0</v>
      </c>
      <c r="AO437" s="6"/>
      <c r="AP437" s="6"/>
      <c r="AQ437" s="6"/>
      <c r="AS437" s="6"/>
      <c r="AT437" s="6"/>
      <c r="AU437" s="6"/>
      <c r="AX437" s="2" t="str">
        <f t="shared" si="43"/>
        <v>null</v>
      </c>
      <c r="AY437" s="2" t="str">
        <f t="shared" si="44"/>
        <v>null</v>
      </c>
      <c r="AZ437" s="2" t="str">
        <f t="shared" si="45"/>
        <v>null</v>
      </c>
      <c r="BA437" s="16"/>
    </row>
    <row r="438" spans="1:53" x14ac:dyDescent="0.25">
      <c r="A438" s="2" t="s">
        <v>280</v>
      </c>
      <c r="B438" s="2">
        <v>2015</v>
      </c>
      <c r="C438" s="2">
        <v>51482.636720000002</v>
      </c>
      <c r="D438" s="2">
        <v>31.617000579999999</v>
      </c>
      <c r="E438" s="2">
        <v>52.963794589999999</v>
      </c>
      <c r="F438" s="2">
        <v>11.30893693</v>
      </c>
      <c r="G438" s="2">
        <v>21.385247880000001</v>
      </c>
      <c r="H438" s="2">
        <v>14.3420206</v>
      </c>
      <c r="I438" s="2">
        <v>38.863424559999999</v>
      </c>
      <c r="J438" s="2">
        <v>13.19289824</v>
      </c>
      <c r="K438" s="2">
        <v>28.1932841</v>
      </c>
      <c r="L438" s="2">
        <v>19.750393110000001</v>
      </c>
      <c r="M438" s="2">
        <v>83.4608554</v>
      </c>
      <c r="N438" s="2">
        <v>7.2342011279999996</v>
      </c>
      <c r="O438" s="2">
        <v>6.6604502999999999</v>
      </c>
      <c r="P438" s="2">
        <v>2.6444931710000001</v>
      </c>
      <c r="Q438" s="2" t="str">
        <f t="shared" si="32"/>
        <v>United Republic of Tanzania|2015</v>
      </c>
      <c r="R438" s="2">
        <f t="shared" si="33"/>
        <v>5</v>
      </c>
      <c r="T438" s="2">
        <f t="shared" si="34"/>
        <v>1.5506005999999999</v>
      </c>
      <c r="U438" s="2">
        <f t="shared" si="46"/>
        <v>1.316708156</v>
      </c>
      <c r="V438" s="2">
        <f t="shared" si="35"/>
        <v>1.0666138999999988</v>
      </c>
      <c r="W438" s="2">
        <f t="shared" si="36"/>
        <v>53</v>
      </c>
      <c r="X438" s="2">
        <f t="shared" si="37"/>
        <v>39</v>
      </c>
      <c r="Y438" s="2">
        <f t="shared" si="38"/>
        <v>83</v>
      </c>
      <c r="Z438" s="2" t="str">
        <f t="shared" si="39"/>
        <v/>
      </c>
      <c r="AA438" s="2" t="str">
        <f t="shared" si="40"/>
        <v/>
      </c>
      <c r="AB438" s="2" t="str">
        <f t="shared" si="41"/>
        <v>Fully Accessible</v>
      </c>
      <c r="AC438" s="2">
        <f t="shared" si="42"/>
        <v>0.25009425600000124</v>
      </c>
      <c r="AO438" s="6"/>
      <c r="AP438" s="6"/>
      <c r="AQ438" s="6"/>
      <c r="AS438" s="6"/>
      <c r="AT438" s="6"/>
      <c r="AU438" s="6"/>
      <c r="AX438" s="2">
        <f t="shared" si="43"/>
        <v>111216.85156000001</v>
      </c>
      <c r="AY438" s="2">
        <f t="shared" si="44"/>
        <v>66.844001770000006</v>
      </c>
      <c r="AZ438" s="2">
        <f t="shared" si="45"/>
        <v>111150.00755823001</v>
      </c>
      <c r="BA438" s="6"/>
    </row>
    <row r="439" spans="1:53" x14ac:dyDescent="0.25">
      <c r="A439" s="2" t="s">
        <v>280</v>
      </c>
      <c r="B439" s="2">
        <v>2020</v>
      </c>
      <c r="C439" s="2">
        <v>59734.214840000001</v>
      </c>
      <c r="D439" s="2">
        <v>35.227001190000003</v>
      </c>
      <c r="E439" s="2">
        <v>60.716797589999999</v>
      </c>
      <c r="F439" s="2">
        <v>11.29007067</v>
      </c>
      <c r="G439" s="2">
        <v>14.51775136</v>
      </c>
      <c r="H439" s="2">
        <v>13.475380380000001</v>
      </c>
      <c r="I439" s="2">
        <v>45.446965339999998</v>
      </c>
      <c r="J439" s="2">
        <v>13.98368881</v>
      </c>
      <c r="K439" s="2">
        <v>21.21996133</v>
      </c>
      <c r="L439" s="2">
        <v>19.349384520000001</v>
      </c>
      <c r="M439" s="2">
        <v>88.793924899999993</v>
      </c>
      <c r="N439" s="2">
        <v>6.3372311659999996</v>
      </c>
      <c r="O439" s="2">
        <v>2.1941787860000002</v>
      </c>
      <c r="P439" s="2">
        <v>2.6746651520000002</v>
      </c>
      <c r="Q439" s="2" t="str">
        <f t="shared" si="32"/>
        <v>United Republic of Tanzania|2020</v>
      </c>
      <c r="R439" s="2" t="str">
        <f t="shared" si="33"/>
        <v xml:space="preserve"> </v>
      </c>
      <c r="T439" s="2" t="b">
        <f t="shared" si="34"/>
        <v>0</v>
      </c>
      <c r="U439" s="2" t="b">
        <f t="shared" si="46"/>
        <v>0</v>
      </c>
      <c r="V439" s="2" t="b">
        <f t="shared" si="35"/>
        <v>0</v>
      </c>
      <c r="W439" s="2">
        <f t="shared" si="36"/>
        <v>61</v>
      </c>
      <c r="X439" s="2">
        <f t="shared" si="37"/>
        <v>45</v>
      </c>
      <c r="Y439" s="2">
        <f t="shared" si="38"/>
        <v>89</v>
      </c>
      <c r="Z439" s="2" t="str">
        <f t="shared" si="39"/>
        <v/>
      </c>
      <c r="AA439" s="2" t="str">
        <f t="shared" si="40"/>
        <v/>
      </c>
      <c r="AB439" s="2" t="str">
        <f t="shared" si="41"/>
        <v/>
      </c>
      <c r="AC439" s="2">
        <f t="shared" si="42"/>
        <v>0</v>
      </c>
      <c r="AO439" s="6"/>
      <c r="AP439" s="6"/>
      <c r="AQ439" s="6"/>
      <c r="AS439" s="6"/>
      <c r="AT439" s="6"/>
      <c r="AU439" s="6"/>
      <c r="AX439" s="2" t="str">
        <f t="shared" si="43"/>
        <v>null</v>
      </c>
      <c r="AY439" s="2" t="str">
        <f t="shared" si="44"/>
        <v>null</v>
      </c>
      <c r="AZ439" s="2" t="str">
        <f t="shared" si="45"/>
        <v>null</v>
      </c>
      <c r="BA439" s="6"/>
    </row>
    <row r="440" spans="1:53" x14ac:dyDescent="0.25">
      <c r="A440" s="2" t="s">
        <v>282</v>
      </c>
      <c r="B440" s="2">
        <v>2015</v>
      </c>
      <c r="C440" s="2">
        <v>320878.3125</v>
      </c>
      <c r="D440" s="2">
        <v>81.671005249999993</v>
      </c>
      <c r="E440" s="2">
        <v>99.447157759999996</v>
      </c>
      <c r="F440" s="2">
        <v>0</v>
      </c>
      <c r="G440" s="2">
        <v>0.55284223720000003</v>
      </c>
      <c r="H440" s="2">
        <v>0</v>
      </c>
      <c r="I440" s="2">
        <v>97.780118509999994</v>
      </c>
      <c r="J440" s="2">
        <v>0</v>
      </c>
      <c r="K440" s="2">
        <v>2.2198814850000002</v>
      </c>
      <c r="L440" s="2">
        <v>0</v>
      </c>
      <c r="M440" s="2">
        <v>99.821279809999993</v>
      </c>
      <c r="N440" s="2">
        <v>0</v>
      </c>
      <c r="O440" s="2">
        <v>0.1787201944</v>
      </c>
      <c r="P440" s="2">
        <v>0</v>
      </c>
      <c r="Q440" s="2" t="str">
        <f t="shared" si="32"/>
        <v>United States of America|2015</v>
      </c>
      <c r="R440" s="2">
        <f t="shared" si="33"/>
        <v>5</v>
      </c>
      <c r="T440" s="2">
        <f t="shared" si="34"/>
        <v>8.7273784000001339E-2</v>
      </c>
      <c r="U440" s="2">
        <f t="shared" si="46"/>
        <v>0.37813376600000198</v>
      </c>
      <c r="V440" s="2">
        <f t="shared" si="35"/>
        <v>2.1372932000002721E-2</v>
      </c>
      <c r="W440" s="2">
        <f t="shared" si="36"/>
        <v>99</v>
      </c>
      <c r="X440" s="2">
        <f t="shared" si="37"/>
        <v>98</v>
      </c>
      <c r="Y440" s="2">
        <f t="shared" si="38"/>
        <v>100</v>
      </c>
      <c r="Z440" s="2" t="str">
        <f t="shared" si="39"/>
        <v/>
      </c>
      <c r="AA440" s="2" t="str">
        <f t="shared" si="40"/>
        <v/>
      </c>
      <c r="AB440" s="2" t="str">
        <f t="shared" si="41"/>
        <v>Fully Accessible</v>
      </c>
      <c r="AC440" s="2">
        <f t="shared" si="42"/>
        <v>0.35676083399999925</v>
      </c>
      <c r="AO440" s="6"/>
      <c r="AP440" s="6"/>
      <c r="AQ440" s="6"/>
      <c r="AS440" s="6"/>
      <c r="AT440" s="6"/>
      <c r="AU440" s="6"/>
      <c r="AX440" s="2">
        <f t="shared" si="43"/>
        <v>651880.96879999992</v>
      </c>
      <c r="AY440" s="2">
        <f t="shared" si="44"/>
        <v>164.33500670999999</v>
      </c>
      <c r="AZ440" s="2">
        <f t="shared" si="45"/>
        <v>651716.63379328989</v>
      </c>
      <c r="BA440" s="6"/>
    </row>
    <row r="441" spans="1:53" x14ac:dyDescent="0.25">
      <c r="A441" s="2" t="s">
        <v>282</v>
      </c>
      <c r="B441" s="2">
        <v>2020</v>
      </c>
      <c r="C441" s="2">
        <v>331002.65629999997</v>
      </c>
      <c r="D441" s="2">
        <v>82.664001459999994</v>
      </c>
      <c r="E441" s="2">
        <v>99.883526680000003</v>
      </c>
      <c r="F441" s="2">
        <v>0</v>
      </c>
      <c r="G441" s="2">
        <v>0.1164733182</v>
      </c>
      <c r="H441" s="2">
        <v>0</v>
      </c>
      <c r="I441" s="2">
        <v>99.670787340000004</v>
      </c>
      <c r="J441" s="2">
        <v>0</v>
      </c>
      <c r="K441" s="2">
        <v>0.3292126628</v>
      </c>
      <c r="L441" s="2">
        <v>0</v>
      </c>
      <c r="M441" s="2">
        <v>99.928144470000007</v>
      </c>
      <c r="N441" s="2">
        <v>0</v>
      </c>
      <c r="O441" s="2">
        <v>7.1855529599999995E-2</v>
      </c>
      <c r="P441" s="2">
        <v>0</v>
      </c>
      <c r="Q441" s="2" t="str">
        <f t="shared" si="32"/>
        <v>United States of America|2020</v>
      </c>
      <c r="R441" s="2" t="str">
        <f t="shared" si="33"/>
        <v xml:space="preserve"> </v>
      </c>
      <c r="T441" s="2" t="b">
        <f t="shared" si="34"/>
        <v>0</v>
      </c>
      <c r="U441" s="2" t="b">
        <f t="shared" si="46"/>
        <v>0</v>
      </c>
      <c r="V441" s="2" t="b">
        <f t="shared" si="35"/>
        <v>0</v>
      </c>
      <c r="W441" s="2">
        <f t="shared" si="36"/>
        <v>100</v>
      </c>
      <c r="X441" s="2">
        <f t="shared" si="37"/>
        <v>100</v>
      </c>
      <c r="Y441" s="2">
        <f t="shared" si="38"/>
        <v>100</v>
      </c>
      <c r="Z441" s="2" t="str">
        <f t="shared" si="39"/>
        <v/>
      </c>
      <c r="AA441" s="2" t="str">
        <f t="shared" si="40"/>
        <v/>
      </c>
      <c r="AB441" s="2" t="str">
        <f t="shared" si="41"/>
        <v/>
      </c>
      <c r="AC441" s="2">
        <f t="shared" si="42"/>
        <v>0</v>
      </c>
      <c r="AO441" s="6"/>
      <c r="AP441" s="6"/>
      <c r="AQ441" s="6"/>
      <c r="AS441" s="6"/>
      <c r="AT441" s="6"/>
      <c r="AU441" s="6"/>
      <c r="AX441" s="2" t="str">
        <f t="shared" si="43"/>
        <v>null</v>
      </c>
      <c r="AY441" s="2" t="str">
        <f t="shared" si="44"/>
        <v>null</v>
      </c>
      <c r="AZ441" s="2" t="str">
        <f t="shared" si="45"/>
        <v>null</v>
      </c>
      <c r="BA441" s="6"/>
    </row>
    <row r="442" spans="1:53" x14ac:dyDescent="0.25">
      <c r="A442" s="2" t="s">
        <v>283</v>
      </c>
      <c r="B442" s="2">
        <v>2015</v>
      </c>
      <c r="C442" s="2">
        <v>104.9499969</v>
      </c>
      <c r="D442" s="2">
        <v>95.349998470000003</v>
      </c>
      <c r="E442" s="2">
        <v>98.718272810000002</v>
      </c>
      <c r="F442" s="2">
        <v>0</v>
      </c>
      <c r="G442" s="2">
        <v>1.2817271859999999</v>
      </c>
      <c r="H442" s="2">
        <v>0</v>
      </c>
      <c r="I442" s="2" t="s">
        <v>64</v>
      </c>
      <c r="J442" s="2" t="s">
        <v>64</v>
      </c>
      <c r="K442" s="2" t="s">
        <v>64</v>
      </c>
      <c r="L442" s="2" t="s">
        <v>64</v>
      </c>
      <c r="M442" s="2" t="s">
        <v>64</v>
      </c>
      <c r="N442" s="2" t="s">
        <v>64</v>
      </c>
      <c r="O442" s="2" t="s">
        <v>64</v>
      </c>
      <c r="P442" s="2" t="s">
        <v>64</v>
      </c>
      <c r="Q442" s="2" t="str">
        <f t="shared" si="32"/>
        <v>United States Virgin Islands|2015</v>
      </c>
      <c r="R442" s="2">
        <f t="shared" si="33"/>
        <v>5</v>
      </c>
      <c r="T442" s="2">
        <f t="shared" si="34"/>
        <v>-1.0860000003276582E-6</v>
      </c>
      <c r="U442" s="2" t="str">
        <f t="shared" si="46"/>
        <v>null</v>
      </c>
      <c r="V442" s="2" t="str">
        <f t="shared" si="35"/>
        <v>null</v>
      </c>
      <c r="W442" s="2">
        <f t="shared" si="36"/>
        <v>99</v>
      </c>
      <c r="X442" s="2" t="b">
        <f t="shared" si="37"/>
        <v>0</v>
      </c>
      <c r="Y442" s="2" t="b">
        <f t="shared" si="38"/>
        <v>0</v>
      </c>
      <c r="Z442" s="2" t="str">
        <f t="shared" si="39"/>
        <v/>
      </c>
      <c r="AA442" s="2" t="str">
        <f t="shared" si="40"/>
        <v>Fully Accessible</v>
      </c>
      <c r="AB442" s="2" t="str">
        <f t="shared" si="41"/>
        <v>Fully Accessible</v>
      </c>
      <c r="AC442" s="2" t="b">
        <f t="shared" si="42"/>
        <v>0</v>
      </c>
      <c r="AO442" s="6"/>
      <c r="AP442" s="6"/>
      <c r="AQ442" s="6"/>
      <c r="AS442" s="6"/>
      <c r="AT442" s="6"/>
      <c r="AU442" s="6"/>
      <c r="AX442" s="2">
        <f t="shared" si="43"/>
        <v>209.37299339999998</v>
      </c>
      <c r="AY442" s="2">
        <f t="shared" si="44"/>
        <v>191.28900146000001</v>
      </c>
      <c r="AZ442" s="2">
        <f t="shared" si="45"/>
        <v>18.083991939999976</v>
      </c>
      <c r="BA442" s="16"/>
    </row>
    <row r="443" spans="1:53" x14ac:dyDescent="0.25">
      <c r="A443" s="2" t="s">
        <v>283</v>
      </c>
      <c r="B443" s="2">
        <v>2020</v>
      </c>
      <c r="C443" s="2">
        <v>104.4229965</v>
      </c>
      <c r="D443" s="2">
        <v>95.939002990000006</v>
      </c>
      <c r="E443" s="2">
        <v>98.71826738</v>
      </c>
      <c r="F443" s="2">
        <v>0</v>
      </c>
      <c r="G443" s="2">
        <v>1.281732624</v>
      </c>
      <c r="H443" s="2">
        <v>0</v>
      </c>
      <c r="I443" s="2" t="s">
        <v>64</v>
      </c>
      <c r="J443" s="2" t="s">
        <v>64</v>
      </c>
      <c r="K443" s="2" t="s">
        <v>64</v>
      </c>
      <c r="L443" s="2" t="s">
        <v>64</v>
      </c>
      <c r="M443" s="2" t="s">
        <v>64</v>
      </c>
      <c r="N443" s="2" t="s">
        <v>64</v>
      </c>
      <c r="O443" s="2" t="s">
        <v>64</v>
      </c>
      <c r="P443" s="2" t="s">
        <v>64</v>
      </c>
      <c r="Q443" s="2" t="str">
        <f t="shared" si="32"/>
        <v>United States Virgin Islands|2020</v>
      </c>
      <c r="R443" s="2" t="str">
        <f t="shared" si="33"/>
        <v xml:space="preserve"> </v>
      </c>
      <c r="T443" s="2" t="b">
        <f t="shared" si="34"/>
        <v>0</v>
      </c>
      <c r="U443" s="2" t="b">
        <f t="shared" si="46"/>
        <v>0</v>
      </c>
      <c r="V443" s="2" t="b">
        <f t="shared" si="35"/>
        <v>0</v>
      </c>
      <c r="W443" s="2">
        <f t="shared" si="36"/>
        <v>99</v>
      </c>
      <c r="X443" s="2" t="b">
        <f t="shared" si="37"/>
        <v>0</v>
      </c>
      <c r="Y443" s="2" t="b">
        <f t="shared" si="38"/>
        <v>0</v>
      </c>
      <c r="Z443" s="2" t="str">
        <f t="shared" si="39"/>
        <v/>
      </c>
      <c r="AA443" s="2" t="str">
        <f t="shared" si="40"/>
        <v/>
      </c>
      <c r="AB443" s="2" t="str">
        <f t="shared" si="41"/>
        <v/>
      </c>
      <c r="AC443" s="2">
        <f t="shared" si="42"/>
        <v>0</v>
      </c>
      <c r="AO443" s="6"/>
      <c r="AP443" s="6"/>
      <c r="AQ443" s="6"/>
      <c r="AS443" s="6"/>
      <c r="AT443" s="6"/>
      <c r="AU443" s="6"/>
      <c r="AX443" s="2" t="str">
        <f t="shared" si="43"/>
        <v>null</v>
      </c>
      <c r="AY443" s="2" t="str">
        <f t="shared" si="44"/>
        <v>null</v>
      </c>
      <c r="AZ443" s="2" t="str">
        <f t="shared" si="45"/>
        <v>null</v>
      </c>
      <c r="BA443" s="6"/>
    </row>
    <row r="444" spans="1:53" x14ac:dyDescent="0.25">
      <c r="A444" s="2" t="s">
        <v>284</v>
      </c>
      <c r="B444" s="2">
        <v>2015</v>
      </c>
      <c r="C444" s="2">
        <v>3412.0129390000002</v>
      </c>
      <c r="D444" s="2">
        <v>95.04499817</v>
      </c>
      <c r="E444" s="2">
        <v>99.131397559999996</v>
      </c>
      <c r="F444" s="2">
        <v>0.53810473530000003</v>
      </c>
      <c r="G444" s="2">
        <v>0.30749747300000002</v>
      </c>
      <c r="H444" s="2">
        <v>2.3000230189999998E-2</v>
      </c>
      <c r="I444" s="2">
        <v>91.495843840000006</v>
      </c>
      <c r="J444" s="2">
        <v>4.5115506810000001</v>
      </c>
      <c r="K444" s="2">
        <v>3.5284232109999998</v>
      </c>
      <c r="L444" s="2">
        <v>0.46418227099999998</v>
      </c>
      <c r="M444" s="2">
        <v>99.529461979999994</v>
      </c>
      <c r="N444" s="2">
        <v>0.3309562908</v>
      </c>
      <c r="O444" s="2">
        <v>0.13958172699999999</v>
      </c>
      <c r="P444" s="2">
        <v>0</v>
      </c>
      <c r="Q444" s="2" t="str">
        <f t="shared" si="32"/>
        <v>Uruguay|2015</v>
      </c>
      <c r="R444" s="2">
        <f t="shared" si="33"/>
        <v>5</v>
      </c>
      <c r="T444" s="2">
        <f t="shared" si="34"/>
        <v>7.2872000000000978E-2</v>
      </c>
      <c r="U444" s="2">
        <f t="shared" si="46"/>
        <v>0.76099723199999969</v>
      </c>
      <c r="V444" s="2">
        <f t="shared" si="35"/>
        <v>3.2654492000000347E-2</v>
      </c>
      <c r="W444" s="2">
        <f t="shared" si="36"/>
        <v>99</v>
      </c>
      <c r="X444" s="2">
        <f t="shared" si="37"/>
        <v>91</v>
      </c>
      <c r="Y444" s="2">
        <f t="shared" si="38"/>
        <v>100</v>
      </c>
      <c r="Z444" s="2" t="str">
        <f t="shared" si="39"/>
        <v/>
      </c>
      <c r="AA444" s="2" t="str">
        <f t="shared" si="40"/>
        <v/>
      </c>
      <c r="AB444" s="2" t="str">
        <f t="shared" si="41"/>
        <v>Fully Accessible</v>
      </c>
      <c r="AC444" s="2">
        <f t="shared" si="42"/>
        <v>0.72834273999999932</v>
      </c>
      <c r="AO444" s="6"/>
      <c r="AP444" s="6"/>
      <c r="AQ444" s="6"/>
      <c r="AS444" s="6"/>
      <c r="AT444" s="6"/>
      <c r="AU444" s="6"/>
      <c r="AX444" s="2">
        <f t="shared" si="43"/>
        <v>6885.73999</v>
      </c>
      <c r="AY444" s="2">
        <f t="shared" si="44"/>
        <v>190.55999756</v>
      </c>
      <c r="AZ444" s="2">
        <f t="shared" si="45"/>
        <v>6695.1799924400002</v>
      </c>
      <c r="BA444" s="16"/>
    </row>
    <row r="445" spans="1:53" x14ac:dyDescent="0.25">
      <c r="A445" s="2" t="s">
        <v>284</v>
      </c>
      <c r="B445" s="2">
        <v>2020</v>
      </c>
      <c r="C445" s="2">
        <v>3473.7270509999998</v>
      </c>
      <c r="D445" s="2">
        <v>95.51499939</v>
      </c>
      <c r="E445" s="2">
        <v>99.495757560000001</v>
      </c>
      <c r="F445" s="2">
        <v>0.50424244119999995</v>
      </c>
      <c r="G445" s="2">
        <v>0</v>
      </c>
      <c r="H445" s="2">
        <v>0</v>
      </c>
      <c r="I445" s="2">
        <v>95.300830000000005</v>
      </c>
      <c r="J445" s="2">
        <v>4.6991699999999996</v>
      </c>
      <c r="K445" s="2">
        <v>0</v>
      </c>
      <c r="L445" s="2">
        <v>0</v>
      </c>
      <c r="M445" s="2">
        <v>99.692734439999995</v>
      </c>
      <c r="N445" s="2">
        <v>0.30726556170000002</v>
      </c>
      <c r="O445" s="2">
        <v>0</v>
      </c>
      <c r="P445" s="2">
        <v>0</v>
      </c>
      <c r="Q445" s="2" t="str">
        <f t="shared" si="32"/>
        <v>Uruguay|2020</v>
      </c>
      <c r="R445" s="2" t="str">
        <f t="shared" si="33"/>
        <v xml:space="preserve"> </v>
      </c>
      <c r="T445" s="2" t="b">
        <f t="shared" si="34"/>
        <v>0</v>
      </c>
      <c r="U445" s="2" t="b">
        <f t="shared" si="46"/>
        <v>0</v>
      </c>
      <c r="V445" s="2" t="b">
        <f t="shared" si="35"/>
        <v>0</v>
      </c>
      <c r="W445" s="2">
        <f t="shared" si="36"/>
        <v>99</v>
      </c>
      <c r="X445" s="2">
        <f t="shared" si="37"/>
        <v>95</v>
      </c>
      <c r="Y445" s="2">
        <f t="shared" si="38"/>
        <v>100</v>
      </c>
      <c r="Z445" s="2" t="str">
        <f t="shared" si="39"/>
        <v/>
      </c>
      <c r="AA445" s="2" t="str">
        <f t="shared" si="40"/>
        <v/>
      </c>
      <c r="AB445" s="2" t="str">
        <f t="shared" si="41"/>
        <v/>
      </c>
      <c r="AC445" s="2">
        <f t="shared" si="42"/>
        <v>0</v>
      </c>
      <c r="AO445" s="6"/>
      <c r="AP445" s="6"/>
      <c r="AQ445" s="6"/>
      <c r="AS445" s="6"/>
      <c r="AT445" s="6"/>
      <c r="AU445" s="6"/>
      <c r="AX445" s="2" t="str">
        <f t="shared" si="43"/>
        <v>null</v>
      </c>
      <c r="AY445" s="2" t="str">
        <f t="shared" si="44"/>
        <v>null</v>
      </c>
      <c r="AZ445" s="2" t="str">
        <f t="shared" si="45"/>
        <v>null</v>
      </c>
      <c r="BA445" s="16"/>
    </row>
    <row r="446" spans="1:53" x14ac:dyDescent="0.25">
      <c r="A446" s="2" t="s">
        <v>285</v>
      </c>
      <c r="B446" s="2">
        <v>2015</v>
      </c>
      <c r="C446" s="2">
        <v>30929.556639999999</v>
      </c>
      <c r="D446" s="2">
        <v>50.75</v>
      </c>
      <c r="E446" s="2">
        <v>97.528578260000003</v>
      </c>
      <c r="F446" s="2">
        <v>0</v>
      </c>
      <c r="G446" s="2">
        <v>0</v>
      </c>
      <c r="H446" s="2">
        <v>2.4714217359999999</v>
      </c>
      <c r="I446" s="2">
        <v>95.642391549999999</v>
      </c>
      <c r="J446" s="2">
        <v>0</v>
      </c>
      <c r="K446" s="2">
        <v>0</v>
      </c>
      <c r="L446" s="2">
        <v>4.3576084509999999</v>
      </c>
      <c r="M446" s="2">
        <v>99.359015619999994</v>
      </c>
      <c r="N446" s="2">
        <v>0</v>
      </c>
      <c r="O446" s="2">
        <v>0</v>
      </c>
      <c r="P446" s="2">
        <v>0.64098438430000004</v>
      </c>
      <c r="Q446" s="2" t="str">
        <f t="shared" si="32"/>
        <v>Uzbekistan|2015</v>
      </c>
      <c r="R446" s="2">
        <f t="shared" si="33"/>
        <v>5</v>
      </c>
      <c r="T446" s="2">
        <f t="shared" si="34"/>
        <v>6.0041318000000385E-2</v>
      </c>
      <c r="U446" s="2">
        <f t="shared" si="46"/>
        <v>8.6038161999999835E-2</v>
      </c>
      <c r="V446" s="2">
        <f t="shared" si="35"/>
        <v>3.9397988000001757E-2</v>
      </c>
      <c r="W446" s="2">
        <f t="shared" si="36"/>
        <v>98</v>
      </c>
      <c r="X446" s="2">
        <f t="shared" si="37"/>
        <v>96</v>
      </c>
      <c r="Y446" s="2">
        <f t="shared" si="38"/>
        <v>99</v>
      </c>
      <c r="Z446" s="2" t="str">
        <f t="shared" si="39"/>
        <v/>
      </c>
      <c r="AA446" s="2" t="str">
        <f t="shared" si="40"/>
        <v/>
      </c>
      <c r="AB446" s="2" t="str">
        <f t="shared" si="41"/>
        <v>Fully Accessible</v>
      </c>
      <c r="AC446" s="2">
        <f t="shared" si="42"/>
        <v>4.6640173999998077E-2</v>
      </c>
      <c r="AO446" s="6"/>
      <c r="AP446" s="6"/>
      <c r="AQ446" s="6"/>
      <c r="AS446" s="6"/>
      <c r="AT446" s="6"/>
      <c r="AU446" s="6"/>
      <c r="AX446" s="2">
        <f t="shared" si="43"/>
        <v>64398.755860000005</v>
      </c>
      <c r="AY446" s="2">
        <f t="shared" si="44"/>
        <v>101.16599655</v>
      </c>
      <c r="AZ446" s="2">
        <f t="shared" si="45"/>
        <v>64297.589863450004</v>
      </c>
      <c r="BA446" s="6"/>
    </row>
    <row r="447" spans="1:53" x14ac:dyDescent="0.25">
      <c r="A447" s="2" t="s">
        <v>285</v>
      </c>
      <c r="B447" s="2">
        <v>2020</v>
      </c>
      <c r="C447" s="2">
        <v>33469.199220000002</v>
      </c>
      <c r="D447" s="2">
        <v>50.415996550000003</v>
      </c>
      <c r="E447" s="2">
        <v>97.828784850000005</v>
      </c>
      <c r="F447" s="2">
        <v>0</v>
      </c>
      <c r="G447" s="2">
        <v>0.22384422000000001</v>
      </c>
      <c r="H447" s="2">
        <v>1.947370925</v>
      </c>
      <c r="I447" s="2">
        <v>96.072582359999998</v>
      </c>
      <c r="J447" s="2">
        <v>0</v>
      </c>
      <c r="K447" s="2">
        <v>0</v>
      </c>
      <c r="L447" s="2">
        <v>3.927417637</v>
      </c>
      <c r="M447" s="2">
        <v>99.556005560000003</v>
      </c>
      <c r="N447" s="2">
        <v>0</v>
      </c>
      <c r="O447" s="2">
        <v>0.44399444339999999</v>
      </c>
      <c r="P447" s="2">
        <v>0</v>
      </c>
      <c r="Q447" s="2" t="str">
        <f t="shared" si="32"/>
        <v>Uzbekistan|2020</v>
      </c>
      <c r="R447" s="2" t="str">
        <f t="shared" si="33"/>
        <v xml:space="preserve"> </v>
      </c>
      <c r="T447" s="2" t="b">
        <f t="shared" si="34"/>
        <v>0</v>
      </c>
      <c r="U447" s="2" t="b">
        <f t="shared" si="46"/>
        <v>0</v>
      </c>
      <c r="V447" s="2" t="b">
        <f t="shared" si="35"/>
        <v>0</v>
      </c>
      <c r="W447" s="2">
        <f t="shared" si="36"/>
        <v>98</v>
      </c>
      <c r="X447" s="2">
        <f t="shared" si="37"/>
        <v>96</v>
      </c>
      <c r="Y447" s="2">
        <f t="shared" si="38"/>
        <v>100</v>
      </c>
      <c r="Z447" s="2" t="str">
        <f t="shared" si="39"/>
        <v/>
      </c>
      <c r="AA447" s="2" t="str">
        <f t="shared" si="40"/>
        <v/>
      </c>
      <c r="AB447" s="2" t="str">
        <f t="shared" si="41"/>
        <v/>
      </c>
      <c r="AC447" s="2">
        <f t="shared" si="42"/>
        <v>0</v>
      </c>
      <c r="AO447" s="6"/>
      <c r="AP447" s="6"/>
      <c r="AQ447" s="6"/>
      <c r="AS447" s="6"/>
      <c r="AT447" s="6"/>
      <c r="AU447" s="6"/>
      <c r="AX447" s="2" t="str">
        <f t="shared" si="43"/>
        <v>null</v>
      </c>
      <c r="AY447" s="2" t="str">
        <f t="shared" si="44"/>
        <v>null</v>
      </c>
      <c r="AZ447" s="2" t="str">
        <f t="shared" si="45"/>
        <v>null</v>
      </c>
      <c r="BA447" s="6"/>
    </row>
    <row r="448" spans="1:53" x14ac:dyDescent="0.25">
      <c r="A448" s="2" t="s">
        <v>286</v>
      </c>
      <c r="B448" s="2">
        <v>2015</v>
      </c>
      <c r="C448" s="2">
        <v>271.1279907</v>
      </c>
      <c r="D448" s="2">
        <v>24.961002350000001</v>
      </c>
      <c r="E448" s="2">
        <v>89.988176490000001</v>
      </c>
      <c r="F448" s="2">
        <v>1.05094321</v>
      </c>
      <c r="G448" s="2">
        <v>1.545004807</v>
      </c>
      <c r="H448" s="2">
        <v>7.4158754880000002</v>
      </c>
      <c r="I448" s="2">
        <v>86.978050659999994</v>
      </c>
      <c r="J448" s="2">
        <v>1.234982464</v>
      </c>
      <c r="K448" s="2">
        <v>1.9042720630000001</v>
      </c>
      <c r="L448" s="2">
        <v>9.8826948130000005</v>
      </c>
      <c r="M448" s="2">
        <v>99.037355989999995</v>
      </c>
      <c r="N448" s="2">
        <v>0.49767515569999998</v>
      </c>
      <c r="O448" s="2">
        <v>0.46496885310000002</v>
      </c>
      <c r="P448" s="2">
        <v>0</v>
      </c>
      <c r="Q448" s="2" t="str">
        <f t="shared" si="32"/>
        <v>Vanuatu|2015</v>
      </c>
      <c r="R448" s="2">
        <f t="shared" si="33"/>
        <v>5</v>
      </c>
      <c r="T448" s="2">
        <f t="shared" si="34"/>
        <v>0.24860285199999907</v>
      </c>
      <c r="U448" s="2">
        <f t="shared" si="46"/>
        <v>0.28383011399999986</v>
      </c>
      <c r="V448" s="2">
        <f t="shared" si="35"/>
        <v>9.2528802000001062E-2</v>
      </c>
      <c r="W448" s="2">
        <f t="shared" si="36"/>
        <v>90</v>
      </c>
      <c r="X448" s="2">
        <f t="shared" si="37"/>
        <v>87</v>
      </c>
      <c r="Y448" s="2">
        <f t="shared" si="38"/>
        <v>99</v>
      </c>
      <c r="Z448" s="2" t="str">
        <f t="shared" si="39"/>
        <v/>
      </c>
      <c r="AA448" s="2" t="str">
        <f t="shared" si="40"/>
        <v/>
      </c>
      <c r="AB448" s="2" t="str">
        <f t="shared" si="41"/>
        <v>Fully Accessible</v>
      </c>
      <c r="AC448" s="2">
        <f t="shared" si="42"/>
        <v>0.19130131199999878</v>
      </c>
      <c r="AO448" s="6"/>
      <c r="AP448" s="6"/>
      <c r="AQ448" s="6"/>
      <c r="AS448" s="6"/>
      <c r="AT448" s="6"/>
      <c r="AU448" s="6"/>
      <c r="AX448" s="2">
        <f t="shared" si="43"/>
        <v>578.27798460000008</v>
      </c>
      <c r="AY448" s="2">
        <f t="shared" si="44"/>
        <v>50.486003879999998</v>
      </c>
      <c r="AZ448" s="2">
        <f t="shared" si="45"/>
        <v>527.79198072000008</v>
      </c>
      <c r="BA448" s="6"/>
    </row>
    <row r="449" spans="1:53" x14ac:dyDescent="0.25">
      <c r="A449" s="2" t="s">
        <v>286</v>
      </c>
      <c r="B449" s="2">
        <v>2020</v>
      </c>
      <c r="C449" s="2">
        <v>307.14999390000003</v>
      </c>
      <c r="D449" s="2">
        <v>25.525001530000001</v>
      </c>
      <c r="E449" s="2">
        <v>91.231190749999996</v>
      </c>
      <c r="F449" s="2">
        <v>1.0623850500000001</v>
      </c>
      <c r="G449" s="2">
        <v>0</v>
      </c>
      <c r="H449" s="2">
        <v>7.706424202</v>
      </c>
      <c r="I449" s="2">
        <v>88.397201229999993</v>
      </c>
      <c r="J449" s="2">
        <v>1.255132675</v>
      </c>
      <c r="K449" s="2">
        <v>0</v>
      </c>
      <c r="L449" s="2">
        <v>10.3476661</v>
      </c>
      <c r="M449" s="2">
        <v>99.5</v>
      </c>
      <c r="N449" s="2">
        <v>0.5</v>
      </c>
      <c r="O449" s="2">
        <v>0</v>
      </c>
      <c r="P449" s="2">
        <v>0</v>
      </c>
      <c r="Q449" s="2" t="str">
        <f t="shared" si="32"/>
        <v>Vanuatu|2020</v>
      </c>
      <c r="R449" s="2" t="str">
        <f t="shared" si="33"/>
        <v xml:space="preserve"> </v>
      </c>
      <c r="T449" s="2" t="b">
        <f t="shared" si="34"/>
        <v>0</v>
      </c>
      <c r="U449" s="2" t="b">
        <f t="shared" si="46"/>
        <v>0</v>
      </c>
      <c r="V449" s="2" t="b">
        <f t="shared" si="35"/>
        <v>0</v>
      </c>
      <c r="W449" s="2">
        <f t="shared" si="36"/>
        <v>91</v>
      </c>
      <c r="X449" s="2">
        <f t="shared" si="37"/>
        <v>88</v>
      </c>
      <c r="Y449" s="2">
        <f t="shared" si="38"/>
        <v>100</v>
      </c>
      <c r="Z449" s="2" t="str">
        <f t="shared" si="39"/>
        <v/>
      </c>
      <c r="AA449" s="2" t="str">
        <f t="shared" si="40"/>
        <v/>
      </c>
      <c r="AB449" s="2" t="str">
        <f t="shared" si="41"/>
        <v/>
      </c>
      <c r="AC449" s="2">
        <f t="shared" si="42"/>
        <v>0</v>
      </c>
      <c r="AO449" s="6"/>
      <c r="AP449" s="6"/>
      <c r="AQ449" s="6"/>
      <c r="AS449" s="6"/>
      <c r="AT449" s="6"/>
      <c r="AU449" s="6"/>
      <c r="AX449" s="2" t="str">
        <f t="shared" si="43"/>
        <v>null</v>
      </c>
      <c r="AY449" s="2" t="str">
        <f t="shared" si="44"/>
        <v>null</v>
      </c>
      <c r="AZ449" s="2" t="str">
        <f t="shared" si="45"/>
        <v>null</v>
      </c>
      <c r="BA449" s="6"/>
    </row>
    <row r="450" spans="1:53" x14ac:dyDescent="0.25">
      <c r="A450" s="2" t="s">
        <v>287</v>
      </c>
      <c r="B450" s="2">
        <v>2015</v>
      </c>
      <c r="C450" s="2">
        <v>30081.82617</v>
      </c>
      <c r="D450" s="2">
        <v>88.153999330000005</v>
      </c>
      <c r="E450" s="2">
        <v>94.571275009999994</v>
      </c>
      <c r="F450" s="2">
        <v>0.47523253770000001</v>
      </c>
      <c r="G450" s="2">
        <v>3.5752642610000001</v>
      </c>
      <c r="H450" s="2">
        <v>1.3782281919999999</v>
      </c>
      <c r="I450" s="2" t="s">
        <v>64</v>
      </c>
      <c r="J450" s="2" t="s">
        <v>64</v>
      </c>
      <c r="K450" s="2" t="s">
        <v>64</v>
      </c>
      <c r="L450" s="2" t="s">
        <v>64</v>
      </c>
      <c r="M450" s="2" t="s">
        <v>64</v>
      </c>
      <c r="N450" s="2" t="s">
        <v>64</v>
      </c>
      <c r="O450" s="2" t="s">
        <v>64</v>
      </c>
      <c r="P450" s="2" t="s">
        <v>64</v>
      </c>
      <c r="Q450" s="2" t="str">
        <f t="shared" si="32"/>
        <v>Venezuela (Bolivarian Republic of)|2015</v>
      </c>
      <c r="R450" s="2">
        <f t="shared" si="33"/>
        <v>5</v>
      </c>
      <c r="T450" s="2">
        <f t="shared" si="34"/>
        <v>-0.17709485999999969</v>
      </c>
      <c r="U450" s="2" t="str">
        <f t="shared" si="46"/>
        <v>null</v>
      </c>
      <c r="V450" s="2" t="str">
        <f t="shared" si="35"/>
        <v>null</v>
      </c>
      <c r="W450" s="2">
        <f t="shared" si="36"/>
        <v>95</v>
      </c>
      <c r="X450" s="2" t="b">
        <f t="shared" si="37"/>
        <v>0</v>
      </c>
      <c r="Y450" s="2" t="b">
        <f t="shared" si="38"/>
        <v>0</v>
      </c>
      <c r="Z450" s="2" t="str">
        <f t="shared" si="39"/>
        <v/>
      </c>
      <c r="AA450" s="2" t="str">
        <f t="shared" si="40"/>
        <v>Fully Accessible</v>
      </c>
      <c r="AB450" s="2" t="str">
        <f t="shared" si="41"/>
        <v>Fully Accessible</v>
      </c>
      <c r="AC450" s="2" t="b">
        <f t="shared" si="42"/>
        <v>0</v>
      </c>
      <c r="AO450" s="6"/>
      <c r="AP450" s="6"/>
      <c r="AQ450" s="6"/>
      <c r="AS450" s="6"/>
      <c r="AT450" s="6"/>
      <c r="AU450" s="6"/>
      <c r="AX450" s="2">
        <f t="shared" si="43"/>
        <v>58517.769530000005</v>
      </c>
      <c r="AY450" s="2">
        <f t="shared" si="44"/>
        <v>176.43299866000001</v>
      </c>
      <c r="AZ450" s="2">
        <f t="shared" si="45"/>
        <v>58341.336531340006</v>
      </c>
      <c r="BA450" s="16"/>
    </row>
    <row r="451" spans="1:53" x14ac:dyDescent="0.25">
      <c r="A451" s="2" t="s">
        <v>287</v>
      </c>
      <c r="B451" s="2">
        <v>2020</v>
      </c>
      <c r="C451" s="2">
        <v>28435.943360000001</v>
      </c>
      <c r="D451" s="2">
        <v>88.278999330000005</v>
      </c>
      <c r="E451" s="2">
        <v>93.685800709999995</v>
      </c>
      <c r="F451" s="2">
        <v>0.4707829181</v>
      </c>
      <c r="G451" s="2">
        <v>5.8434163730000002</v>
      </c>
      <c r="H451" s="2" t="s">
        <v>64</v>
      </c>
      <c r="I451" s="2" t="s">
        <v>64</v>
      </c>
      <c r="J451" s="2" t="s">
        <v>64</v>
      </c>
      <c r="K451" s="2" t="s">
        <v>64</v>
      </c>
      <c r="L451" s="2" t="s">
        <v>64</v>
      </c>
      <c r="M451" s="2" t="s">
        <v>64</v>
      </c>
      <c r="N451" s="2" t="s">
        <v>64</v>
      </c>
      <c r="O451" s="2" t="s">
        <v>64</v>
      </c>
      <c r="P451" s="2" t="s">
        <v>64</v>
      </c>
      <c r="Q451" s="2" t="str">
        <f t="shared" si="32"/>
        <v>Venezuela (Bolivarian Republic of)|2020</v>
      </c>
      <c r="R451" s="2" t="str">
        <f t="shared" si="33"/>
        <v xml:space="preserve"> </v>
      </c>
      <c r="T451" s="2" t="b">
        <f t="shared" si="34"/>
        <v>0</v>
      </c>
      <c r="U451" s="2" t="b">
        <f t="shared" si="46"/>
        <v>0</v>
      </c>
      <c r="V451" s="2" t="b">
        <f t="shared" si="35"/>
        <v>0</v>
      </c>
      <c r="W451" s="2">
        <f t="shared" si="36"/>
        <v>94</v>
      </c>
      <c r="X451" s="2" t="b">
        <f t="shared" si="37"/>
        <v>0</v>
      </c>
      <c r="Y451" s="2" t="b">
        <f t="shared" si="38"/>
        <v>0</v>
      </c>
      <c r="Z451" s="2" t="str">
        <f t="shared" si="39"/>
        <v/>
      </c>
      <c r="AA451" s="2" t="str">
        <f t="shared" si="40"/>
        <v/>
      </c>
      <c r="AB451" s="2" t="str">
        <f t="shared" si="41"/>
        <v/>
      </c>
      <c r="AC451" s="2">
        <f t="shared" si="42"/>
        <v>0</v>
      </c>
      <c r="AO451" s="6"/>
      <c r="AP451" s="6"/>
      <c r="AQ451" s="6"/>
      <c r="AS451" s="6"/>
      <c r="AT451" s="6"/>
      <c r="AU451" s="6"/>
      <c r="AX451" s="2" t="str">
        <f t="shared" si="43"/>
        <v>null</v>
      </c>
      <c r="AY451" s="2" t="str">
        <f t="shared" si="44"/>
        <v>null</v>
      </c>
      <c r="AZ451" s="2" t="str">
        <f t="shared" si="45"/>
        <v>null</v>
      </c>
      <c r="BA451" s="6"/>
    </row>
    <row r="452" spans="1:53" x14ac:dyDescent="0.25">
      <c r="A452" s="2" t="s">
        <v>288</v>
      </c>
      <c r="B452" s="2">
        <v>2015</v>
      </c>
      <c r="C452" s="2">
        <v>92677.078129999994</v>
      </c>
      <c r="D452" s="2">
        <v>33.80900192</v>
      </c>
      <c r="E452" s="2">
        <v>93.328060579999999</v>
      </c>
      <c r="F452" s="2">
        <v>5.2071837849999997E-2</v>
      </c>
      <c r="G452" s="2">
        <v>6.1636180359999999</v>
      </c>
      <c r="H452" s="2">
        <v>0.45624954629999998</v>
      </c>
      <c r="I452" s="2">
        <v>90.833067990000004</v>
      </c>
      <c r="J452" s="2">
        <v>0</v>
      </c>
      <c r="K452" s="2">
        <v>8.4776395650000005</v>
      </c>
      <c r="L452" s="2">
        <v>0.68929244290000002</v>
      </c>
      <c r="M452" s="2">
        <v>98.212743520000004</v>
      </c>
      <c r="N452" s="2">
        <v>0.15401768120000001</v>
      </c>
      <c r="O452" s="2">
        <v>1.6332387960000001</v>
      </c>
      <c r="P452" s="2">
        <v>0</v>
      </c>
      <c r="Q452" s="2" t="str">
        <f t="shared" si="32"/>
        <v>Viet Nam|2015</v>
      </c>
      <c r="R452" s="2">
        <f t="shared" si="33"/>
        <v>5</v>
      </c>
      <c r="T452" s="2">
        <f t="shared" si="34"/>
        <v>0.71125925800000123</v>
      </c>
      <c r="U452" s="2">
        <f t="shared" si="46"/>
        <v>0.93629408999999841</v>
      </c>
      <c r="V452" s="2">
        <f t="shared" si="35"/>
        <v>0.1940592979999991</v>
      </c>
      <c r="W452" s="2">
        <f t="shared" si="36"/>
        <v>93</v>
      </c>
      <c r="X452" s="2">
        <f t="shared" si="37"/>
        <v>91</v>
      </c>
      <c r="Y452" s="2">
        <f t="shared" si="38"/>
        <v>98</v>
      </c>
      <c r="Z452" s="2" t="str">
        <f t="shared" si="39"/>
        <v/>
      </c>
      <c r="AA452" s="2" t="str">
        <f t="shared" si="40"/>
        <v/>
      </c>
      <c r="AB452" s="2" t="str">
        <f t="shared" si="41"/>
        <v>Fully Accessible</v>
      </c>
      <c r="AC452" s="2">
        <f t="shared" si="42"/>
        <v>0.74223479199999931</v>
      </c>
      <c r="AO452" s="6"/>
      <c r="AP452" s="6"/>
      <c r="AQ452" s="6"/>
      <c r="AS452" s="6"/>
      <c r="AT452" s="6"/>
      <c r="AU452" s="6"/>
      <c r="AX452" s="2">
        <f t="shared" si="43"/>
        <v>190015.66407</v>
      </c>
      <c r="AY452" s="2">
        <f t="shared" si="44"/>
        <v>71.149002069999995</v>
      </c>
      <c r="AZ452" s="2">
        <f t="shared" si="45"/>
        <v>189944.51506793001</v>
      </c>
      <c r="BA452" s="16"/>
    </row>
    <row r="453" spans="1:53" x14ac:dyDescent="0.25">
      <c r="A453" s="2" t="s">
        <v>288</v>
      </c>
      <c r="B453" s="2">
        <v>2020</v>
      </c>
      <c r="C453" s="2">
        <v>97338.585940000004</v>
      </c>
      <c r="D453" s="2">
        <v>37.340000150000002</v>
      </c>
      <c r="E453" s="2">
        <v>96.884356870000005</v>
      </c>
      <c r="F453" s="2">
        <v>0</v>
      </c>
      <c r="G453" s="2">
        <v>3.1156431260000002</v>
      </c>
      <c r="H453" s="2">
        <v>0</v>
      </c>
      <c r="I453" s="2">
        <v>95.514538439999995</v>
      </c>
      <c r="J453" s="2">
        <v>0</v>
      </c>
      <c r="K453" s="2">
        <v>4.4854615600000001</v>
      </c>
      <c r="L453" s="2">
        <v>0</v>
      </c>
      <c r="M453" s="2">
        <v>99.183040009999999</v>
      </c>
      <c r="N453" s="2">
        <v>0</v>
      </c>
      <c r="O453" s="2">
        <v>0.81695998700000005</v>
      </c>
      <c r="P453" s="2">
        <v>0</v>
      </c>
      <c r="Q453" s="2" t="str">
        <f t="shared" si="32"/>
        <v>Viet Nam|2020</v>
      </c>
      <c r="R453" s="2" t="str">
        <f t="shared" si="33"/>
        <v xml:space="preserve"> </v>
      </c>
      <c r="T453" s="2" t="b">
        <f t="shared" si="34"/>
        <v>0</v>
      </c>
      <c r="U453" s="2" t="b">
        <f t="shared" si="46"/>
        <v>0</v>
      </c>
      <c r="V453" s="2" t="b">
        <f t="shared" si="35"/>
        <v>0</v>
      </c>
      <c r="W453" s="2">
        <f t="shared" si="36"/>
        <v>97</v>
      </c>
      <c r="X453" s="2">
        <f t="shared" si="37"/>
        <v>96</v>
      </c>
      <c r="Y453" s="2">
        <f t="shared" si="38"/>
        <v>99</v>
      </c>
      <c r="Z453" s="2" t="str">
        <f t="shared" si="39"/>
        <v/>
      </c>
      <c r="AA453" s="2" t="str">
        <f t="shared" si="40"/>
        <v/>
      </c>
      <c r="AB453" s="2" t="str">
        <f t="shared" si="41"/>
        <v/>
      </c>
      <c r="AC453" s="2">
        <f t="shared" si="42"/>
        <v>0</v>
      </c>
      <c r="AO453" s="6"/>
      <c r="AP453" s="6"/>
      <c r="AQ453" s="6"/>
      <c r="AS453" s="6"/>
      <c r="AT453" s="6"/>
      <c r="AU453" s="6"/>
      <c r="AX453" s="2" t="str">
        <f t="shared" si="43"/>
        <v>null</v>
      </c>
      <c r="AY453" s="2" t="str">
        <f t="shared" si="44"/>
        <v>null</v>
      </c>
      <c r="AZ453" s="2" t="str">
        <f t="shared" si="45"/>
        <v>null</v>
      </c>
      <c r="BA453" s="16"/>
    </row>
    <row r="454" spans="1:53" x14ac:dyDescent="0.25">
      <c r="A454" s="2" t="s">
        <v>289</v>
      </c>
      <c r="B454" s="2">
        <v>2015</v>
      </c>
      <c r="C454" s="2">
        <v>12.26200008</v>
      </c>
      <c r="D454" s="2">
        <v>0</v>
      </c>
      <c r="E454" s="2">
        <v>99.321381529999996</v>
      </c>
      <c r="F454" s="2">
        <v>0</v>
      </c>
      <c r="G454" s="2">
        <v>0.67861847409999998</v>
      </c>
      <c r="H454" s="2">
        <v>0</v>
      </c>
      <c r="I454" s="2">
        <v>99.321381529999996</v>
      </c>
      <c r="J454" s="2">
        <v>0</v>
      </c>
      <c r="K454" s="2">
        <v>0.67861847409999998</v>
      </c>
      <c r="L454" s="2">
        <v>0</v>
      </c>
      <c r="M454" s="2" t="s">
        <v>64</v>
      </c>
      <c r="N454" s="2" t="s">
        <v>64</v>
      </c>
      <c r="O454" s="2" t="s">
        <v>64</v>
      </c>
      <c r="P454" s="2" t="s">
        <v>64</v>
      </c>
      <c r="Q454" s="2" t="str">
        <f t="shared" si="32"/>
        <v>Wallis and Futuna Islands|2015</v>
      </c>
      <c r="R454" s="2">
        <f t="shared" si="33"/>
        <v>5</v>
      </c>
      <c r="T454" s="2">
        <f t="shared" si="34"/>
        <v>-3.5618833999998857E-2</v>
      </c>
      <c r="U454" s="2">
        <f t="shared" si="46"/>
        <v>-3.5618833999998857E-2</v>
      </c>
      <c r="V454" s="2" t="str">
        <f t="shared" si="35"/>
        <v>null</v>
      </c>
      <c r="W454" s="2">
        <f t="shared" si="36"/>
        <v>99</v>
      </c>
      <c r="X454" s="2">
        <f t="shared" si="37"/>
        <v>99</v>
      </c>
      <c r="Y454" s="2" t="b">
        <f t="shared" si="38"/>
        <v>0</v>
      </c>
      <c r="Z454" s="2" t="str">
        <f t="shared" si="39"/>
        <v/>
      </c>
      <c r="AA454" s="2" t="str">
        <f t="shared" si="40"/>
        <v/>
      </c>
      <c r="AB454" s="2" t="str">
        <f t="shared" si="41"/>
        <v>Fully Accessible</v>
      </c>
      <c r="AC454" s="2" t="b">
        <f t="shared" si="42"/>
        <v>0</v>
      </c>
      <c r="AO454" s="6"/>
      <c r="AP454" s="6"/>
      <c r="AQ454" s="6"/>
      <c r="AS454" s="6"/>
      <c r="AT454" s="6"/>
      <c r="AU454" s="6"/>
      <c r="AX454" s="2">
        <f t="shared" si="43"/>
        <v>23.508000369999998</v>
      </c>
      <c r="AY454" s="2">
        <f t="shared" si="44"/>
        <v>0</v>
      </c>
      <c r="AZ454" s="2">
        <f t="shared" si="45"/>
        <v>23.508000369999998</v>
      </c>
      <c r="BA454" s="6"/>
    </row>
    <row r="455" spans="1:53" x14ac:dyDescent="0.25">
      <c r="A455" s="2" t="s">
        <v>289</v>
      </c>
      <c r="B455" s="2">
        <v>2020</v>
      </c>
      <c r="C455" s="2">
        <v>11.24600029</v>
      </c>
      <c r="D455" s="2">
        <v>0</v>
      </c>
      <c r="E455" s="2">
        <v>99.143287360000002</v>
      </c>
      <c r="F455" s="2">
        <v>0</v>
      </c>
      <c r="G455" s="2">
        <v>0.85671263900000005</v>
      </c>
      <c r="H455" s="2">
        <v>0</v>
      </c>
      <c r="I455" s="2">
        <v>99.143287360000002</v>
      </c>
      <c r="J455" s="2">
        <v>0</v>
      </c>
      <c r="K455" s="2">
        <v>0.85671263900000005</v>
      </c>
      <c r="L455" s="2">
        <v>0</v>
      </c>
      <c r="M455" s="2" t="s">
        <v>64</v>
      </c>
      <c r="N455" s="2" t="s">
        <v>64</v>
      </c>
      <c r="O455" s="2" t="s">
        <v>64</v>
      </c>
      <c r="P455" s="2" t="s">
        <v>64</v>
      </c>
      <c r="Q455" s="2" t="str">
        <f t="shared" si="32"/>
        <v>Wallis and Futuna Islands|2020</v>
      </c>
      <c r="R455" s="2" t="str">
        <f t="shared" si="33"/>
        <v xml:space="preserve"> </v>
      </c>
      <c r="T455" s="2" t="b">
        <f t="shared" si="34"/>
        <v>0</v>
      </c>
      <c r="U455" s="2" t="b">
        <f t="shared" si="46"/>
        <v>0</v>
      </c>
      <c r="V455" s="2" t="b">
        <f t="shared" si="35"/>
        <v>0</v>
      </c>
      <c r="W455" s="2">
        <f t="shared" si="36"/>
        <v>99</v>
      </c>
      <c r="X455" s="2">
        <f t="shared" si="37"/>
        <v>99</v>
      </c>
      <c r="Y455" s="2" t="b">
        <f t="shared" si="38"/>
        <v>0</v>
      </c>
      <c r="Z455" s="2" t="str">
        <f t="shared" si="39"/>
        <v/>
      </c>
      <c r="AA455" s="2" t="str">
        <f t="shared" si="40"/>
        <v/>
      </c>
      <c r="AB455" s="2" t="str">
        <f t="shared" si="41"/>
        <v/>
      </c>
      <c r="AC455" s="2">
        <f t="shared" si="42"/>
        <v>0</v>
      </c>
      <c r="AO455" s="6"/>
      <c r="AP455" s="6"/>
      <c r="AQ455" s="6"/>
      <c r="AS455" s="6"/>
      <c r="AT455" s="6"/>
      <c r="AU455" s="6"/>
      <c r="AX455" s="2" t="str">
        <f t="shared" si="43"/>
        <v>null</v>
      </c>
      <c r="AY455" s="2" t="str">
        <f t="shared" si="44"/>
        <v>null</v>
      </c>
      <c r="AZ455" s="2" t="str">
        <f t="shared" si="45"/>
        <v>null</v>
      </c>
      <c r="BA455" s="6"/>
    </row>
    <row r="456" spans="1:53" x14ac:dyDescent="0.25">
      <c r="A456" s="2" t="s">
        <v>290</v>
      </c>
      <c r="B456" s="2">
        <v>2015</v>
      </c>
      <c r="C456" s="2">
        <v>4529.1601559999999</v>
      </c>
      <c r="D456" s="2">
        <v>75.367996219999995</v>
      </c>
      <c r="E456" s="2">
        <v>96.379856709999999</v>
      </c>
      <c r="F456" s="2">
        <v>0.58753466440000002</v>
      </c>
      <c r="G456" s="2">
        <v>3.0326086220000001</v>
      </c>
      <c r="H456" s="2" t="s">
        <v>64</v>
      </c>
      <c r="I456" s="2">
        <v>95.381142350000005</v>
      </c>
      <c r="J456" s="2">
        <v>0.99273120920000002</v>
      </c>
      <c r="K456" s="2">
        <v>3.6261264409999998</v>
      </c>
      <c r="L456" s="2" t="s">
        <v>64</v>
      </c>
      <c r="M456" s="2">
        <v>96.706259619999997</v>
      </c>
      <c r="N456" s="2">
        <v>0.45510708030000002</v>
      </c>
      <c r="O456" s="2">
        <v>2.838633298</v>
      </c>
      <c r="P456" s="2" t="s">
        <v>64</v>
      </c>
      <c r="Q456" s="2" t="str">
        <f t="shared" si="32"/>
        <v>West Bank and Gaza Strip|2015</v>
      </c>
      <c r="R456" s="2">
        <f t="shared" si="33"/>
        <v>5</v>
      </c>
      <c r="T456" s="2">
        <f t="shared" si="34"/>
        <v>0.30010810200000149</v>
      </c>
      <c r="U456" s="2">
        <f t="shared" si="46"/>
        <v>0.66688281399999882</v>
      </c>
      <c r="V456" s="2">
        <f t="shared" si="35"/>
        <v>0.18414096200000074</v>
      </c>
      <c r="W456" s="2">
        <f t="shared" si="36"/>
        <v>96</v>
      </c>
      <c r="X456" s="2">
        <f t="shared" si="37"/>
        <v>95</v>
      </c>
      <c r="Y456" s="2">
        <f t="shared" si="38"/>
        <v>97</v>
      </c>
      <c r="Z456" s="2" t="str">
        <f t="shared" si="39"/>
        <v/>
      </c>
      <c r="AA456" s="2" t="str">
        <f t="shared" si="40"/>
        <v/>
      </c>
      <c r="AB456" s="2" t="str">
        <f t="shared" si="41"/>
        <v>Fully Accessible</v>
      </c>
      <c r="AC456" s="2">
        <f t="shared" si="42"/>
        <v>0.48274185199999808</v>
      </c>
      <c r="AO456" s="6"/>
      <c r="AP456" s="6"/>
      <c r="AQ456" s="6"/>
      <c r="AS456" s="6"/>
      <c r="AT456" s="6"/>
      <c r="AU456" s="6"/>
      <c r="AX456" s="2">
        <f t="shared" si="43"/>
        <v>9630.576172000001</v>
      </c>
      <c r="AY456" s="2">
        <f t="shared" si="44"/>
        <v>152.08699036000002</v>
      </c>
      <c r="AZ456" s="2">
        <f t="shared" si="45"/>
        <v>9478.4891816400013</v>
      </c>
      <c r="BA456" s="6"/>
    </row>
    <row r="457" spans="1:53" x14ac:dyDescent="0.25">
      <c r="A457" s="2" t="s">
        <v>290</v>
      </c>
      <c r="B457" s="2">
        <v>2020</v>
      </c>
      <c r="C457" s="2">
        <v>5101.4160160000001</v>
      </c>
      <c r="D457" s="2">
        <v>76.718994140000007</v>
      </c>
      <c r="E457" s="2">
        <v>97.880397220000006</v>
      </c>
      <c r="F457" s="2">
        <v>1.029979486</v>
      </c>
      <c r="G457" s="2">
        <v>1.089623295</v>
      </c>
      <c r="H457" s="2" t="s">
        <v>64</v>
      </c>
      <c r="I457" s="2">
        <v>98.715556419999999</v>
      </c>
      <c r="J457" s="2">
        <v>0.31740062730000002</v>
      </c>
      <c r="K457" s="2">
        <v>0.96704295760000003</v>
      </c>
      <c r="L457" s="2" t="s">
        <v>64</v>
      </c>
      <c r="M457" s="2">
        <v>97.626964430000001</v>
      </c>
      <c r="N457" s="2">
        <v>1.246217358</v>
      </c>
      <c r="O457" s="2">
        <v>1.126818208</v>
      </c>
      <c r="P457" s="2" t="s">
        <v>64</v>
      </c>
      <c r="Q457" s="2" t="str">
        <f t="shared" si="32"/>
        <v>West Bank and Gaza Strip|2020</v>
      </c>
      <c r="R457" s="2" t="str">
        <f t="shared" si="33"/>
        <v xml:space="preserve"> </v>
      </c>
      <c r="T457" s="2" t="b">
        <f t="shared" si="34"/>
        <v>0</v>
      </c>
      <c r="U457" s="2" t="b">
        <f t="shared" si="46"/>
        <v>0</v>
      </c>
      <c r="V457" s="2" t="b">
        <f t="shared" si="35"/>
        <v>0</v>
      </c>
      <c r="W457" s="2">
        <f t="shared" si="36"/>
        <v>98</v>
      </c>
      <c r="X457" s="2">
        <f t="shared" si="37"/>
        <v>99</v>
      </c>
      <c r="Y457" s="2">
        <f t="shared" si="38"/>
        <v>98</v>
      </c>
      <c r="Z457" s="2" t="str">
        <f t="shared" si="39"/>
        <v/>
      </c>
      <c r="AA457" s="2" t="str">
        <f t="shared" si="40"/>
        <v/>
      </c>
      <c r="AB457" s="2" t="str">
        <f t="shared" si="41"/>
        <v/>
      </c>
      <c r="AC457" s="2">
        <f t="shared" si="42"/>
        <v>0</v>
      </c>
      <c r="AO457" s="6"/>
      <c r="AP457" s="6"/>
      <c r="AQ457" s="6"/>
      <c r="AS457" s="6"/>
      <c r="AT457" s="6"/>
      <c r="AU457" s="6"/>
      <c r="AX457" s="2" t="str">
        <f t="shared" si="43"/>
        <v>null</v>
      </c>
      <c r="AY457" s="2" t="str">
        <f t="shared" si="44"/>
        <v>null</v>
      </c>
      <c r="AZ457" s="2" t="str">
        <f t="shared" si="45"/>
        <v>null</v>
      </c>
      <c r="BA457" s="6"/>
    </row>
    <row r="458" spans="1:53" x14ac:dyDescent="0.25">
      <c r="A458" s="2" t="s">
        <v>291</v>
      </c>
      <c r="B458" s="2">
        <v>2015</v>
      </c>
      <c r="C458" s="2">
        <v>26497.880860000001</v>
      </c>
      <c r="D458" s="2">
        <v>34.777000430000001</v>
      </c>
      <c r="E458" s="2">
        <v>55.778868629999998</v>
      </c>
      <c r="F458" s="2">
        <v>26.035606600000001</v>
      </c>
      <c r="G458" s="2">
        <v>14.70974567</v>
      </c>
      <c r="H458" s="2">
        <v>3.4757790979999998</v>
      </c>
      <c r="I458" s="2">
        <v>44.958268160000003</v>
      </c>
      <c r="J458" s="2">
        <v>28.794611020000001</v>
      </c>
      <c r="K458" s="2">
        <v>21.10381293</v>
      </c>
      <c r="L458" s="2">
        <v>5.1433078959999996</v>
      </c>
      <c r="M458" s="2">
        <v>76.072511899999995</v>
      </c>
      <c r="N458" s="2">
        <v>20.861194009999998</v>
      </c>
      <c r="O458" s="2">
        <v>2.7179047039999999</v>
      </c>
      <c r="P458" s="2">
        <v>0.3483893924</v>
      </c>
      <c r="Q458" s="2" t="str">
        <f t="shared" si="32"/>
        <v>Yemen|2015</v>
      </c>
      <c r="R458" s="2">
        <f t="shared" si="33"/>
        <v>5</v>
      </c>
      <c r="T458" s="2">
        <f t="shared" si="34"/>
        <v>0.97694024200000062</v>
      </c>
      <c r="U458" s="2">
        <f t="shared" si="46"/>
        <v>1.1446132419999997</v>
      </c>
      <c r="V458" s="2">
        <f t="shared" si="35"/>
        <v>0.18832348800000034</v>
      </c>
      <c r="W458" s="2">
        <f t="shared" si="36"/>
        <v>56</v>
      </c>
      <c r="X458" s="2">
        <f t="shared" si="37"/>
        <v>45</v>
      </c>
      <c r="Y458" s="2">
        <f t="shared" si="38"/>
        <v>76</v>
      </c>
      <c r="Z458" s="2" t="str">
        <f t="shared" si="39"/>
        <v/>
      </c>
      <c r="AA458" s="2" t="str">
        <f t="shared" si="40"/>
        <v/>
      </c>
      <c r="AB458" s="2" t="str">
        <f t="shared" si="41"/>
        <v>Fully Accessible</v>
      </c>
      <c r="AC458" s="2">
        <f t="shared" si="42"/>
        <v>0.95628975399999938</v>
      </c>
      <c r="AO458" s="6"/>
      <c r="AP458" s="6"/>
      <c r="AQ458" s="6"/>
      <c r="AS458" s="6"/>
      <c r="AT458" s="6"/>
      <c r="AU458" s="6"/>
      <c r="AX458" s="2">
        <f t="shared" si="43"/>
        <v>56323.849610000005</v>
      </c>
      <c r="AY458" s="2">
        <f t="shared" si="44"/>
        <v>72.684997559999999</v>
      </c>
      <c r="AZ458" s="2">
        <f t="shared" si="45"/>
        <v>56251.164612440007</v>
      </c>
      <c r="BA458" s="16"/>
    </row>
    <row r="459" spans="1:53" x14ac:dyDescent="0.25">
      <c r="A459" s="2" t="s">
        <v>291</v>
      </c>
      <c r="B459" s="2">
        <v>2020</v>
      </c>
      <c r="C459" s="2">
        <v>29825.96875</v>
      </c>
      <c r="D459" s="2">
        <v>37.907997129999998</v>
      </c>
      <c r="E459" s="2">
        <v>60.663569840000001</v>
      </c>
      <c r="F459" s="2">
        <v>28.9627418</v>
      </c>
      <c r="G459" s="2">
        <v>7.77785276</v>
      </c>
      <c r="H459" s="2">
        <v>2.595835594</v>
      </c>
      <c r="I459" s="2">
        <v>50.681334370000002</v>
      </c>
      <c r="J459" s="2">
        <v>33.53021373</v>
      </c>
      <c r="K459" s="2">
        <v>11.60782393</v>
      </c>
      <c r="L459" s="2">
        <v>4.1806279780000004</v>
      </c>
      <c r="M459" s="2">
        <v>77.014129339999997</v>
      </c>
      <c r="N459" s="2">
        <v>21.481379369999999</v>
      </c>
      <c r="O459" s="2">
        <v>1.5044912859999999</v>
      </c>
      <c r="P459" s="2">
        <v>0</v>
      </c>
      <c r="Q459" s="2" t="str">
        <f t="shared" si="32"/>
        <v>Yemen|2020</v>
      </c>
      <c r="R459" s="2" t="str">
        <f t="shared" si="33"/>
        <v xml:space="preserve"> </v>
      </c>
      <c r="T459" s="2" t="b">
        <f t="shared" si="34"/>
        <v>0</v>
      </c>
      <c r="U459" s="2" t="b">
        <f t="shared" si="46"/>
        <v>0</v>
      </c>
      <c r="V459" s="2" t="b">
        <f t="shared" si="35"/>
        <v>0</v>
      </c>
      <c r="W459" s="2">
        <f t="shared" si="36"/>
        <v>61</v>
      </c>
      <c r="X459" s="2">
        <f t="shared" si="37"/>
        <v>51</v>
      </c>
      <c r="Y459" s="2">
        <f t="shared" si="38"/>
        <v>77</v>
      </c>
      <c r="Z459" s="2" t="str">
        <f t="shared" si="39"/>
        <v/>
      </c>
      <c r="AA459" s="2" t="str">
        <f t="shared" si="40"/>
        <v/>
      </c>
      <c r="AB459" s="2" t="str">
        <f t="shared" si="41"/>
        <v/>
      </c>
      <c r="AC459" s="2">
        <f t="shared" si="42"/>
        <v>0</v>
      </c>
      <c r="AO459" s="6"/>
      <c r="AP459" s="6"/>
      <c r="AQ459" s="6"/>
      <c r="AS459" s="6"/>
      <c r="AT459" s="6"/>
      <c r="AU459" s="6"/>
      <c r="AX459" s="2" t="str">
        <f t="shared" si="43"/>
        <v>null</v>
      </c>
      <c r="AY459" s="2" t="str">
        <f t="shared" si="44"/>
        <v>null</v>
      </c>
      <c r="AZ459" s="2" t="str">
        <f t="shared" si="45"/>
        <v>null</v>
      </c>
      <c r="BA459" s="6"/>
    </row>
    <row r="460" spans="1:53" x14ac:dyDescent="0.25">
      <c r="A460" s="2" t="s">
        <v>292</v>
      </c>
      <c r="B460" s="2">
        <v>2015</v>
      </c>
      <c r="C460" s="2">
        <v>15879.37012</v>
      </c>
      <c r="D460" s="2">
        <v>41.9070015</v>
      </c>
      <c r="E460" s="2">
        <v>61.338746280000002</v>
      </c>
      <c r="F460" s="2">
        <v>5.6539172300000002</v>
      </c>
      <c r="G460" s="2">
        <v>23.3359001</v>
      </c>
      <c r="H460" s="2">
        <v>9.6714363920000004</v>
      </c>
      <c r="I460" s="2">
        <v>43.616834320000002</v>
      </c>
      <c r="J460" s="2">
        <v>7.2108648679999998</v>
      </c>
      <c r="K460" s="2">
        <v>33.257219489999997</v>
      </c>
      <c r="L460" s="2">
        <v>15.915081320000001</v>
      </c>
      <c r="M460" s="2">
        <v>85.90549729</v>
      </c>
      <c r="N460" s="2">
        <v>3.495619671</v>
      </c>
      <c r="O460" s="2">
        <v>9.5826138469999993</v>
      </c>
      <c r="P460" s="2">
        <v>1.0162691930000001</v>
      </c>
      <c r="Q460" s="2" t="str">
        <f t="shared" si="32"/>
        <v>Zambia|2015</v>
      </c>
      <c r="R460" s="2">
        <f t="shared" si="33"/>
        <v>5</v>
      </c>
      <c r="T460" s="2">
        <f t="shared" si="34"/>
        <v>0.81472745800000013</v>
      </c>
      <c r="U460" s="2">
        <f t="shared" si="46"/>
        <v>0.9220908019999996</v>
      </c>
      <c r="V460" s="2">
        <f t="shared" si="35"/>
        <v>0.16567147400000123</v>
      </c>
      <c r="W460" s="2">
        <f t="shared" si="36"/>
        <v>61</v>
      </c>
      <c r="X460" s="2">
        <f t="shared" si="37"/>
        <v>44</v>
      </c>
      <c r="Y460" s="2">
        <f t="shared" si="38"/>
        <v>86</v>
      </c>
      <c r="Z460" s="2" t="str">
        <f t="shared" si="39"/>
        <v/>
      </c>
      <c r="AA460" s="2" t="str">
        <f t="shared" si="40"/>
        <v/>
      </c>
      <c r="AB460" s="2" t="str">
        <f t="shared" si="41"/>
        <v>Fully Accessible</v>
      </c>
      <c r="AC460" s="2">
        <f t="shared" si="42"/>
        <v>0.75641932799999834</v>
      </c>
      <c r="AO460" s="6"/>
      <c r="AP460" s="6"/>
      <c r="AQ460" s="6"/>
      <c r="AS460" s="6"/>
      <c r="AT460" s="6"/>
      <c r="AU460" s="6"/>
      <c r="AX460" s="2">
        <f t="shared" si="43"/>
        <v>34263.325199999999</v>
      </c>
      <c r="AY460" s="2">
        <f t="shared" si="44"/>
        <v>86.5359993</v>
      </c>
      <c r="AZ460" s="2">
        <f t="shared" si="45"/>
        <v>34176.789200699997</v>
      </c>
      <c r="BA460" s="16"/>
    </row>
    <row r="461" spans="1:53" x14ac:dyDescent="0.25">
      <c r="A461" s="2" t="s">
        <v>292</v>
      </c>
      <c r="B461" s="2">
        <v>2020</v>
      </c>
      <c r="C461" s="2">
        <v>18383.95508</v>
      </c>
      <c r="D461" s="2">
        <v>44.6289978</v>
      </c>
      <c r="E461" s="2">
        <v>65.412383570000003</v>
      </c>
      <c r="F461" s="2">
        <v>6.1539390200000001</v>
      </c>
      <c r="G461" s="2">
        <v>21.576840709999999</v>
      </c>
      <c r="H461" s="2">
        <v>6.8568367060000002</v>
      </c>
      <c r="I461" s="2">
        <v>48.22728833</v>
      </c>
      <c r="J461" s="2">
        <v>8.3317036130000002</v>
      </c>
      <c r="K461" s="2">
        <v>31.608654439999999</v>
      </c>
      <c r="L461" s="2">
        <v>11.832353619999999</v>
      </c>
      <c r="M461" s="2">
        <v>86.733854660000006</v>
      </c>
      <c r="N461" s="2">
        <v>3.4519961939999999</v>
      </c>
      <c r="O461" s="2">
        <v>9.1304141049999998</v>
      </c>
      <c r="P461" s="2">
        <v>0.68373504630000004</v>
      </c>
      <c r="Q461" s="2" t="str">
        <f t="shared" si="32"/>
        <v>Zambia|2020</v>
      </c>
      <c r="R461" s="2" t="str">
        <f t="shared" si="33"/>
        <v xml:space="preserve"> </v>
      </c>
      <c r="T461" s="2" t="b">
        <f t="shared" si="34"/>
        <v>0</v>
      </c>
      <c r="U461" s="2" t="b">
        <f t="shared" si="46"/>
        <v>0</v>
      </c>
      <c r="V461" s="2" t="b">
        <f t="shared" si="35"/>
        <v>0</v>
      </c>
      <c r="W461" s="2">
        <f t="shared" si="36"/>
        <v>65</v>
      </c>
      <c r="X461" s="2">
        <f t="shared" si="37"/>
        <v>48</v>
      </c>
      <c r="Y461" s="2">
        <f t="shared" si="38"/>
        <v>87</v>
      </c>
      <c r="Z461" s="2" t="str">
        <f t="shared" si="39"/>
        <v/>
      </c>
      <c r="AA461" s="2" t="str">
        <f t="shared" si="40"/>
        <v/>
      </c>
      <c r="AB461" s="2" t="str">
        <f t="shared" si="41"/>
        <v/>
      </c>
      <c r="AC461" s="2">
        <f t="shared" si="42"/>
        <v>0</v>
      </c>
      <c r="AO461" s="6"/>
      <c r="AP461" s="6"/>
      <c r="AQ461" s="6"/>
      <c r="AS461" s="6"/>
      <c r="AT461" s="6"/>
      <c r="AU461" s="6"/>
      <c r="AX461" s="2" t="str">
        <f t="shared" si="43"/>
        <v>null</v>
      </c>
      <c r="AY461" s="2" t="str">
        <f t="shared" si="44"/>
        <v>null</v>
      </c>
      <c r="AZ461" s="2" t="str">
        <f t="shared" si="45"/>
        <v>null</v>
      </c>
      <c r="BA461" s="16"/>
    </row>
    <row r="462" spans="1:53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T462" s="2" t="b">
        <f t="shared" si="34"/>
        <v>0</v>
      </c>
      <c r="U462" s="2" t="b">
        <f t="shared" si="46"/>
        <v>0</v>
      </c>
      <c r="V462" s="2" t="b">
        <f t="shared" si="35"/>
        <v>0</v>
      </c>
      <c r="W462" s="2">
        <f t="shared" si="36"/>
        <v>0</v>
      </c>
      <c r="X462" s="2">
        <f t="shared" si="37"/>
        <v>0</v>
      </c>
      <c r="Y462" s="2">
        <f t="shared" si="38"/>
        <v>0</v>
      </c>
      <c r="Z462" s="2" t="str">
        <f t="shared" si="39"/>
        <v/>
      </c>
      <c r="AA462" s="2" t="str">
        <f t="shared" si="40"/>
        <v/>
      </c>
      <c r="AB462" s="2" t="str">
        <f t="shared" si="41"/>
        <v/>
      </c>
      <c r="AC462" s="2">
        <f t="shared" si="42"/>
        <v>0</v>
      </c>
      <c r="AO462" s="6"/>
      <c r="AP462" s="6"/>
      <c r="AQ462" s="6"/>
      <c r="AS462" s="6"/>
      <c r="AT462" s="6"/>
      <c r="AU462" s="6"/>
      <c r="AX462" s="2" t="str">
        <f t="shared" si="43"/>
        <v>null</v>
      </c>
      <c r="AY462" s="2" t="str">
        <f t="shared" si="44"/>
        <v>null</v>
      </c>
      <c r="AZ462" s="2" t="str">
        <f t="shared" si="45"/>
        <v>null</v>
      </c>
      <c r="BA462" s="6"/>
    </row>
    <row r="463" spans="1:53" x14ac:dyDescent="0.25">
      <c r="A463" s="2" t="s">
        <v>293</v>
      </c>
      <c r="B463" s="2">
        <v>2015</v>
      </c>
      <c r="C463" s="2">
        <v>13814.641600000001</v>
      </c>
      <c r="D463" s="2">
        <v>32.384998320000001</v>
      </c>
      <c r="E463" s="2">
        <v>64.954929109999995</v>
      </c>
      <c r="F463" s="2">
        <v>12.456764769999999</v>
      </c>
      <c r="G463" s="2">
        <v>15.89884206</v>
      </c>
      <c r="H463" s="2">
        <v>6.6894640550000002</v>
      </c>
      <c r="I463" s="2">
        <v>51.25006071</v>
      </c>
      <c r="J463" s="2">
        <v>16.396726579999999</v>
      </c>
      <c r="K463" s="2">
        <v>22.514468619999999</v>
      </c>
      <c r="L463" s="2">
        <v>9.8387440880000003</v>
      </c>
      <c r="M463" s="2">
        <v>93.568635740000005</v>
      </c>
      <c r="N463" s="2">
        <v>4.2307197299999997</v>
      </c>
      <c r="O463" s="2">
        <v>2.086401773</v>
      </c>
      <c r="P463" s="2">
        <v>0.11424275640000001</v>
      </c>
      <c r="Q463" s="2" t="str">
        <f t="shared" ref="Q463:Q464" si="47">A463 &amp; "|" &amp; B463</f>
        <v>Zimbabwe|2015</v>
      </c>
      <c r="R463" s="2">
        <f t="shared" ref="R463:R464" si="48">IF(A464=A463, B464-B463," ")</f>
        <v>5</v>
      </c>
      <c r="T463" s="2">
        <f t="shared" si="34"/>
        <v>-0.45769429999999856</v>
      </c>
      <c r="U463" s="2">
        <f t="shared" si="46"/>
        <v>-0.59352637199999947</v>
      </c>
      <c r="V463" s="2">
        <f t="shared" si="35"/>
        <v>-0.13470135800000094</v>
      </c>
      <c r="W463" s="2">
        <f t="shared" si="36"/>
        <v>65</v>
      </c>
      <c r="X463" s="2">
        <f t="shared" si="37"/>
        <v>51</v>
      </c>
      <c r="Y463" s="2">
        <f t="shared" si="38"/>
        <v>94</v>
      </c>
      <c r="Z463" s="2" t="str">
        <f t="shared" si="39"/>
        <v/>
      </c>
      <c r="AA463" s="2" t="str">
        <f t="shared" si="40"/>
        <v/>
      </c>
      <c r="AB463" s="2" t="str">
        <f t="shared" si="41"/>
        <v>Fully Accessible</v>
      </c>
      <c r="AC463" s="2">
        <f t="shared" si="42"/>
        <v>-0.45882501399999853</v>
      </c>
      <c r="AO463" s="6"/>
      <c r="AP463" s="6"/>
      <c r="AQ463" s="6"/>
      <c r="AS463" s="6"/>
      <c r="AT463" s="6"/>
      <c r="AU463" s="6"/>
      <c r="AX463" s="2">
        <f t="shared" si="43"/>
        <v>28677.568360000001</v>
      </c>
      <c r="AY463" s="2">
        <f t="shared" si="44"/>
        <v>64.626998900000004</v>
      </c>
      <c r="AZ463" s="2">
        <f t="shared" si="45"/>
        <v>28612.941361100002</v>
      </c>
      <c r="BA463" s="6"/>
    </row>
    <row r="464" spans="1:53" x14ac:dyDescent="0.25">
      <c r="A464" s="2" t="s">
        <v>293</v>
      </c>
      <c r="B464" s="2">
        <v>2020</v>
      </c>
      <c r="C464" s="2">
        <v>14862.92676</v>
      </c>
      <c r="D464" s="2">
        <v>32.242000580000003</v>
      </c>
      <c r="E464" s="2">
        <v>62.666457610000002</v>
      </c>
      <c r="F464" s="2">
        <v>14.1975397</v>
      </c>
      <c r="G464" s="2">
        <v>16.277855450000001</v>
      </c>
      <c r="H464" s="2">
        <v>6.8581472420000003</v>
      </c>
      <c r="I464" s="2">
        <v>48.282428850000002</v>
      </c>
      <c r="J464" s="2">
        <v>18.590984670000001</v>
      </c>
      <c r="K464" s="2">
        <v>23.013646550000001</v>
      </c>
      <c r="L464" s="2">
        <v>10.112939920000001</v>
      </c>
      <c r="M464" s="2">
        <v>92.89512895</v>
      </c>
      <c r="N464" s="2">
        <v>4.9645177570000003</v>
      </c>
      <c r="O464" s="2">
        <v>2.1222986740000001</v>
      </c>
      <c r="P464" s="2">
        <v>1.805461538E-2</v>
      </c>
      <c r="Q464" s="2" t="str">
        <f t="shared" si="47"/>
        <v>Zimbabwe|2020</v>
      </c>
      <c r="R464" s="2" t="str">
        <f t="shared" si="48"/>
        <v xml:space="preserve"> </v>
      </c>
      <c r="T464" s="2" t="b">
        <f t="shared" si="34"/>
        <v>0</v>
      </c>
      <c r="U464" s="2" t="b">
        <f t="shared" si="46"/>
        <v>0</v>
      </c>
      <c r="V464" s="2" t="b">
        <f t="shared" si="35"/>
        <v>0</v>
      </c>
      <c r="W464" s="2">
        <f t="shared" si="36"/>
        <v>63</v>
      </c>
      <c r="X464" s="2">
        <f t="shared" si="37"/>
        <v>48</v>
      </c>
      <c r="Y464" s="2">
        <f t="shared" si="38"/>
        <v>93</v>
      </c>
      <c r="Z464" s="2" t="str">
        <f t="shared" si="39"/>
        <v/>
      </c>
      <c r="AA464" s="2" t="str">
        <f t="shared" si="40"/>
        <v/>
      </c>
      <c r="AB464" s="2" t="str">
        <f t="shared" si="41"/>
        <v/>
      </c>
      <c r="AC464" s="2">
        <f t="shared" si="42"/>
        <v>0</v>
      </c>
      <c r="AO464" s="6"/>
      <c r="AP464" s="6"/>
      <c r="AQ464" s="6"/>
      <c r="AS464" s="6"/>
      <c r="AT464" s="6"/>
      <c r="AU464" s="6"/>
      <c r="AX464" s="2" t="str">
        <f t="shared" si="43"/>
        <v>null</v>
      </c>
      <c r="AY464" s="2" t="str">
        <f t="shared" si="44"/>
        <v>null</v>
      </c>
      <c r="AZ464" s="2" t="str">
        <f t="shared" si="45"/>
        <v>null</v>
      </c>
      <c r="BA464" s="6"/>
    </row>
    <row r="465" spans="1:53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T465" s="2" t="str">
        <f t="shared" si="34"/>
        <v>null</v>
      </c>
      <c r="U465" s="2" t="str">
        <f t="shared" si="46"/>
        <v>null</v>
      </c>
      <c r="V465" s="2" t="str">
        <f t="shared" si="35"/>
        <v>null</v>
      </c>
      <c r="W465" s="2">
        <f t="shared" si="36"/>
        <v>0</v>
      </c>
      <c r="X465" s="2">
        <f t="shared" si="37"/>
        <v>0</v>
      </c>
      <c r="Y465" s="2">
        <f t="shared" si="38"/>
        <v>0</v>
      </c>
      <c r="Z465" s="2" t="str">
        <f t="shared" si="39"/>
        <v/>
      </c>
      <c r="AA465" s="2" t="str">
        <f t="shared" si="40"/>
        <v/>
      </c>
      <c r="AB465" s="2" t="str">
        <f t="shared" si="41"/>
        <v>Fully Accessible</v>
      </c>
      <c r="AC465" s="2" t="b">
        <f t="shared" si="42"/>
        <v>0</v>
      </c>
      <c r="AO465" s="6"/>
      <c r="AP465" s="6"/>
      <c r="AQ465" s="6"/>
      <c r="AS465" s="6"/>
      <c r="AT465" s="6"/>
      <c r="AU465" s="6"/>
      <c r="AX465" s="2">
        <f t="shared" si="43"/>
        <v>0</v>
      </c>
      <c r="AY465" s="2">
        <f t="shared" si="44"/>
        <v>0</v>
      </c>
      <c r="AZ465" s="2">
        <f t="shared" si="45"/>
        <v>0</v>
      </c>
      <c r="BA465" s="6"/>
    </row>
    <row r="466" spans="1:53" x14ac:dyDescent="0.25">
      <c r="S466" s="3" t="s">
        <v>294</v>
      </c>
      <c r="T466" s="2">
        <f t="shared" ref="T466:V466" si="49">AVERAGE(T2:T465)</f>
        <v>0.27674414191703078</v>
      </c>
      <c r="U466" s="17">
        <f t="shared" si="49"/>
        <v>0.48449369595209568</v>
      </c>
      <c r="V466" s="2">
        <f t="shared" si="49"/>
        <v>0.15482340283977908</v>
      </c>
      <c r="Y466" s="3" t="s">
        <v>295</v>
      </c>
      <c r="Z466" s="2">
        <f t="shared" ref="Z466:AB466" si="50">COUNTIF(Z2:Z465,"Fully Accessible")</f>
        <v>1</v>
      </c>
      <c r="AA466" s="2">
        <f t="shared" si="50"/>
        <v>61</v>
      </c>
      <c r="AB466" s="2">
        <f t="shared" si="50"/>
        <v>232</v>
      </c>
      <c r="AC466" s="18">
        <f>AVERAGE(AC2:AC465)</f>
        <v>0.13333385672040299</v>
      </c>
      <c r="AD466" s="3" t="s">
        <v>296</v>
      </c>
      <c r="AE466" s="3" t="s">
        <v>297</v>
      </c>
      <c r="AO466" s="6"/>
      <c r="AP466" s="6"/>
      <c r="AQ466" s="6"/>
      <c r="AS466" s="6"/>
      <c r="AT466" s="6"/>
      <c r="AU466" s="6"/>
      <c r="AW466" s="3" t="s">
        <v>298</v>
      </c>
      <c r="AX466" s="2">
        <f t="shared" ref="AX466:AZ466" si="51">SUM(AX2:AX465)</f>
        <v>15173062.781570984</v>
      </c>
      <c r="AY466" s="2">
        <f t="shared" si="51"/>
        <v>28189.05970197701</v>
      </c>
      <c r="AZ466" s="2">
        <f t="shared" si="51"/>
        <v>15144873.721869001</v>
      </c>
    </row>
    <row r="467" spans="1:53" x14ac:dyDescent="0.25">
      <c r="A467" s="1"/>
      <c r="B467" s="3" t="s">
        <v>299</v>
      </c>
      <c r="C467" s="19" t="s">
        <v>300</v>
      </c>
      <c r="D467" s="1" t="s">
        <v>301</v>
      </c>
      <c r="E467" s="1" t="s">
        <v>302</v>
      </c>
      <c r="S467" s="3" t="s">
        <v>303</v>
      </c>
      <c r="T467" s="2">
        <f t="shared" ref="T467:V467" si="52">MIN(T2:T465)</f>
        <v>-1.0217886739999997</v>
      </c>
      <c r="U467" s="2">
        <f t="shared" si="52"/>
        <v>-1.2273809599999992</v>
      </c>
      <c r="V467" s="2">
        <f t="shared" si="52"/>
        <v>-1.6200868119999996</v>
      </c>
      <c r="Y467" s="3" t="s">
        <v>304</v>
      </c>
      <c r="Z467" s="2">
        <f>COUNTIFS(Z2:Z465, "Fully Accessible", E2:E465, "=0")</f>
        <v>0</v>
      </c>
      <c r="AA467" s="2">
        <f>COUNTIFS(AA2:AA465, "Fully Accessible", I2:I465, "=0")</f>
        <v>0</v>
      </c>
      <c r="AB467" s="2">
        <f>COUNTIFS(AB2:AB465, "*Fully Accessible*", M2:M465, "=0")</f>
        <v>0</v>
      </c>
      <c r="AC467" s="18">
        <f>MEDIAN(AC2:AC465)</f>
        <v>0</v>
      </c>
      <c r="AD467" s="3" t="s">
        <v>305</v>
      </c>
      <c r="AO467" s="6"/>
      <c r="AP467" s="6"/>
      <c r="AQ467" s="6"/>
      <c r="AS467" s="6"/>
      <c r="AT467" s="6"/>
      <c r="AU467" s="6"/>
      <c r="BA467" s="6"/>
    </row>
    <row r="468" spans="1:53" x14ac:dyDescent="0.25">
      <c r="B468" s="18" t="s">
        <v>306</v>
      </c>
      <c r="E468" s="2">
        <f>80</f>
        <v>80</v>
      </c>
      <c r="S468" s="3" t="s">
        <v>307</v>
      </c>
      <c r="T468" s="2">
        <f t="shared" ref="T468:V468" si="53">MAX(T2:T465)</f>
        <v>2.7503264880000002</v>
      </c>
      <c r="U468" s="2">
        <f t="shared" si="53"/>
        <v>2.6678826380000005</v>
      </c>
      <c r="V468" s="2">
        <f t="shared" si="53"/>
        <v>2.6682118559999992</v>
      </c>
      <c r="Y468" s="3" t="s">
        <v>308</v>
      </c>
      <c r="Z468" s="2">
        <f>COUNTIFS(Z2:Z465, "Fully Accessible", E2:E465, "&lt;0")</f>
        <v>0</v>
      </c>
      <c r="AA468" s="2">
        <f>COUNTIFS(AA2:AA465, "Fully Accessible", I2:I465, "&lt;0")</f>
        <v>0</v>
      </c>
      <c r="AB468" s="2">
        <f>COUNTIFS(AB2:AB465, "Fully Accessible", M2:M465, "&lt;0")</f>
        <v>0</v>
      </c>
      <c r="AO468" s="6"/>
      <c r="AP468" s="6"/>
      <c r="AQ468" s="6"/>
      <c r="AS468" s="6"/>
      <c r="AT468" s="6"/>
      <c r="AU468" s="6"/>
      <c r="BA468" s="16"/>
    </row>
    <row r="469" spans="1:53" x14ac:dyDescent="0.25">
      <c r="B469" s="18" t="s">
        <v>18</v>
      </c>
      <c r="S469" s="3" t="s">
        <v>309</v>
      </c>
      <c r="T469" s="2">
        <f t="shared" ref="T469:V469" si="54">COUNTIF(T2:T465, "null")</f>
        <v>3</v>
      </c>
      <c r="U469" s="2">
        <f t="shared" si="54"/>
        <v>65</v>
      </c>
      <c r="V469" s="2">
        <f t="shared" si="54"/>
        <v>51</v>
      </c>
      <c r="Y469" s="3" t="s">
        <v>310</v>
      </c>
      <c r="Z469" s="2">
        <f>COUNTIFS(Z2:Z465, "Fully Accessible", E2:E465, "&gt;0")</f>
        <v>0</v>
      </c>
      <c r="AA469" s="2">
        <f>COUNTIFS(AA2:AA465, "Fully Accessible", I2:I465, "&gt;0")</f>
        <v>0</v>
      </c>
      <c r="AB469" s="2">
        <f>COUNTIFS(AB2:AB465, "*Fully Accessible*", M2:M465, "&gt;0")</f>
        <v>181</v>
      </c>
      <c r="AO469" s="6"/>
      <c r="AP469" s="6"/>
      <c r="AQ469" s="6"/>
      <c r="AS469" s="6"/>
      <c r="AT469" s="6"/>
      <c r="AU469" s="6"/>
      <c r="BA469" s="16"/>
    </row>
    <row r="470" spans="1:53" x14ac:dyDescent="0.25">
      <c r="A470" s="1"/>
      <c r="B470" s="25" t="s">
        <v>311</v>
      </c>
      <c r="C470" s="26"/>
      <c r="S470" s="3" t="s">
        <v>312</v>
      </c>
      <c r="T470" s="2">
        <f>COUNTIF(E2:E465, 100)</f>
        <v>42</v>
      </c>
      <c r="U470" s="2">
        <f>COUNTIF(I2:I465, 100)</f>
        <v>51</v>
      </c>
      <c r="V470" s="17">
        <f>COUNTIF(M2:M465, 100)</f>
        <v>71</v>
      </c>
      <c r="Y470" s="20" t="s">
        <v>313</v>
      </c>
      <c r="Z470" s="17">
        <v>1</v>
      </c>
      <c r="AA470" s="2"/>
      <c r="AO470" s="6"/>
      <c r="AP470" s="6"/>
      <c r="AQ470" s="6"/>
      <c r="AS470" s="6"/>
      <c r="AT470" s="6"/>
      <c r="AU470" s="6"/>
      <c r="BA470" s="6"/>
    </row>
    <row r="471" spans="1:53" x14ac:dyDescent="0.25">
      <c r="A471" s="1"/>
      <c r="B471" s="18" t="s">
        <v>314</v>
      </c>
      <c r="U471" s="4" t="s">
        <v>315</v>
      </c>
      <c r="AO471" s="6"/>
      <c r="AP471" s="6"/>
      <c r="AQ471" s="6"/>
      <c r="AS471" s="6"/>
      <c r="AT471" s="6"/>
      <c r="AU471" s="6"/>
      <c r="BA471" s="6"/>
    </row>
    <row r="472" spans="1:53" x14ac:dyDescent="0.25">
      <c r="A472" s="1"/>
      <c r="B472" s="18" t="s">
        <v>316</v>
      </c>
      <c r="S472" s="3" t="s">
        <v>317</v>
      </c>
      <c r="T472" s="2">
        <f t="shared" ref="T472:V472" si="55">IF($A3=$A2, COUNTIFS($E2:$E465, 100,$T2:$T465, 0))</f>
        <v>15</v>
      </c>
      <c r="U472" s="2">
        <f t="shared" si="55"/>
        <v>15</v>
      </c>
      <c r="V472" s="2">
        <f t="shared" si="55"/>
        <v>15</v>
      </c>
      <c r="AO472" s="6"/>
      <c r="AP472" s="6"/>
      <c r="AQ472" s="6"/>
      <c r="AS472" s="6"/>
      <c r="AT472" s="6"/>
      <c r="AU472" s="6"/>
      <c r="BA472" s="6"/>
    </row>
    <row r="473" spans="1:53" x14ac:dyDescent="0.25">
      <c r="A473" s="1"/>
      <c r="B473" s="25" t="s">
        <v>315</v>
      </c>
      <c r="C473" s="26"/>
      <c r="R473" s="21" t="s">
        <v>318</v>
      </c>
      <c r="S473" s="21" t="s">
        <v>319</v>
      </c>
      <c r="T473" s="2">
        <f t="shared" ref="T473:V473" si="56">IF($A3=$A2, COUNTIFS($E2:$E465, "&lt;100", $T2:$T465, 0))</f>
        <v>21</v>
      </c>
      <c r="U473" s="2">
        <f t="shared" si="56"/>
        <v>21</v>
      </c>
      <c r="V473" s="2">
        <f t="shared" si="56"/>
        <v>21</v>
      </c>
      <c r="AO473" s="6"/>
      <c r="AP473" s="6"/>
      <c r="AQ473" s="6"/>
      <c r="AS473" s="6"/>
      <c r="AT473" s="6"/>
      <c r="AU473" s="6"/>
      <c r="BA473" s="6"/>
    </row>
    <row r="474" spans="1:53" x14ac:dyDescent="0.25">
      <c r="A474" s="1"/>
      <c r="B474" s="25" t="s">
        <v>320</v>
      </c>
      <c r="C474" s="26"/>
      <c r="S474" s="1"/>
      <c r="AO474" s="6"/>
      <c r="AP474" s="6"/>
      <c r="AQ474" s="6"/>
      <c r="AS474" s="6"/>
      <c r="AT474" s="6"/>
      <c r="AU474" s="6"/>
      <c r="BA474" s="16"/>
    </row>
    <row r="475" spans="1:53" x14ac:dyDescent="0.25">
      <c r="A475" s="1"/>
      <c r="B475" s="25" t="s">
        <v>321</v>
      </c>
      <c r="C475" s="26"/>
      <c r="AO475" s="6"/>
      <c r="AP475" s="6"/>
      <c r="AQ475" s="6"/>
      <c r="AS475" s="6"/>
      <c r="AT475" s="6"/>
      <c r="AU475" s="6"/>
      <c r="BA475" s="6"/>
    </row>
    <row r="476" spans="1:53" x14ac:dyDescent="0.25">
      <c r="A476" s="1"/>
      <c r="B476" s="25" t="s">
        <v>322</v>
      </c>
      <c r="C476" s="26"/>
      <c r="AO476" s="6"/>
      <c r="AP476" s="6"/>
      <c r="AQ476" s="6"/>
      <c r="AS476" s="6"/>
      <c r="AT476" s="6"/>
      <c r="AU476" s="6"/>
      <c r="BA476" s="16"/>
    </row>
    <row r="477" spans="1:53" x14ac:dyDescent="0.25">
      <c r="A477" s="1"/>
      <c r="B477" s="19" t="s">
        <v>323</v>
      </c>
      <c r="C477" s="22" t="s">
        <v>324</v>
      </c>
      <c r="AO477" s="6"/>
      <c r="AP477" s="6"/>
      <c r="AQ477" s="6"/>
      <c r="AS477" s="6"/>
      <c r="AT477" s="6"/>
      <c r="AU477" s="6"/>
      <c r="BA477" s="16"/>
    </row>
    <row r="478" spans="1:53" x14ac:dyDescent="0.25">
      <c r="A478" s="1"/>
      <c r="B478" s="2"/>
      <c r="AO478" s="6"/>
      <c r="AP478" s="6"/>
      <c r="AQ478" s="6"/>
      <c r="AS478" s="6"/>
      <c r="AT478" s="6"/>
      <c r="AU478" s="6"/>
      <c r="BA478" s="6"/>
    </row>
    <row r="479" spans="1:53" x14ac:dyDescent="0.25">
      <c r="B479" s="2"/>
      <c r="AO479" s="6"/>
      <c r="AP479" s="6"/>
      <c r="AQ479" s="6"/>
      <c r="AS479" s="6"/>
      <c r="AT479" s="6"/>
      <c r="AU479" s="6"/>
      <c r="BA479" s="6"/>
    </row>
    <row r="480" spans="1:53" x14ac:dyDescent="0.25">
      <c r="AO480" s="6"/>
      <c r="AP480" s="6"/>
      <c r="AQ480" s="6"/>
      <c r="AS480" s="6"/>
      <c r="AT480" s="6"/>
      <c r="AU480" s="6"/>
      <c r="BA480" s="6"/>
    </row>
    <row r="481" spans="41:53" x14ac:dyDescent="0.25">
      <c r="AO481" s="6"/>
      <c r="AP481" s="6"/>
      <c r="AQ481" s="6"/>
      <c r="AS481" s="6"/>
      <c r="AT481" s="6"/>
      <c r="AU481" s="6"/>
      <c r="BA481" s="6"/>
    </row>
    <row r="482" spans="41:53" x14ac:dyDescent="0.25">
      <c r="AO482" s="6"/>
      <c r="AP482" s="6"/>
      <c r="AQ482" s="6"/>
      <c r="AS482" s="6"/>
      <c r="AT482" s="6"/>
      <c r="AU482" s="6"/>
      <c r="BA482" s="16"/>
    </row>
    <row r="483" spans="41:53" x14ac:dyDescent="0.25">
      <c r="AO483" s="6"/>
      <c r="AP483" s="6"/>
      <c r="AQ483" s="6"/>
      <c r="AS483" s="6"/>
      <c r="AT483" s="6"/>
      <c r="AU483" s="6"/>
      <c r="BA483" s="6"/>
    </row>
    <row r="484" spans="41:53" x14ac:dyDescent="0.25">
      <c r="AO484" s="6"/>
      <c r="AP484" s="6"/>
      <c r="AQ484" s="6"/>
      <c r="AS484" s="6"/>
      <c r="AT484" s="6"/>
      <c r="AU484" s="6"/>
      <c r="BA484" s="16"/>
    </row>
    <row r="485" spans="41:53" x14ac:dyDescent="0.25">
      <c r="AO485" s="6"/>
      <c r="AP485" s="6"/>
      <c r="AQ485" s="6"/>
      <c r="AS485" s="6"/>
      <c r="AT485" s="6"/>
      <c r="AU485" s="6"/>
      <c r="BA485" s="16"/>
    </row>
    <row r="486" spans="41:53" x14ac:dyDescent="0.25">
      <c r="AO486" s="6"/>
      <c r="AP486" s="6"/>
      <c r="AQ486" s="6"/>
      <c r="AS486" s="6"/>
      <c r="AT486" s="6"/>
      <c r="AU486" s="6"/>
      <c r="BA486" s="6"/>
    </row>
    <row r="487" spans="41:53" x14ac:dyDescent="0.25">
      <c r="AO487" s="6"/>
      <c r="AP487" s="6"/>
      <c r="AQ487" s="6"/>
      <c r="AS487" s="6"/>
      <c r="AT487" s="6"/>
      <c r="AU487" s="6"/>
      <c r="BA487" s="6"/>
    </row>
    <row r="488" spans="41:53" x14ac:dyDescent="0.25">
      <c r="AO488" s="6"/>
      <c r="AP488" s="6"/>
      <c r="AQ488" s="6"/>
      <c r="AS488" s="6"/>
      <c r="AT488" s="6"/>
      <c r="AU488" s="6"/>
      <c r="BA488" s="6"/>
    </row>
    <row r="489" spans="41:53" x14ac:dyDescent="0.25">
      <c r="AO489" s="6"/>
      <c r="AP489" s="6"/>
      <c r="AQ489" s="6"/>
      <c r="AS489" s="6"/>
      <c r="AT489" s="6"/>
      <c r="AU489" s="6"/>
      <c r="BA489" s="6"/>
    </row>
    <row r="490" spans="41:53" x14ac:dyDescent="0.25">
      <c r="AO490" s="6"/>
      <c r="AP490" s="6"/>
      <c r="AQ490" s="6"/>
      <c r="AS490" s="6"/>
      <c r="AT490" s="6"/>
      <c r="AU490" s="6"/>
      <c r="BA490" s="16"/>
    </row>
    <row r="491" spans="41:53" x14ac:dyDescent="0.25">
      <c r="AO491" s="6"/>
      <c r="AP491" s="6"/>
      <c r="AQ491" s="6"/>
      <c r="AS491" s="6"/>
      <c r="AT491" s="6"/>
      <c r="AU491" s="6"/>
      <c r="BA491" s="6"/>
    </row>
    <row r="492" spans="41:53" x14ac:dyDescent="0.25">
      <c r="AO492" s="6"/>
      <c r="AP492" s="6"/>
      <c r="AQ492" s="6"/>
      <c r="AS492" s="6"/>
      <c r="AT492" s="6"/>
      <c r="AU492" s="6"/>
      <c r="BA492" s="16"/>
    </row>
    <row r="493" spans="41:53" x14ac:dyDescent="0.25">
      <c r="AO493" s="6"/>
      <c r="AP493" s="6"/>
      <c r="AQ493" s="6"/>
      <c r="AS493" s="6"/>
      <c r="AT493" s="6"/>
      <c r="AU493" s="6"/>
      <c r="BA493" s="16"/>
    </row>
    <row r="494" spans="41:53" x14ac:dyDescent="0.25">
      <c r="AO494" s="6"/>
      <c r="AP494" s="6"/>
      <c r="AQ494" s="6"/>
      <c r="AS494" s="6"/>
      <c r="AT494" s="6"/>
      <c r="AU494" s="6"/>
      <c r="BA494" s="6"/>
    </row>
    <row r="495" spans="41:53" x14ac:dyDescent="0.25">
      <c r="AO495" s="6"/>
      <c r="AP495" s="6"/>
      <c r="AQ495" s="6"/>
      <c r="AS495" s="6"/>
      <c r="AT495" s="6"/>
      <c r="AU495" s="6"/>
      <c r="BA495" s="6"/>
    </row>
    <row r="496" spans="41:53" x14ac:dyDescent="0.25">
      <c r="AO496" s="6"/>
      <c r="AP496" s="6"/>
      <c r="AQ496" s="6"/>
      <c r="AS496" s="6"/>
      <c r="AT496" s="6"/>
      <c r="AU496" s="6"/>
      <c r="BA496" s="6"/>
    </row>
    <row r="497" spans="41:53" x14ac:dyDescent="0.25">
      <c r="AO497" s="6"/>
      <c r="AP497" s="6"/>
      <c r="AQ497" s="6"/>
      <c r="AS497" s="6"/>
      <c r="AT497" s="6"/>
      <c r="AU497" s="6"/>
      <c r="BA497" s="6"/>
    </row>
    <row r="498" spans="41:53" x14ac:dyDescent="0.25">
      <c r="AO498" s="6"/>
      <c r="AP498" s="6"/>
      <c r="AQ498" s="6"/>
      <c r="AS498" s="6"/>
      <c r="AT498" s="6"/>
      <c r="AU498" s="6"/>
      <c r="BA498" s="16"/>
    </row>
    <row r="499" spans="41:53" x14ac:dyDescent="0.25">
      <c r="AO499" s="6"/>
      <c r="AP499" s="6"/>
      <c r="AQ499" s="6"/>
      <c r="AS499" s="6"/>
      <c r="AT499" s="6"/>
      <c r="AU499" s="6"/>
      <c r="BA499" s="6"/>
    </row>
    <row r="500" spans="41:53" x14ac:dyDescent="0.25">
      <c r="AO500" s="6"/>
      <c r="AP500" s="6"/>
      <c r="AQ500" s="6"/>
      <c r="AS500" s="6"/>
      <c r="AT500" s="6"/>
      <c r="AU500" s="6"/>
      <c r="BA500" s="16"/>
    </row>
    <row r="501" spans="41:53" x14ac:dyDescent="0.25">
      <c r="AO501" s="6"/>
      <c r="AP501" s="6"/>
      <c r="AQ501" s="6"/>
      <c r="AS501" s="6"/>
      <c r="AT501" s="6"/>
      <c r="AU501" s="6"/>
      <c r="BA501" s="16"/>
    </row>
    <row r="502" spans="41:53" x14ac:dyDescent="0.25">
      <c r="AO502" s="6"/>
      <c r="AP502" s="6"/>
      <c r="AQ502" s="6"/>
      <c r="AS502" s="6"/>
      <c r="AT502" s="6"/>
      <c r="AU502" s="6"/>
      <c r="BA502" s="6"/>
    </row>
    <row r="503" spans="41:53" x14ac:dyDescent="0.25">
      <c r="AO503" s="6"/>
      <c r="AP503" s="6"/>
      <c r="AQ503" s="6"/>
      <c r="AS503" s="6"/>
      <c r="AT503" s="6"/>
      <c r="AU503" s="6"/>
      <c r="BA503" s="6"/>
    </row>
    <row r="504" spans="41:53" x14ac:dyDescent="0.25">
      <c r="AO504" s="6"/>
      <c r="AP504" s="6"/>
      <c r="AQ504" s="6"/>
      <c r="AS504" s="6"/>
      <c r="AT504" s="6"/>
      <c r="AU504" s="6"/>
      <c r="BA504" s="6"/>
    </row>
    <row r="505" spans="41:53" x14ac:dyDescent="0.25">
      <c r="AO505" s="6"/>
      <c r="AP505" s="6"/>
      <c r="AQ505" s="6"/>
      <c r="AS505" s="6"/>
      <c r="AT505" s="6"/>
      <c r="AU505" s="6"/>
      <c r="BA505" s="6"/>
    </row>
    <row r="506" spans="41:53" x14ac:dyDescent="0.25">
      <c r="AO506" s="6"/>
      <c r="AP506" s="6"/>
      <c r="AQ506" s="6"/>
      <c r="AS506" s="6"/>
      <c r="AT506" s="6"/>
      <c r="AU506" s="6"/>
      <c r="BA506" s="16"/>
    </row>
    <row r="507" spans="41:53" x14ac:dyDescent="0.25">
      <c r="AO507" s="6"/>
      <c r="AP507" s="6"/>
      <c r="AQ507" s="6"/>
      <c r="AS507" s="6"/>
      <c r="AT507" s="6"/>
      <c r="AU507" s="6"/>
      <c r="BA507" s="6"/>
    </row>
    <row r="508" spans="41:53" x14ac:dyDescent="0.25">
      <c r="AO508" s="6"/>
      <c r="AP508" s="6"/>
      <c r="AQ508" s="6"/>
      <c r="AS508" s="6"/>
      <c r="AT508" s="6"/>
      <c r="AU508" s="6"/>
      <c r="BA508" s="16"/>
    </row>
    <row r="509" spans="41:53" x14ac:dyDescent="0.25">
      <c r="AO509" s="6"/>
      <c r="AP509" s="6"/>
      <c r="AQ509" s="6"/>
      <c r="AS509" s="6"/>
      <c r="AT509" s="6"/>
      <c r="AU509" s="6"/>
      <c r="BA509" s="16"/>
    </row>
    <row r="510" spans="41:53" x14ac:dyDescent="0.25">
      <c r="AO510" s="6"/>
      <c r="AP510" s="6"/>
      <c r="AQ510" s="6"/>
      <c r="AS510" s="6"/>
      <c r="AT510" s="6"/>
      <c r="AU510" s="6"/>
      <c r="BA510" s="6"/>
    </row>
    <row r="511" spans="41:53" x14ac:dyDescent="0.25">
      <c r="AO511" s="6"/>
      <c r="AP511" s="6"/>
      <c r="AQ511" s="6"/>
      <c r="AS511" s="6"/>
      <c r="AT511" s="6"/>
      <c r="AU511" s="6"/>
      <c r="BA511" s="6"/>
    </row>
    <row r="512" spans="41:53" x14ac:dyDescent="0.25">
      <c r="AO512" s="6"/>
      <c r="AP512" s="6"/>
      <c r="AQ512" s="6"/>
      <c r="AS512" s="6"/>
      <c r="AT512" s="6"/>
      <c r="AU512" s="6"/>
      <c r="BA512" s="6"/>
    </row>
    <row r="513" spans="41:53" x14ac:dyDescent="0.25">
      <c r="AO513" s="6"/>
      <c r="AP513" s="6"/>
      <c r="AQ513" s="6"/>
      <c r="AS513" s="6"/>
      <c r="AT513" s="6"/>
      <c r="AU513" s="6"/>
      <c r="BA513" s="6"/>
    </row>
    <row r="514" spans="41:53" x14ac:dyDescent="0.25">
      <c r="AO514" s="6"/>
      <c r="AP514" s="6"/>
      <c r="AQ514" s="6"/>
      <c r="AS514" s="6"/>
      <c r="AT514" s="6"/>
      <c r="AU514" s="6"/>
      <c r="BA514" s="16"/>
    </row>
    <row r="515" spans="41:53" x14ac:dyDescent="0.25">
      <c r="AO515" s="6"/>
      <c r="AP515" s="6"/>
      <c r="AQ515" s="6"/>
      <c r="AS515" s="6"/>
      <c r="AT515" s="6"/>
      <c r="AU515" s="6"/>
      <c r="BA515" s="6"/>
    </row>
    <row r="516" spans="41:53" x14ac:dyDescent="0.25">
      <c r="AO516" s="6"/>
      <c r="AP516" s="6"/>
      <c r="AQ516" s="6"/>
      <c r="AS516" s="6"/>
      <c r="AT516" s="6"/>
      <c r="AU516" s="6"/>
      <c r="BA516" s="16"/>
    </row>
    <row r="517" spans="41:53" x14ac:dyDescent="0.25">
      <c r="AO517" s="6"/>
      <c r="AP517" s="6"/>
      <c r="AQ517" s="6"/>
      <c r="AS517" s="6"/>
      <c r="AT517" s="6"/>
      <c r="AU517" s="6"/>
      <c r="BA517" s="16"/>
    </row>
    <row r="518" spans="41:53" x14ac:dyDescent="0.25">
      <c r="AO518" s="6"/>
      <c r="AP518" s="6"/>
      <c r="AQ518" s="6"/>
      <c r="AS518" s="6"/>
      <c r="AT518" s="6"/>
      <c r="AU518" s="6"/>
      <c r="BA518" s="6"/>
    </row>
    <row r="519" spans="41:53" x14ac:dyDescent="0.25">
      <c r="AO519" s="6"/>
      <c r="AP519" s="6"/>
      <c r="AQ519" s="6"/>
      <c r="AS519" s="6"/>
      <c r="AT519" s="6"/>
      <c r="AU519" s="6"/>
      <c r="BA519" s="6"/>
    </row>
    <row r="520" spans="41:53" x14ac:dyDescent="0.25">
      <c r="AO520" s="6"/>
      <c r="AP520" s="6"/>
      <c r="AQ520" s="6"/>
      <c r="AS520" s="6"/>
      <c r="AT520" s="6"/>
      <c r="AU520" s="6"/>
      <c r="BA520" s="6"/>
    </row>
    <row r="521" spans="41:53" x14ac:dyDescent="0.25">
      <c r="AO521" s="6"/>
      <c r="AP521" s="6"/>
      <c r="AQ521" s="6"/>
      <c r="AS521" s="6"/>
      <c r="AT521" s="6"/>
      <c r="AU521" s="6"/>
      <c r="BA521" s="6"/>
    </row>
    <row r="522" spans="41:53" x14ac:dyDescent="0.25">
      <c r="AO522" s="6"/>
      <c r="AP522" s="6"/>
      <c r="AQ522" s="6"/>
      <c r="AS522" s="6"/>
      <c r="AT522" s="6"/>
      <c r="AU522" s="6"/>
      <c r="BA522" s="16"/>
    </row>
    <row r="523" spans="41:53" x14ac:dyDescent="0.25">
      <c r="AO523" s="6"/>
      <c r="AP523" s="6"/>
      <c r="AQ523" s="6"/>
      <c r="AS523" s="6"/>
      <c r="AT523" s="6"/>
      <c r="AU523" s="6"/>
      <c r="BA523" s="6"/>
    </row>
    <row r="524" spans="41:53" x14ac:dyDescent="0.25">
      <c r="AO524" s="6"/>
      <c r="AP524" s="6"/>
      <c r="AQ524" s="6"/>
      <c r="AS524" s="6"/>
      <c r="AT524" s="6"/>
      <c r="AU524" s="6"/>
      <c r="BA524" s="16"/>
    </row>
    <row r="525" spans="41:53" x14ac:dyDescent="0.25">
      <c r="AO525" s="6"/>
      <c r="AP525" s="6"/>
      <c r="AQ525" s="6"/>
      <c r="AS525" s="6"/>
      <c r="AT525" s="6"/>
      <c r="AU525" s="6"/>
      <c r="BA525" s="16"/>
    </row>
    <row r="526" spans="41:53" x14ac:dyDescent="0.25">
      <c r="AO526" s="6"/>
      <c r="AP526" s="6"/>
      <c r="AQ526" s="6"/>
      <c r="AS526" s="6"/>
      <c r="AT526" s="6"/>
      <c r="AU526" s="6"/>
      <c r="BA526" s="6"/>
    </row>
    <row r="527" spans="41:53" x14ac:dyDescent="0.25">
      <c r="AO527" s="6"/>
      <c r="AP527" s="6"/>
      <c r="AQ527" s="6"/>
      <c r="AS527" s="6"/>
      <c r="AT527" s="6"/>
      <c r="AU527" s="6"/>
      <c r="BA527" s="6"/>
    </row>
    <row r="528" spans="41:53" x14ac:dyDescent="0.25">
      <c r="AO528" s="6"/>
      <c r="AP528" s="6"/>
      <c r="AQ528" s="6"/>
      <c r="AS528" s="6"/>
      <c r="AT528" s="6"/>
      <c r="AU528" s="6"/>
      <c r="BA528" s="6"/>
    </row>
    <row r="529" spans="41:53" x14ac:dyDescent="0.25">
      <c r="AO529" s="6"/>
      <c r="AP529" s="6"/>
      <c r="AQ529" s="6"/>
      <c r="AS529" s="6"/>
      <c r="AT529" s="6"/>
      <c r="AU529" s="6"/>
      <c r="BA529" s="6"/>
    </row>
    <row r="530" spans="41:53" x14ac:dyDescent="0.25">
      <c r="AO530" s="6"/>
      <c r="AP530" s="6"/>
      <c r="AQ530" s="6"/>
      <c r="AS530" s="6"/>
      <c r="AT530" s="6"/>
      <c r="AU530" s="6"/>
      <c r="BA530" s="16"/>
    </row>
    <row r="531" spans="41:53" x14ac:dyDescent="0.25">
      <c r="AO531" s="6"/>
      <c r="AP531" s="6"/>
      <c r="AQ531" s="6"/>
      <c r="AS531" s="6"/>
      <c r="AT531" s="6"/>
      <c r="AU531" s="6"/>
      <c r="BA531" s="6"/>
    </row>
    <row r="532" spans="41:53" x14ac:dyDescent="0.25">
      <c r="AO532" s="6"/>
      <c r="AP532" s="6"/>
      <c r="AQ532" s="6"/>
      <c r="AS532" s="6"/>
      <c r="AT532" s="6"/>
      <c r="AU532" s="6"/>
      <c r="BA532" s="16"/>
    </row>
    <row r="533" spans="41:53" x14ac:dyDescent="0.25">
      <c r="AO533" s="6"/>
      <c r="AP533" s="6"/>
      <c r="AQ533" s="6"/>
      <c r="AS533" s="6"/>
      <c r="AT533" s="6"/>
      <c r="AU533" s="6"/>
      <c r="BA533" s="16"/>
    </row>
    <row r="534" spans="41:53" x14ac:dyDescent="0.25">
      <c r="AO534" s="6"/>
      <c r="AP534" s="6"/>
      <c r="AQ534" s="6"/>
      <c r="AS534" s="6"/>
      <c r="AT534" s="6"/>
      <c r="AU534" s="6"/>
      <c r="BA534" s="6"/>
    </row>
    <row r="535" spans="41:53" x14ac:dyDescent="0.25">
      <c r="AO535" s="6"/>
      <c r="AP535" s="6"/>
      <c r="AQ535" s="6"/>
      <c r="AS535" s="6"/>
      <c r="AT535" s="6"/>
      <c r="AU535" s="6"/>
      <c r="BA535" s="6"/>
    </row>
    <row r="536" spans="41:53" x14ac:dyDescent="0.25">
      <c r="AO536" s="6"/>
      <c r="AP536" s="6"/>
      <c r="AQ536" s="6"/>
      <c r="AS536" s="6"/>
      <c r="AT536" s="6"/>
      <c r="AU536" s="6"/>
      <c r="BA536" s="6"/>
    </row>
    <row r="537" spans="41:53" x14ac:dyDescent="0.25">
      <c r="AO537" s="6"/>
      <c r="AP537" s="6"/>
      <c r="AQ537" s="6"/>
      <c r="AS537" s="6"/>
      <c r="AT537" s="6"/>
      <c r="AU537" s="6"/>
      <c r="BA537" s="6"/>
    </row>
    <row r="538" spans="41:53" x14ac:dyDescent="0.25">
      <c r="AO538" s="6"/>
      <c r="AP538" s="6"/>
      <c r="AQ538" s="6"/>
      <c r="AS538" s="6"/>
      <c r="AT538" s="6"/>
      <c r="AU538" s="6"/>
      <c r="BA538" s="16"/>
    </row>
    <row r="539" spans="41:53" x14ac:dyDescent="0.25">
      <c r="AO539" s="6"/>
      <c r="AP539" s="6"/>
      <c r="AQ539" s="6"/>
      <c r="AS539" s="6"/>
      <c r="AT539" s="6"/>
      <c r="AU539" s="6"/>
      <c r="BA539" s="6"/>
    </row>
    <row r="540" spans="41:53" x14ac:dyDescent="0.25">
      <c r="AO540" s="6"/>
      <c r="AP540" s="6"/>
      <c r="AQ540" s="6"/>
      <c r="AS540" s="6"/>
      <c r="AT540" s="6"/>
      <c r="AU540" s="6"/>
      <c r="BA540" s="16"/>
    </row>
    <row r="541" spans="41:53" x14ac:dyDescent="0.25">
      <c r="AO541" s="6"/>
      <c r="AP541" s="6"/>
      <c r="AQ541" s="6"/>
      <c r="AS541" s="6"/>
      <c r="AT541" s="6"/>
      <c r="AU541" s="6"/>
      <c r="BA541" s="16"/>
    </row>
    <row r="542" spans="41:53" x14ac:dyDescent="0.25">
      <c r="AO542" s="6"/>
      <c r="AP542" s="6"/>
      <c r="AQ542" s="6"/>
      <c r="AS542" s="6"/>
      <c r="AT542" s="6"/>
      <c r="AU542" s="6"/>
      <c r="BA542" s="6"/>
    </row>
    <row r="543" spans="41:53" x14ac:dyDescent="0.25">
      <c r="AO543" s="6"/>
      <c r="AP543" s="6"/>
      <c r="AQ543" s="6"/>
      <c r="AS543" s="6"/>
      <c r="AT543" s="6"/>
      <c r="AU543" s="6"/>
      <c r="BA543" s="6"/>
    </row>
    <row r="544" spans="41:53" x14ac:dyDescent="0.25">
      <c r="AO544" s="6"/>
      <c r="AP544" s="6"/>
      <c r="AQ544" s="6"/>
      <c r="AS544" s="6"/>
      <c r="AT544" s="6"/>
      <c r="AU544" s="6"/>
      <c r="BA544" s="6"/>
    </row>
    <row r="545" spans="41:53" x14ac:dyDescent="0.25">
      <c r="AO545" s="6"/>
      <c r="AP545" s="6"/>
      <c r="AQ545" s="6"/>
      <c r="AS545" s="6"/>
      <c r="AT545" s="6"/>
      <c r="AU545" s="6"/>
      <c r="BA545" s="6"/>
    </row>
    <row r="546" spans="41:53" x14ac:dyDescent="0.25">
      <c r="AO546" s="6"/>
      <c r="AP546" s="6"/>
      <c r="AQ546" s="6"/>
      <c r="AS546" s="6"/>
      <c r="AT546" s="6"/>
      <c r="AU546" s="6"/>
      <c r="BA546" s="16"/>
    </row>
    <row r="547" spans="41:53" x14ac:dyDescent="0.25">
      <c r="AO547" s="6"/>
      <c r="AP547" s="6"/>
      <c r="AQ547" s="6"/>
      <c r="AS547" s="6"/>
      <c r="AT547" s="6"/>
      <c r="AU547" s="6"/>
      <c r="BA547" s="6"/>
    </row>
    <row r="548" spans="41:53" x14ac:dyDescent="0.25">
      <c r="AO548" s="6"/>
      <c r="AP548" s="6"/>
      <c r="AQ548" s="6"/>
      <c r="AS548" s="6"/>
      <c r="AT548" s="6"/>
      <c r="AU548" s="6"/>
      <c r="BA548" s="16"/>
    </row>
    <row r="549" spans="41:53" x14ac:dyDescent="0.25">
      <c r="AO549" s="6"/>
      <c r="AP549" s="6"/>
      <c r="AQ549" s="6"/>
      <c r="AS549" s="6"/>
      <c r="AT549" s="6"/>
      <c r="AU549" s="6"/>
      <c r="BA549" s="16"/>
    </row>
    <row r="550" spans="41:53" x14ac:dyDescent="0.25">
      <c r="AO550" s="6"/>
      <c r="AP550" s="6"/>
      <c r="AQ550" s="6"/>
      <c r="AS550" s="6"/>
      <c r="AT550" s="6"/>
      <c r="AU550" s="6"/>
      <c r="BA550" s="6"/>
    </row>
    <row r="551" spans="41:53" x14ac:dyDescent="0.25">
      <c r="AO551" s="6"/>
      <c r="AP551" s="6"/>
      <c r="AQ551" s="6"/>
      <c r="AS551" s="6"/>
      <c r="AT551" s="6"/>
      <c r="AU551" s="6"/>
      <c r="BA551" s="6"/>
    </row>
    <row r="552" spans="41:53" x14ac:dyDescent="0.25">
      <c r="AO552" s="6"/>
      <c r="AP552" s="6"/>
      <c r="AQ552" s="6"/>
      <c r="AS552" s="6"/>
      <c r="AT552" s="6"/>
      <c r="AU552" s="6"/>
      <c r="BA552" s="6"/>
    </row>
    <row r="553" spans="41:53" x14ac:dyDescent="0.25">
      <c r="AO553" s="6"/>
      <c r="AP553" s="6"/>
      <c r="AQ553" s="6"/>
      <c r="AS553" s="6"/>
      <c r="AT553" s="6"/>
      <c r="AU553" s="6"/>
      <c r="BA553" s="6"/>
    </row>
    <row r="554" spans="41:53" x14ac:dyDescent="0.25">
      <c r="AO554" s="6"/>
      <c r="AP554" s="6"/>
      <c r="AQ554" s="6"/>
      <c r="AS554" s="6"/>
      <c r="AT554" s="6"/>
      <c r="AU554" s="6"/>
      <c r="BA554" s="16"/>
    </row>
    <row r="555" spans="41:53" x14ac:dyDescent="0.25">
      <c r="AO555" s="6"/>
      <c r="AP555" s="6"/>
      <c r="AQ555" s="6"/>
      <c r="AS555" s="6"/>
      <c r="AT555" s="6"/>
      <c r="AU555" s="6"/>
      <c r="BA555" s="6"/>
    </row>
    <row r="556" spans="41:53" x14ac:dyDescent="0.25">
      <c r="AO556" s="6"/>
      <c r="AP556" s="6"/>
      <c r="AQ556" s="6"/>
      <c r="AS556" s="6"/>
      <c r="AT556" s="6"/>
      <c r="AU556" s="6"/>
      <c r="BA556" s="16"/>
    </row>
    <row r="557" spans="41:53" x14ac:dyDescent="0.25">
      <c r="AO557" s="6"/>
      <c r="AP557" s="6"/>
      <c r="AQ557" s="6"/>
      <c r="AS557" s="6"/>
      <c r="AT557" s="6"/>
      <c r="AU557" s="6"/>
      <c r="BA557" s="16"/>
    </row>
    <row r="558" spans="41:53" x14ac:dyDescent="0.25">
      <c r="AO558" s="6"/>
      <c r="AP558" s="6"/>
      <c r="AQ558" s="6"/>
      <c r="AS558" s="6"/>
      <c r="AT558" s="6"/>
      <c r="AU558" s="6"/>
      <c r="BA558" s="6"/>
    </row>
    <row r="559" spans="41:53" x14ac:dyDescent="0.25">
      <c r="AO559" s="6"/>
      <c r="AP559" s="6"/>
      <c r="AQ559" s="6"/>
      <c r="AS559" s="6"/>
      <c r="AT559" s="6"/>
      <c r="AU559" s="6"/>
      <c r="BA559" s="6"/>
    </row>
    <row r="560" spans="41:53" x14ac:dyDescent="0.25">
      <c r="AO560" s="6"/>
      <c r="AP560" s="6"/>
      <c r="AQ560" s="6"/>
      <c r="AS560" s="6"/>
      <c r="AT560" s="6"/>
      <c r="AU560" s="6"/>
      <c r="BA560" s="6"/>
    </row>
    <row r="561" spans="41:53" x14ac:dyDescent="0.25">
      <c r="AO561" s="6"/>
      <c r="AP561" s="6"/>
      <c r="AQ561" s="6"/>
      <c r="AS561" s="6"/>
      <c r="AT561" s="6"/>
      <c r="AU561" s="6"/>
      <c r="BA561" s="6"/>
    </row>
    <row r="562" spans="41:53" x14ac:dyDescent="0.25">
      <c r="AO562" s="6"/>
      <c r="AP562" s="6"/>
      <c r="AQ562" s="6"/>
      <c r="AS562" s="6"/>
      <c r="AT562" s="6"/>
      <c r="AU562" s="6"/>
      <c r="BA562" s="16"/>
    </row>
    <row r="563" spans="41:53" x14ac:dyDescent="0.25">
      <c r="AO563" s="6"/>
      <c r="AP563" s="6"/>
      <c r="AQ563" s="6"/>
      <c r="AS563" s="6"/>
      <c r="AT563" s="6"/>
      <c r="AU563" s="6"/>
      <c r="BA563" s="6"/>
    </row>
    <row r="564" spans="41:53" x14ac:dyDescent="0.25">
      <c r="AO564" s="6"/>
      <c r="AP564" s="6"/>
      <c r="AQ564" s="6"/>
      <c r="AS564" s="6"/>
      <c r="AT564" s="6"/>
      <c r="AU564" s="6"/>
      <c r="BA564" s="16"/>
    </row>
    <row r="565" spans="41:53" x14ac:dyDescent="0.25">
      <c r="AO565" s="6"/>
      <c r="AP565" s="6"/>
      <c r="AQ565" s="6"/>
      <c r="AS565" s="6"/>
      <c r="AT565" s="6"/>
      <c r="AU565" s="6"/>
      <c r="BA565" s="16"/>
    </row>
    <row r="566" spans="41:53" x14ac:dyDescent="0.25">
      <c r="AO566" s="6"/>
      <c r="AP566" s="6"/>
      <c r="AQ566" s="6"/>
      <c r="AS566" s="6"/>
      <c r="AT566" s="6"/>
      <c r="AU566" s="6"/>
      <c r="BA566" s="6"/>
    </row>
    <row r="567" spans="41:53" x14ac:dyDescent="0.25">
      <c r="AO567" s="6"/>
      <c r="AP567" s="6"/>
      <c r="AQ567" s="6"/>
      <c r="AS567" s="6"/>
      <c r="AT567" s="6"/>
      <c r="AU567" s="6"/>
      <c r="BA567" s="6"/>
    </row>
    <row r="568" spans="41:53" x14ac:dyDescent="0.25">
      <c r="AO568" s="6"/>
      <c r="AP568" s="6"/>
      <c r="AQ568" s="6"/>
      <c r="AS568" s="6"/>
      <c r="AT568" s="6"/>
      <c r="AU568" s="6"/>
      <c r="BA568" s="6"/>
    </row>
    <row r="569" spans="41:53" x14ac:dyDescent="0.25">
      <c r="AO569" s="6"/>
      <c r="AP569" s="6"/>
      <c r="AQ569" s="6"/>
      <c r="AS569" s="6"/>
      <c r="AT569" s="6"/>
      <c r="AU569" s="6"/>
      <c r="BA569" s="6"/>
    </row>
    <row r="570" spans="41:53" x14ac:dyDescent="0.25">
      <c r="AO570" s="6"/>
      <c r="AP570" s="6"/>
      <c r="AQ570" s="6"/>
      <c r="AS570" s="6"/>
      <c r="AT570" s="6"/>
      <c r="AU570" s="6"/>
      <c r="BA570" s="16"/>
    </row>
    <row r="571" spans="41:53" x14ac:dyDescent="0.25">
      <c r="AO571" s="6"/>
      <c r="AP571" s="6"/>
      <c r="AQ571" s="6"/>
      <c r="AS571" s="6"/>
      <c r="AT571" s="6"/>
      <c r="AU571" s="6"/>
      <c r="BA571" s="6"/>
    </row>
    <row r="572" spans="41:53" x14ac:dyDescent="0.25">
      <c r="AO572" s="6"/>
      <c r="AP572" s="6"/>
      <c r="AQ572" s="6"/>
      <c r="AS572" s="6"/>
      <c r="AT572" s="6"/>
      <c r="AU572" s="6"/>
      <c r="BA572" s="16"/>
    </row>
    <row r="573" spans="41:53" x14ac:dyDescent="0.25">
      <c r="AO573" s="6"/>
      <c r="AP573" s="6"/>
      <c r="AQ573" s="6"/>
      <c r="AS573" s="6"/>
      <c r="AT573" s="6"/>
      <c r="AU573" s="6"/>
      <c r="BA573" s="16"/>
    </row>
    <row r="574" spans="41:53" x14ac:dyDescent="0.25">
      <c r="AO574" s="6"/>
      <c r="AP574" s="6"/>
      <c r="AQ574" s="6"/>
      <c r="AS574" s="6"/>
      <c r="AT574" s="6"/>
      <c r="AU574" s="6"/>
      <c r="BA574" s="6"/>
    </row>
    <row r="575" spans="41:53" x14ac:dyDescent="0.25">
      <c r="AO575" s="6"/>
      <c r="AP575" s="6"/>
      <c r="AQ575" s="6"/>
      <c r="AS575" s="6"/>
      <c r="AT575" s="6"/>
      <c r="AU575" s="6"/>
      <c r="BA575" s="6"/>
    </row>
    <row r="576" spans="41:53" x14ac:dyDescent="0.25">
      <c r="AO576" s="6"/>
      <c r="AP576" s="6"/>
      <c r="AQ576" s="6"/>
      <c r="AS576" s="6"/>
      <c r="AT576" s="6"/>
      <c r="AU576" s="6"/>
      <c r="BA576" s="6"/>
    </row>
    <row r="577" spans="41:53" x14ac:dyDescent="0.25">
      <c r="AO577" s="6"/>
      <c r="AP577" s="6"/>
      <c r="AQ577" s="6"/>
      <c r="AS577" s="6"/>
      <c r="AT577" s="6"/>
      <c r="AU577" s="6"/>
      <c r="BA577" s="6"/>
    </row>
    <row r="578" spans="41:53" x14ac:dyDescent="0.25">
      <c r="AO578" s="6"/>
      <c r="AP578" s="6"/>
      <c r="AQ578" s="6"/>
      <c r="AS578" s="6"/>
      <c r="AT578" s="6"/>
      <c r="AU578" s="6"/>
      <c r="BA578" s="16"/>
    </row>
    <row r="579" spans="41:53" x14ac:dyDescent="0.25">
      <c r="AO579" s="6"/>
      <c r="AP579" s="6"/>
      <c r="AQ579" s="6"/>
      <c r="AS579" s="6"/>
      <c r="AT579" s="6"/>
      <c r="AU579" s="6"/>
      <c r="BA579" s="6"/>
    </row>
    <row r="580" spans="41:53" x14ac:dyDescent="0.25">
      <c r="AO580" s="6"/>
      <c r="AP580" s="6"/>
      <c r="AQ580" s="6"/>
      <c r="AS580" s="6"/>
      <c r="AT580" s="6"/>
      <c r="AU580" s="6"/>
      <c r="BA580" s="16"/>
    </row>
    <row r="581" spans="41:53" x14ac:dyDescent="0.25">
      <c r="AO581" s="6"/>
      <c r="AP581" s="6"/>
      <c r="AQ581" s="6"/>
      <c r="AS581" s="6"/>
      <c r="AT581" s="6"/>
      <c r="AU581" s="6"/>
      <c r="BA581" s="16"/>
    </row>
    <row r="582" spans="41:53" x14ac:dyDescent="0.25">
      <c r="AO582" s="6"/>
      <c r="AP582" s="6"/>
      <c r="AQ582" s="6"/>
      <c r="AS582" s="6"/>
      <c r="AT582" s="6"/>
      <c r="AU582" s="6"/>
      <c r="BA582" s="6"/>
    </row>
    <row r="583" spans="41:53" x14ac:dyDescent="0.25">
      <c r="AO583" s="6"/>
      <c r="AP583" s="6"/>
      <c r="AQ583" s="6"/>
      <c r="AS583" s="6"/>
      <c r="AT583" s="6"/>
      <c r="AU583" s="6"/>
      <c r="BA583" s="6"/>
    </row>
    <row r="584" spans="41:53" x14ac:dyDescent="0.25">
      <c r="AO584" s="6"/>
      <c r="AP584" s="6"/>
      <c r="AQ584" s="6"/>
      <c r="AS584" s="6"/>
      <c r="AT584" s="6"/>
      <c r="AU584" s="6"/>
      <c r="BA584" s="6"/>
    </row>
    <row r="585" spans="41:53" x14ac:dyDescent="0.25">
      <c r="AO585" s="6"/>
      <c r="AP585" s="6"/>
      <c r="AQ585" s="6"/>
      <c r="AS585" s="6"/>
      <c r="AT585" s="6"/>
      <c r="AU585" s="6"/>
      <c r="BA585" s="6"/>
    </row>
    <row r="586" spans="41:53" x14ac:dyDescent="0.25">
      <c r="AO586" s="6"/>
      <c r="AP586" s="6"/>
      <c r="AQ586" s="6"/>
      <c r="AS586" s="6"/>
      <c r="AT586" s="6"/>
      <c r="AU586" s="6"/>
      <c r="BA586" s="16"/>
    </row>
    <row r="587" spans="41:53" x14ac:dyDescent="0.25">
      <c r="AO587" s="6"/>
      <c r="AP587" s="6"/>
      <c r="AQ587" s="6"/>
      <c r="AS587" s="6"/>
      <c r="AT587" s="6"/>
      <c r="AU587" s="6"/>
      <c r="BA587" s="6"/>
    </row>
    <row r="588" spans="41:53" x14ac:dyDescent="0.25">
      <c r="AO588" s="6"/>
      <c r="AP588" s="6"/>
      <c r="AQ588" s="6"/>
      <c r="AS588" s="6"/>
      <c r="AT588" s="6"/>
      <c r="AU588" s="6"/>
      <c r="BA588" s="16"/>
    </row>
    <row r="589" spans="41:53" x14ac:dyDescent="0.25">
      <c r="AO589" s="6"/>
      <c r="AP589" s="6"/>
      <c r="AQ589" s="6"/>
      <c r="AS589" s="6"/>
      <c r="AT589" s="6"/>
      <c r="AU589" s="6"/>
      <c r="BA589" s="16"/>
    </row>
    <row r="590" spans="41:53" x14ac:dyDescent="0.25">
      <c r="AO590" s="6"/>
      <c r="AP590" s="6"/>
      <c r="AQ590" s="6"/>
      <c r="AS590" s="6"/>
      <c r="AT590" s="6"/>
      <c r="AU590" s="6"/>
      <c r="BA590" s="6"/>
    </row>
    <row r="591" spans="41:53" x14ac:dyDescent="0.25">
      <c r="AO591" s="6"/>
      <c r="AP591" s="6"/>
      <c r="AQ591" s="6"/>
      <c r="AS591" s="6"/>
      <c r="AT591" s="6"/>
      <c r="AU591" s="6"/>
      <c r="BA591" s="6"/>
    </row>
    <row r="592" spans="41:53" x14ac:dyDescent="0.25">
      <c r="AO592" s="6"/>
      <c r="AP592" s="6"/>
      <c r="AQ592" s="6"/>
      <c r="AS592" s="6"/>
      <c r="AT592" s="6"/>
      <c r="AU592" s="6"/>
      <c r="BA592" s="6"/>
    </row>
    <row r="593" spans="41:53" x14ac:dyDescent="0.25">
      <c r="AO593" s="6"/>
      <c r="AP593" s="6"/>
      <c r="AQ593" s="6"/>
      <c r="AS593" s="6"/>
      <c r="AT593" s="6"/>
      <c r="AU593" s="6"/>
      <c r="BA593" s="6"/>
    </row>
    <row r="594" spans="41:53" x14ac:dyDescent="0.25">
      <c r="AO594" s="6"/>
      <c r="AP594" s="6"/>
      <c r="AQ594" s="6"/>
      <c r="AS594" s="6"/>
      <c r="AT594" s="6"/>
      <c r="AU594" s="6"/>
      <c r="BA594" s="16"/>
    </row>
    <row r="595" spans="41:53" x14ac:dyDescent="0.25">
      <c r="AO595" s="6"/>
      <c r="AP595" s="6"/>
      <c r="AQ595" s="6"/>
      <c r="AS595" s="6"/>
      <c r="AT595" s="6"/>
      <c r="AU595" s="6"/>
      <c r="BA595" s="6"/>
    </row>
    <row r="596" spans="41:53" x14ac:dyDescent="0.25">
      <c r="AO596" s="6"/>
      <c r="AP596" s="6"/>
      <c r="AQ596" s="6"/>
      <c r="AS596" s="6"/>
      <c r="AT596" s="6"/>
      <c r="AU596" s="6"/>
      <c r="BA596" s="16"/>
    </row>
    <row r="597" spans="41:53" x14ac:dyDescent="0.25">
      <c r="AO597" s="6"/>
      <c r="AP597" s="6"/>
      <c r="AQ597" s="6"/>
      <c r="AS597" s="6"/>
      <c r="AT597" s="6"/>
      <c r="AU597" s="6"/>
      <c r="BA597" s="16"/>
    </row>
    <row r="598" spans="41:53" x14ac:dyDescent="0.25">
      <c r="AO598" s="6"/>
      <c r="AP598" s="6"/>
      <c r="AQ598" s="6"/>
      <c r="AS598" s="6"/>
      <c r="AT598" s="6"/>
      <c r="AU598" s="6"/>
      <c r="BA598" s="6"/>
    </row>
    <row r="599" spans="41:53" x14ac:dyDescent="0.25">
      <c r="AO599" s="6"/>
      <c r="AP599" s="6"/>
      <c r="AQ599" s="6"/>
      <c r="AS599" s="6"/>
      <c r="AT599" s="6"/>
      <c r="AU599" s="6"/>
      <c r="BA599" s="6"/>
    </row>
    <row r="600" spans="41:53" x14ac:dyDescent="0.25">
      <c r="AO600" s="6"/>
      <c r="AP600" s="6"/>
      <c r="AQ600" s="6"/>
      <c r="AS600" s="6"/>
      <c r="AT600" s="6"/>
      <c r="AU600" s="6"/>
      <c r="BA600" s="6"/>
    </row>
    <row r="601" spans="41:53" x14ac:dyDescent="0.25">
      <c r="AO601" s="6"/>
      <c r="AP601" s="6"/>
      <c r="AQ601" s="6"/>
      <c r="AS601" s="6"/>
      <c r="AT601" s="6"/>
      <c r="AU601" s="6"/>
      <c r="BA601" s="6"/>
    </row>
    <row r="602" spans="41:53" x14ac:dyDescent="0.25">
      <c r="AO602" s="6"/>
      <c r="AP602" s="6"/>
      <c r="AQ602" s="6"/>
      <c r="AS602" s="6"/>
      <c r="AT602" s="6"/>
      <c r="AU602" s="6"/>
      <c r="BA602" s="16"/>
    </row>
    <row r="603" spans="41:53" x14ac:dyDescent="0.25">
      <c r="AO603" s="6"/>
      <c r="AP603" s="6"/>
      <c r="AQ603" s="6"/>
      <c r="AS603" s="6"/>
      <c r="AT603" s="6"/>
      <c r="AU603" s="6"/>
      <c r="BA603" s="6"/>
    </row>
    <row r="604" spans="41:53" x14ac:dyDescent="0.25">
      <c r="AO604" s="6"/>
      <c r="AP604" s="6"/>
      <c r="AQ604" s="6"/>
      <c r="AS604" s="6"/>
      <c r="AT604" s="6"/>
      <c r="AU604" s="6"/>
      <c r="BA604" s="16"/>
    </row>
    <row r="605" spans="41:53" x14ac:dyDescent="0.25">
      <c r="AO605" s="6"/>
      <c r="AP605" s="6"/>
      <c r="AQ605" s="6"/>
      <c r="AS605" s="6"/>
      <c r="AT605" s="6"/>
      <c r="AU605" s="6"/>
      <c r="BA605" s="16"/>
    </row>
    <row r="606" spans="41:53" x14ac:dyDescent="0.25">
      <c r="AO606" s="6"/>
      <c r="AP606" s="6"/>
      <c r="AQ606" s="6"/>
      <c r="AS606" s="6"/>
      <c r="AT606" s="6"/>
      <c r="AU606" s="6"/>
      <c r="BA606" s="6"/>
    </row>
    <row r="607" spans="41:53" x14ac:dyDescent="0.25">
      <c r="AO607" s="6"/>
      <c r="AP607" s="6"/>
      <c r="AQ607" s="6"/>
      <c r="AS607" s="6"/>
      <c r="AT607" s="6"/>
      <c r="AU607" s="6"/>
      <c r="BA607" s="6"/>
    </row>
    <row r="608" spans="41:53" x14ac:dyDescent="0.25">
      <c r="AO608" s="6"/>
      <c r="AP608" s="6"/>
      <c r="AQ608" s="6"/>
      <c r="AS608" s="6"/>
      <c r="AT608" s="6"/>
      <c r="AU608" s="6"/>
      <c r="BA608" s="6"/>
    </row>
    <row r="609" spans="41:53" x14ac:dyDescent="0.25">
      <c r="AO609" s="6"/>
      <c r="AP609" s="6"/>
      <c r="AQ609" s="6"/>
      <c r="AS609" s="6"/>
      <c r="AT609" s="6"/>
      <c r="AU609" s="6"/>
      <c r="BA609" s="6"/>
    </row>
    <row r="610" spans="41:53" x14ac:dyDescent="0.25">
      <c r="AO610" s="6"/>
      <c r="AP610" s="6"/>
      <c r="AQ610" s="6"/>
      <c r="AS610" s="6"/>
      <c r="AT610" s="6"/>
      <c r="AU610" s="6"/>
      <c r="BA610" s="16"/>
    </row>
    <row r="611" spans="41:53" x14ac:dyDescent="0.25">
      <c r="AO611" s="6"/>
      <c r="AP611" s="6"/>
      <c r="AQ611" s="6"/>
      <c r="AS611" s="6"/>
      <c r="AT611" s="6"/>
      <c r="AU611" s="6"/>
      <c r="BA611" s="6"/>
    </row>
    <row r="612" spans="41:53" x14ac:dyDescent="0.25">
      <c r="AO612" s="6"/>
      <c r="AP612" s="6"/>
      <c r="AQ612" s="6"/>
      <c r="AS612" s="6"/>
      <c r="AT612" s="6"/>
      <c r="AU612" s="6"/>
      <c r="BA612" s="16"/>
    </row>
    <row r="613" spans="41:53" x14ac:dyDescent="0.25">
      <c r="AO613" s="6"/>
      <c r="AP613" s="6"/>
      <c r="AQ613" s="6"/>
      <c r="AS613" s="6"/>
      <c r="AT613" s="6"/>
      <c r="AU613" s="6"/>
      <c r="BA613" s="16"/>
    </row>
    <row r="614" spans="41:53" x14ac:dyDescent="0.25">
      <c r="AO614" s="6"/>
      <c r="AP614" s="6"/>
      <c r="AQ614" s="6"/>
      <c r="AS614" s="6"/>
      <c r="AT614" s="6"/>
      <c r="AU614" s="6"/>
      <c r="BA614" s="6"/>
    </row>
    <row r="615" spans="41:53" x14ac:dyDescent="0.25">
      <c r="AO615" s="6"/>
      <c r="AP615" s="6"/>
      <c r="AQ615" s="6"/>
      <c r="AS615" s="6"/>
      <c r="AT615" s="6"/>
      <c r="AU615" s="6"/>
      <c r="BA615" s="6"/>
    </row>
    <row r="616" spans="41:53" x14ac:dyDescent="0.25">
      <c r="AO616" s="6"/>
      <c r="AP616" s="6"/>
      <c r="AQ616" s="6"/>
      <c r="AS616" s="6"/>
      <c r="AT616" s="6"/>
      <c r="AU616" s="6"/>
      <c r="BA616" s="6"/>
    </row>
    <row r="617" spans="41:53" x14ac:dyDescent="0.25">
      <c r="AO617" s="6"/>
      <c r="AP617" s="6"/>
      <c r="AQ617" s="6"/>
      <c r="AS617" s="6"/>
      <c r="AT617" s="6"/>
      <c r="AU617" s="6"/>
      <c r="BA617" s="6"/>
    </row>
    <row r="618" spans="41:53" x14ac:dyDescent="0.25">
      <c r="AO618" s="6"/>
      <c r="AP618" s="6"/>
      <c r="AQ618" s="6"/>
      <c r="AS618" s="6"/>
      <c r="AT618" s="6"/>
      <c r="AU618" s="6"/>
      <c r="BA618" s="16"/>
    </row>
    <row r="619" spans="41:53" x14ac:dyDescent="0.25">
      <c r="AO619" s="6"/>
      <c r="AP619" s="6"/>
      <c r="AQ619" s="6"/>
      <c r="AS619" s="6"/>
      <c r="AT619" s="6"/>
      <c r="AU619" s="6"/>
      <c r="BA619" s="6"/>
    </row>
    <row r="620" spans="41:53" x14ac:dyDescent="0.25">
      <c r="AO620" s="6"/>
      <c r="AP620" s="6"/>
      <c r="AQ620" s="6"/>
      <c r="AS620" s="6"/>
      <c r="AT620" s="6"/>
      <c r="AU620" s="6"/>
      <c r="BA620" s="16"/>
    </row>
    <row r="621" spans="41:53" x14ac:dyDescent="0.25">
      <c r="AO621" s="6"/>
      <c r="AP621" s="6"/>
      <c r="AQ621" s="6"/>
      <c r="AS621" s="6"/>
      <c r="AT621" s="6"/>
      <c r="AU621" s="6"/>
      <c r="BA621" s="16"/>
    </row>
    <row r="622" spans="41:53" x14ac:dyDescent="0.25">
      <c r="AO622" s="6"/>
      <c r="AP622" s="6"/>
      <c r="AQ622" s="6"/>
      <c r="AS622" s="6"/>
      <c r="AT622" s="6"/>
      <c r="AU622" s="6"/>
      <c r="BA622" s="6"/>
    </row>
    <row r="623" spans="41:53" x14ac:dyDescent="0.25">
      <c r="AO623" s="6"/>
      <c r="AP623" s="6"/>
      <c r="AQ623" s="6"/>
      <c r="AS623" s="6"/>
      <c r="AT623" s="6"/>
      <c r="AU623" s="6"/>
      <c r="BA623" s="6"/>
    </row>
    <row r="624" spans="41:53" x14ac:dyDescent="0.25">
      <c r="AO624" s="6"/>
      <c r="AP624" s="6"/>
      <c r="AQ624" s="6"/>
      <c r="AS624" s="6"/>
      <c r="AT624" s="6"/>
      <c r="AU624" s="6"/>
      <c r="BA624" s="6"/>
    </row>
    <row r="625" spans="41:53" x14ac:dyDescent="0.25">
      <c r="AO625" s="6"/>
      <c r="AP625" s="6"/>
      <c r="AQ625" s="6"/>
      <c r="AS625" s="6"/>
      <c r="AT625" s="6"/>
      <c r="AU625" s="6"/>
      <c r="BA625" s="6"/>
    </row>
    <row r="626" spans="41:53" x14ac:dyDescent="0.25">
      <c r="AO626" s="6"/>
      <c r="AP626" s="6"/>
      <c r="AQ626" s="6"/>
      <c r="AS626" s="6"/>
      <c r="AT626" s="6"/>
      <c r="AU626" s="6"/>
      <c r="BA626" s="16"/>
    </row>
    <row r="627" spans="41:53" x14ac:dyDescent="0.25">
      <c r="AO627" s="6"/>
      <c r="AP627" s="6"/>
      <c r="AQ627" s="6"/>
      <c r="AS627" s="6"/>
      <c r="AT627" s="6"/>
      <c r="AU627" s="6"/>
      <c r="BA627" s="6"/>
    </row>
    <row r="628" spans="41:53" x14ac:dyDescent="0.25">
      <c r="AO628" s="6"/>
      <c r="AP628" s="6"/>
      <c r="AQ628" s="6"/>
      <c r="AS628" s="6"/>
      <c r="AT628" s="6"/>
      <c r="AU628" s="6"/>
      <c r="BA628" s="16"/>
    </row>
    <row r="629" spans="41:53" x14ac:dyDescent="0.25">
      <c r="AO629" s="6"/>
      <c r="AP629" s="6"/>
      <c r="AQ629" s="6"/>
      <c r="AS629" s="6"/>
      <c r="AT629" s="6"/>
      <c r="AU629" s="6"/>
      <c r="BA629" s="16"/>
    </row>
    <row r="630" spans="41:53" x14ac:dyDescent="0.25">
      <c r="AO630" s="6"/>
      <c r="AP630" s="6"/>
      <c r="AQ630" s="6"/>
      <c r="AS630" s="6"/>
      <c r="AT630" s="6"/>
      <c r="AU630" s="6"/>
      <c r="BA630" s="6"/>
    </row>
    <row r="631" spans="41:53" x14ac:dyDescent="0.25">
      <c r="AO631" s="6"/>
      <c r="AP631" s="6"/>
      <c r="AQ631" s="6"/>
      <c r="AS631" s="6"/>
      <c r="AT631" s="6"/>
      <c r="AU631" s="6"/>
      <c r="BA631" s="6"/>
    </row>
    <row r="632" spans="41:53" x14ac:dyDescent="0.25">
      <c r="AO632" s="6"/>
      <c r="AP632" s="6"/>
      <c r="AQ632" s="6"/>
      <c r="AS632" s="6"/>
      <c r="AT632" s="6"/>
      <c r="AU632" s="6"/>
      <c r="BA632" s="6"/>
    </row>
    <row r="633" spans="41:53" x14ac:dyDescent="0.25">
      <c r="AO633" s="6"/>
      <c r="AP633" s="6"/>
      <c r="AQ633" s="6"/>
      <c r="AS633" s="6"/>
      <c r="AT633" s="6"/>
      <c r="AU633" s="6"/>
      <c r="BA633" s="6"/>
    </row>
    <row r="634" spans="41:53" x14ac:dyDescent="0.25">
      <c r="AO634" s="6"/>
      <c r="AP634" s="6"/>
      <c r="AQ634" s="6"/>
      <c r="AS634" s="6"/>
      <c r="AT634" s="6"/>
      <c r="AU634" s="6"/>
      <c r="BA634" s="16"/>
    </row>
    <row r="635" spans="41:53" x14ac:dyDescent="0.25">
      <c r="AO635" s="6"/>
      <c r="AP635" s="6"/>
      <c r="AQ635" s="6"/>
      <c r="AS635" s="6"/>
      <c r="AT635" s="6"/>
      <c r="AU635" s="6"/>
      <c r="BA635" s="6"/>
    </row>
    <row r="636" spans="41:53" x14ac:dyDescent="0.25">
      <c r="AO636" s="6"/>
      <c r="AP636" s="6"/>
      <c r="AQ636" s="6"/>
      <c r="AS636" s="6"/>
      <c r="AT636" s="6"/>
      <c r="AU636" s="6"/>
      <c r="BA636" s="16"/>
    </row>
    <row r="637" spans="41:53" x14ac:dyDescent="0.25">
      <c r="AO637" s="6"/>
      <c r="AP637" s="6"/>
      <c r="AQ637" s="6"/>
      <c r="AS637" s="6"/>
      <c r="AT637" s="6"/>
      <c r="AU637" s="6"/>
      <c r="BA637" s="16"/>
    </row>
    <row r="638" spans="41:53" x14ac:dyDescent="0.25">
      <c r="AO638" s="6"/>
      <c r="AP638" s="6"/>
      <c r="AQ638" s="6"/>
      <c r="AS638" s="6"/>
      <c r="AT638" s="6"/>
      <c r="AU638" s="6"/>
      <c r="BA638" s="6"/>
    </row>
    <row r="639" spans="41:53" x14ac:dyDescent="0.25">
      <c r="AO639" s="6"/>
      <c r="AP639" s="6"/>
      <c r="AQ639" s="6"/>
      <c r="AS639" s="6"/>
      <c r="AT639" s="6"/>
      <c r="AU639" s="6"/>
      <c r="BA639" s="6"/>
    </row>
    <row r="640" spans="41:53" x14ac:dyDescent="0.25">
      <c r="AO640" s="6"/>
      <c r="AP640" s="6"/>
      <c r="AQ640" s="6"/>
      <c r="AS640" s="6"/>
      <c r="AT640" s="6"/>
      <c r="AU640" s="6"/>
      <c r="BA640" s="6"/>
    </row>
    <row r="641" spans="41:53" x14ac:dyDescent="0.25">
      <c r="AO641" s="6"/>
      <c r="AP641" s="6"/>
      <c r="AQ641" s="6"/>
      <c r="AS641" s="6"/>
      <c r="AT641" s="6"/>
      <c r="AU641" s="6"/>
      <c r="BA641" s="6"/>
    </row>
    <row r="642" spans="41:53" x14ac:dyDescent="0.25">
      <c r="AO642" s="6"/>
      <c r="AP642" s="6"/>
      <c r="AQ642" s="6"/>
      <c r="AS642" s="6"/>
      <c r="AT642" s="6"/>
      <c r="AU642" s="6"/>
      <c r="BA642" s="16"/>
    </row>
    <row r="643" spans="41:53" x14ac:dyDescent="0.25">
      <c r="AO643" s="6"/>
      <c r="AP643" s="6"/>
      <c r="AQ643" s="6"/>
      <c r="AS643" s="6"/>
      <c r="AT643" s="6"/>
      <c r="AU643" s="6"/>
      <c r="BA643" s="6"/>
    </row>
    <row r="644" spans="41:53" x14ac:dyDescent="0.25">
      <c r="AO644" s="6"/>
      <c r="AP644" s="6"/>
      <c r="AQ644" s="6"/>
      <c r="AS644" s="6"/>
      <c r="AT644" s="6"/>
      <c r="AU644" s="6"/>
      <c r="BA644" s="16"/>
    </row>
    <row r="645" spans="41:53" x14ac:dyDescent="0.25">
      <c r="AO645" s="6"/>
      <c r="AP645" s="6"/>
      <c r="AQ645" s="6"/>
      <c r="AS645" s="6"/>
      <c r="AT645" s="6"/>
      <c r="AU645" s="6"/>
      <c r="BA645" s="16"/>
    </row>
    <row r="646" spans="41:53" x14ac:dyDescent="0.25">
      <c r="AO646" s="6"/>
      <c r="AP646" s="6"/>
      <c r="AQ646" s="6"/>
      <c r="AS646" s="6"/>
      <c r="AT646" s="6"/>
      <c r="AU646" s="6"/>
      <c r="BA646" s="6"/>
    </row>
    <row r="647" spans="41:53" x14ac:dyDescent="0.25">
      <c r="AO647" s="6"/>
      <c r="AP647" s="6"/>
      <c r="AQ647" s="6"/>
      <c r="AS647" s="6"/>
      <c r="AT647" s="6"/>
      <c r="AU647" s="6"/>
      <c r="BA647" s="6"/>
    </row>
    <row r="648" spans="41:53" x14ac:dyDescent="0.25">
      <c r="AO648" s="6"/>
      <c r="AP648" s="6"/>
      <c r="AQ648" s="6"/>
      <c r="AS648" s="6"/>
      <c r="AT648" s="6"/>
      <c r="AU648" s="6"/>
      <c r="BA648" s="6"/>
    </row>
    <row r="649" spans="41:53" x14ac:dyDescent="0.25">
      <c r="AO649" s="6"/>
      <c r="AP649" s="6"/>
      <c r="AQ649" s="6"/>
      <c r="AS649" s="6"/>
      <c r="AT649" s="6"/>
      <c r="AU649" s="6"/>
      <c r="BA649" s="6"/>
    </row>
    <row r="650" spans="41:53" x14ac:dyDescent="0.25">
      <c r="AO650" s="6"/>
      <c r="AP650" s="6"/>
      <c r="AQ650" s="6"/>
      <c r="AS650" s="6"/>
      <c r="AT650" s="6"/>
      <c r="AU650" s="6"/>
      <c r="BA650" s="16"/>
    </row>
    <row r="651" spans="41:53" x14ac:dyDescent="0.25">
      <c r="AO651" s="6"/>
      <c r="AP651" s="6"/>
      <c r="AQ651" s="6"/>
      <c r="AS651" s="6"/>
      <c r="AT651" s="6"/>
      <c r="AU651" s="6"/>
      <c r="BA651" s="6"/>
    </row>
    <row r="652" spans="41:53" x14ac:dyDescent="0.25">
      <c r="AO652" s="6"/>
      <c r="AP652" s="6"/>
      <c r="AQ652" s="6"/>
      <c r="AS652" s="6"/>
      <c r="AT652" s="6"/>
      <c r="AU652" s="6"/>
      <c r="BA652" s="16"/>
    </row>
    <row r="653" spans="41:53" x14ac:dyDescent="0.25">
      <c r="AO653" s="6"/>
      <c r="AP653" s="6"/>
      <c r="AQ653" s="6"/>
      <c r="AS653" s="6"/>
      <c r="AT653" s="6"/>
      <c r="AU653" s="6"/>
      <c r="BA653" s="16"/>
    </row>
    <row r="654" spans="41:53" x14ac:dyDescent="0.25">
      <c r="AO654" s="6"/>
      <c r="AP654" s="6"/>
      <c r="AQ654" s="6"/>
      <c r="AS654" s="6"/>
      <c r="AT654" s="6"/>
      <c r="AU654" s="6"/>
      <c r="BA654" s="6"/>
    </row>
    <row r="655" spans="41:53" x14ac:dyDescent="0.25">
      <c r="AO655" s="6"/>
      <c r="AP655" s="6"/>
      <c r="AQ655" s="6"/>
      <c r="AS655" s="6"/>
      <c r="AT655" s="6"/>
      <c r="AU655" s="6"/>
      <c r="BA655" s="6"/>
    </row>
    <row r="656" spans="41:53" x14ac:dyDescent="0.25">
      <c r="AO656" s="6"/>
      <c r="AP656" s="6"/>
      <c r="AQ656" s="6"/>
      <c r="AS656" s="6"/>
      <c r="AT656" s="6"/>
      <c r="AU656" s="6"/>
      <c r="BA656" s="6"/>
    </row>
    <row r="657" spans="41:53" x14ac:dyDescent="0.25">
      <c r="AO657" s="6"/>
      <c r="AP657" s="6"/>
      <c r="AQ657" s="6"/>
      <c r="AS657" s="6"/>
      <c r="AT657" s="6"/>
      <c r="AU657" s="6"/>
      <c r="BA657" s="6"/>
    </row>
    <row r="658" spans="41:53" x14ac:dyDescent="0.25">
      <c r="AO658" s="6"/>
      <c r="AP658" s="6"/>
      <c r="AQ658" s="6"/>
      <c r="AS658" s="6"/>
      <c r="AT658" s="6"/>
      <c r="AU658" s="6"/>
      <c r="BA658" s="16"/>
    </row>
    <row r="659" spans="41:53" x14ac:dyDescent="0.25">
      <c r="AO659" s="6"/>
      <c r="AP659" s="6"/>
      <c r="AQ659" s="6"/>
      <c r="AS659" s="6"/>
      <c r="AT659" s="6"/>
      <c r="AU659" s="6"/>
      <c r="BA659" s="6"/>
    </row>
    <row r="660" spans="41:53" x14ac:dyDescent="0.25">
      <c r="AO660" s="6"/>
      <c r="AP660" s="6"/>
      <c r="AQ660" s="6"/>
      <c r="AS660" s="6"/>
      <c r="AT660" s="6"/>
      <c r="AU660" s="6"/>
      <c r="BA660" s="16"/>
    </row>
    <row r="661" spans="41:53" x14ac:dyDescent="0.25">
      <c r="AO661" s="6"/>
      <c r="AP661" s="6"/>
      <c r="AQ661" s="6"/>
      <c r="AS661" s="6"/>
      <c r="AT661" s="6"/>
      <c r="AU661" s="6"/>
      <c r="BA661" s="16"/>
    </row>
    <row r="662" spans="41:53" x14ac:dyDescent="0.25">
      <c r="AO662" s="6"/>
      <c r="AP662" s="6"/>
      <c r="AQ662" s="6"/>
      <c r="AS662" s="6"/>
      <c r="AT662" s="6"/>
      <c r="AU662" s="6"/>
      <c r="BA662" s="6"/>
    </row>
    <row r="663" spans="41:53" x14ac:dyDescent="0.25">
      <c r="AO663" s="6"/>
      <c r="AP663" s="6"/>
      <c r="AQ663" s="6"/>
      <c r="AS663" s="6"/>
      <c r="AT663" s="6"/>
      <c r="AU663" s="6"/>
      <c r="BA663" s="6"/>
    </row>
    <row r="664" spans="41:53" x14ac:dyDescent="0.25">
      <c r="AO664" s="6"/>
      <c r="AP664" s="6"/>
      <c r="AQ664" s="6"/>
      <c r="AS664" s="6"/>
      <c r="AT664" s="6"/>
      <c r="AU664" s="6"/>
      <c r="BA664" s="6"/>
    </row>
    <row r="665" spans="41:53" x14ac:dyDescent="0.25">
      <c r="AO665" s="6"/>
      <c r="AP665" s="6"/>
      <c r="AQ665" s="6"/>
      <c r="AS665" s="6"/>
      <c r="AT665" s="6"/>
      <c r="AU665" s="6"/>
      <c r="BA665" s="6"/>
    </row>
    <row r="666" spans="41:53" x14ac:dyDescent="0.25">
      <c r="AO666" s="6"/>
      <c r="AP666" s="6"/>
      <c r="AQ666" s="6"/>
      <c r="AS666" s="6"/>
      <c r="AT666" s="6"/>
      <c r="AU666" s="6"/>
      <c r="BA666" s="16"/>
    </row>
    <row r="667" spans="41:53" x14ac:dyDescent="0.25">
      <c r="AO667" s="6"/>
      <c r="AP667" s="6"/>
      <c r="AQ667" s="6"/>
      <c r="AS667" s="6"/>
      <c r="AT667" s="6"/>
      <c r="AU667" s="6"/>
      <c r="BA667" s="6"/>
    </row>
    <row r="668" spans="41:53" x14ac:dyDescent="0.25">
      <c r="AO668" s="6"/>
      <c r="AP668" s="6"/>
      <c r="AQ668" s="6"/>
      <c r="AS668" s="6"/>
      <c r="AT668" s="6"/>
      <c r="AU668" s="6"/>
      <c r="BA668" s="16"/>
    </row>
    <row r="669" spans="41:53" x14ac:dyDescent="0.25">
      <c r="AO669" s="6"/>
      <c r="AP669" s="6"/>
      <c r="AQ669" s="6"/>
      <c r="AS669" s="6"/>
      <c r="AT669" s="6"/>
      <c r="AU669" s="6"/>
      <c r="BA669" s="16"/>
    </row>
    <row r="670" spans="41:53" x14ac:dyDescent="0.25">
      <c r="AO670" s="6"/>
      <c r="AP670" s="6"/>
      <c r="AQ670" s="6"/>
      <c r="AS670" s="6"/>
      <c r="AT670" s="6"/>
      <c r="AU670" s="6"/>
      <c r="BA670" s="6"/>
    </row>
    <row r="671" spans="41:53" x14ac:dyDescent="0.25">
      <c r="AO671" s="6"/>
      <c r="AP671" s="6"/>
      <c r="AQ671" s="6"/>
      <c r="AS671" s="6"/>
      <c r="AT671" s="6"/>
      <c r="AU671" s="6"/>
      <c r="BA671" s="6"/>
    </row>
    <row r="672" spans="41:53" x14ac:dyDescent="0.25">
      <c r="AO672" s="6"/>
      <c r="AP672" s="6"/>
      <c r="AQ672" s="6"/>
      <c r="AS672" s="6"/>
      <c r="AT672" s="6"/>
      <c r="AU672" s="6"/>
      <c r="BA672" s="6"/>
    </row>
    <row r="673" spans="41:53" x14ac:dyDescent="0.25">
      <c r="AO673" s="6"/>
      <c r="AP673" s="6"/>
      <c r="AQ673" s="6"/>
      <c r="AS673" s="6"/>
      <c r="AT673" s="6"/>
      <c r="AU673" s="6"/>
      <c r="BA673" s="6"/>
    </row>
    <row r="674" spans="41:53" x14ac:dyDescent="0.25">
      <c r="AO674" s="6"/>
      <c r="AP674" s="6"/>
      <c r="AQ674" s="6"/>
      <c r="AS674" s="6"/>
      <c r="AT674" s="6"/>
      <c r="AU674" s="6"/>
      <c r="BA674" s="16"/>
    </row>
    <row r="675" spans="41:53" x14ac:dyDescent="0.25">
      <c r="AO675" s="6"/>
      <c r="AP675" s="6"/>
      <c r="AQ675" s="6"/>
      <c r="AS675" s="6"/>
      <c r="AT675" s="6"/>
      <c r="AU675" s="6"/>
      <c r="BA675" s="6"/>
    </row>
    <row r="676" spans="41:53" x14ac:dyDescent="0.25">
      <c r="AO676" s="6"/>
      <c r="AP676" s="6"/>
      <c r="AQ676" s="6"/>
      <c r="AS676" s="6"/>
      <c r="AT676" s="6"/>
      <c r="AU676" s="6"/>
      <c r="BA676" s="16"/>
    </row>
    <row r="677" spans="41:53" x14ac:dyDescent="0.25">
      <c r="AO677" s="6"/>
      <c r="AP677" s="6"/>
      <c r="AQ677" s="6"/>
      <c r="AS677" s="6"/>
      <c r="AT677" s="6"/>
      <c r="AU677" s="6"/>
      <c r="BA677" s="16"/>
    </row>
    <row r="678" spans="41:53" x14ac:dyDescent="0.25">
      <c r="AO678" s="6"/>
      <c r="AP678" s="6"/>
      <c r="AQ678" s="6"/>
      <c r="AS678" s="6"/>
      <c r="AT678" s="6"/>
      <c r="AU678" s="6"/>
      <c r="BA678" s="6"/>
    </row>
    <row r="679" spans="41:53" x14ac:dyDescent="0.25">
      <c r="AO679" s="6"/>
      <c r="AP679" s="6"/>
      <c r="AQ679" s="6"/>
      <c r="AS679" s="6"/>
      <c r="AT679" s="6"/>
      <c r="AU679" s="6"/>
      <c r="BA679" s="6"/>
    </row>
    <row r="680" spans="41:53" x14ac:dyDescent="0.25">
      <c r="AO680" s="6"/>
      <c r="AP680" s="6"/>
      <c r="AQ680" s="6"/>
      <c r="AS680" s="6"/>
      <c r="AT680" s="6"/>
      <c r="AU680" s="6"/>
      <c r="BA680" s="6"/>
    </row>
    <row r="681" spans="41:53" x14ac:dyDescent="0.25">
      <c r="AO681" s="6"/>
      <c r="AP681" s="6"/>
      <c r="AQ681" s="6"/>
      <c r="AS681" s="6"/>
      <c r="AT681" s="6"/>
      <c r="AU681" s="6"/>
      <c r="BA681" s="6"/>
    </row>
    <row r="682" spans="41:53" x14ac:dyDescent="0.25">
      <c r="AO682" s="6"/>
      <c r="AP682" s="6"/>
      <c r="AQ682" s="6"/>
      <c r="AS682" s="6"/>
      <c r="AT682" s="6"/>
      <c r="AU682" s="6"/>
      <c r="BA682" s="16"/>
    </row>
    <row r="683" spans="41:53" x14ac:dyDescent="0.25">
      <c r="AO683" s="6"/>
      <c r="AP683" s="6"/>
      <c r="AQ683" s="6"/>
      <c r="AS683" s="6"/>
      <c r="AT683" s="6"/>
      <c r="AU683" s="6"/>
      <c r="BA683" s="6"/>
    </row>
    <row r="684" spans="41:53" x14ac:dyDescent="0.25">
      <c r="AO684" s="6"/>
      <c r="AP684" s="6"/>
      <c r="AQ684" s="6"/>
      <c r="AS684" s="6"/>
      <c r="AT684" s="6"/>
      <c r="AU684" s="6"/>
      <c r="BA684" s="16"/>
    </row>
    <row r="685" spans="41:53" x14ac:dyDescent="0.25">
      <c r="AO685" s="6"/>
      <c r="AP685" s="6"/>
      <c r="AQ685" s="6"/>
      <c r="AS685" s="6"/>
      <c r="AT685" s="6"/>
      <c r="AU685" s="6"/>
      <c r="BA685" s="16"/>
    </row>
    <row r="686" spans="41:53" x14ac:dyDescent="0.25">
      <c r="AO686" s="6"/>
      <c r="AP686" s="6"/>
      <c r="AQ686" s="6"/>
      <c r="AS686" s="6"/>
      <c r="AT686" s="6"/>
      <c r="AU686" s="6"/>
      <c r="BA686" s="6"/>
    </row>
    <row r="687" spans="41:53" x14ac:dyDescent="0.25">
      <c r="AO687" s="6"/>
      <c r="AP687" s="6"/>
      <c r="AQ687" s="6"/>
      <c r="AS687" s="6"/>
      <c r="AT687" s="6"/>
      <c r="AU687" s="6"/>
      <c r="BA687" s="6"/>
    </row>
    <row r="688" spans="41:53" x14ac:dyDescent="0.25">
      <c r="AO688" s="6"/>
      <c r="AP688" s="6"/>
      <c r="AQ688" s="6"/>
      <c r="AS688" s="6"/>
      <c r="AT688" s="6"/>
      <c r="AU688" s="6"/>
      <c r="BA688" s="6"/>
    </row>
    <row r="689" spans="41:53" x14ac:dyDescent="0.25">
      <c r="AO689" s="6"/>
      <c r="AP689" s="6"/>
      <c r="AQ689" s="6"/>
      <c r="AS689" s="6"/>
      <c r="AT689" s="6"/>
      <c r="AU689" s="6"/>
      <c r="BA689" s="6"/>
    </row>
    <row r="690" spans="41:53" x14ac:dyDescent="0.25">
      <c r="AO690" s="6"/>
      <c r="AP690" s="6"/>
      <c r="AQ690" s="6"/>
      <c r="AS690" s="6"/>
      <c r="AT690" s="6"/>
      <c r="AU690" s="6"/>
      <c r="BA690" s="16"/>
    </row>
    <row r="691" spans="41:53" x14ac:dyDescent="0.25">
      <c r="AO691" s="6"/>
      <c r="AP691" s="6"/>
      <c r="AQ691" s="6"/>
      <c r="AS691" s="6"/>
      <c r="AT691" s="6"/>
      <c r="AU691" s="6"/>
      <c r="BA691" s="6"/>
    </row>
    <row r="692" spans="41:53" x14ac:dyDescent="0.25">
      <c r="AO692" s="6"/>
      <c r="AP692" s="6"/>
      <c r="AQ692" s="6"/>
      <c r="AS692" s="6"/>
      <c r="AT692" s="6"/>
      <c r="AU692" s="6"/>
      <c r="BA692" s="16"/>
    </row>
    <row r="693" spans="41:53" x14ac:dyDescent="0.25">
      <c r="AO693" s="6"/>
      <c r="AP693" s="6"/>
      <c r="AQ693" s="6"/>
      <c r="AS693" s="6"/>
      <c r="AT693" s="6"/>
      <c r="AU693" s="6"/>
      <c r="BA693" s="16"/>
    </row>
    <row r="694" spans="41:53" x14ac:dyDescent="0.25">
      <c r="AO694" s="6"/>
      <c r="AP694" s="6"/>
      <c r="AQ694" s="6"/>
      <c r="AS694" s="6"/>
      <c r="AT694" s="6"/>
      <c r="AU694" s="6"/>
      <c r="BA694" s="6"/>
    </row>
    <row r="695" spans="41:53" x14ac:dyDescent="0.25">
      <c r="AO695" s="6"/>
      <c r="AP695" s="6"/>
      <c r="AQ695" s="6"/>
      <c r="AS695" s="6"/>
      <c r="AT695" s="6"/>
      <c r="AU695" s="6"/>
      <c r="BA695" s="6"/>
    </row>
    <row r="696" spans="41:53" x14ac:dyDescent="0.25">
      <c r="AO696" s="6"/>
      <c r="AP696" s="6"/>
      <c r="AQ696" s="6"/>
      <c r="AS696" s="6"/>
      <c r="AT696" s="6"/>
      <c r="AU696" s="6"/>
      <c r="BA696" s="6"/>
    </row>
    <row r="697" spans="41:53" x14ac:dyDescent="0.25">
      <c r="AO697" s="6"/>
      <c r="AP697" s="6"/>
      <c r="AQ697" s="6"/>
      <c r="AS697" s="6"/>
      <c r="AT697" s="6"/>
      <c r="AU697" s="6"/>
      <c r="BA697" s="6"/>
    </row>
    <row r="698" spans="41:53" x14ac:dyDescent="0.25">
      <c r="AO698" s="6"/>
      <c r="AP698" s="6"/>
      <c r="AQ698" s="6"/>
      <c r="AS698" s="6"/>
      <c r="AT698" s="6"/>
      <c r="AU698" s="6"/>
      <c r="BA698" s="16"/>
    </row>
    <row r="699" spans="41:53" x14ac:dyDescent="0.25">
      <c r="AO699" s="6"/>
      <c r="AP699" s="6"/>
      <c r="AQ699" s="6"/>
      <c r="AS699" s="6"/>
      <c r="AT699" s="6"/>
      <c r="AU699" s="6"/>
      <c r="BA699" s="6"/>
    </row>
    <row r="700" spans="41:53" x14ac:dyDescent="0.25">
      <c r="AO700" s="6"/>
      <c r="AP700" s="6"/>
      <c r="AQ700" s="6"/>
      <c r="AS700" s="6"/>
      <c r="AT700" s="6"/>
      <c r="AU700" s="6"/>
      <c r="BA700" s="16"/>
    </row>
    <row r="701" spans="41:53" x14ac:dyDescent="0.25">
      <c r="AO701" s="6"/>
      <c r="AP701" s="6"/>
      <c r="AQ701" s="6"/>
      <c r="AS701" s="6"/>
      <c r="AT701" s="6"/>
      <c r="AU701" s="6"/>
      <c r="BA701" s="16"/>
    </row>
    <row r="702" spans="41:53" x14ac:dyDescent="0.25">
      <c r="AO702" s="6"/>
      <c r="AP702" s="6"/>
      <c r="AQ702" s="6"/>
      <c r="AS702" s="6"/>
      <c r="AT702" s="6"/>
      <c r="AU702" s="6"/>
      <c r="BA702" s="6"/>
    </row>
    <row r="703" spans="41:53" x14ac:dyDescent="0.25">
      <c r="AO703" s="6"/>
      <c r="AP703" s="6"/>
      <c r="AQ703" s="6"/>
      <c r="AS703" s="6"/>
      <c r="AT703" s="6"/>
      <c r="AU703" s="6"/>
      <c r="BA703" s="6"/>
    </row>
    <row r="704" spans="41:53" x14ac:dyDescent="0.25">
      <c r="AO704" s="6"/>
      <c r="AP704" s="6"/>
      <c r="AQ704" s="6"/>
      <c r="AS704" s="6"/>
      <c r="AT704" s="6"/>
      <c r="AU704" s="6"/>
      <c r="BA704" s="6"/>
    </row>
    <row r="705" spans="41:53" x14ac:dyDescent="0.25">
      <c r="AO705" s="6"/>
      <c r="AP705" s="6"/>
      <c r="AQ705" s="6"/>
      <c r="AS705" s="6"/>
      <c r="AT705" s="6"/>
      <c r="AU705" s="6"/>
      <c r="BA705" s="6"/>
    </row>
    <row r="706" spans="41:53" x14ac:dyDescent="0.25">
      <c r="AO706" s="6"/>
      <c r="AP706" s="6"/>
      <c r="AQ706" s="6"/>
      <c r="AS706" s="6"/>
      <c r="AT706" s="6"/>
      <c r="AU706" s="6"/>
      <c r="BA706" s="16"/>
    </row>
    <row r="707" spans="41:53" x14ac:dyDescent="0.25">
      <c r="AO707" s="6"/>
      <c r="AP707" s="6"/>
      <c r="AQ707" s="6"/>
      <c r="AS707" s="6"/>
      <c r="AT707" s="6"/>
      <c r="AU707" s="6"/>
      <c r="BA707" s="6"/>
    </row>
    <row r="708" spans="41:53" x14ac:dyDescent="0.25">
      <c r="AO708" s="6"/>
      <c r="AP708" s="6"/>
      <c r="AQ708" s="6"/>
      <c r="AS708" s="6"/>
      <c r="AT708" s="6"/>
      <c r="AU708" s="6"/>
      <c r="BA708" s="16"/>
    </row>
    <row r="709" spans="41:53" x14ac:dyDescent="0.25">
      <c r="AO709" s="6"/>
      <c r="AP709" s="6"/>
      <c r="AQ709" s="6"/>
      <c r="AS709" s="6"/>
      <c r="AT709" s="6"/>
      <c r="AU709" s="6"/>
      <c r="BA709" s="16"/>
    </row>
    <row r="710" spans="41:53" x14ac:dyDescent="0.25">
      <c r="AO710" s="6"/>
      <c r="AP710" s="6"/>
      <c r="AQ710" s="6"/>
      <c r="AS710" s="6"/>
      <c r="AT710" s="6"/>
      <c r="AU710" s="6"/>
      <c r="BA710" s="6"/>
    </row>
    <row r="711" spans="41:53" x14ac:dyDescent="0.25">
      <c r="AO711" s="6"/>
      <c r="AP711" s="6"/>
      <c r="AQ711" s="6"/>
      <c r="AS711" s="6"/>
      <c r="AT711" s="6"/>
      <c r="AU711" s="6"/>
      <c r="BA711" s="6"/>
    </row>
    <row r="712" spans="41:53" x14ac:dyDescent="0.25">
      <c r="AO712" s="6"/>
      <c r="AP712" s="6"/>
      <c r="AQ712" s="6"/>
      <c r="AS712" s="6"/>
      <c r="AT712" s="6"/>
      <c r="AU712" s="6"/>
      <c r="BA712" s="6"/>
    </row>
    <row r="713" spans="41:53" x14ac:dyDescent="0.25">
      <c r="AO713" s="6"/>
      <c r="AP713" s="6"/>
      <c r="AQ713" s="6"/>
      <c r="AS713" s="6"/>
      <c r="AT713" s="6"/>
      <c r="AU713" s="6"/>
      <c r="BA713" s="6"/>
    </row>
    <row r="714" spans="41:53" x14ac:dyDescent="0.25">
      <c r="AO714" s="6"/>
      <c r="AP714" s="6"/>
      <c r="AQ714" s="6"/>
      <c r="AS714" s="6"/>
      <c r="AT714" s="6"/>
      <c r="AU714" s="6"/>
      <c r="BA714" s="16"/>
    </row>
    <row r="715" spans="41:53" x14ac:dyDescent="0.25">
      <c r="AO715" s="6"/>
      <c r="AP715" s="6"/>
      <c r="AQ715" s="6"/>
      <c r="AS715" s="6"/>
      <c r="AT715" s="6"/>
      <c r="AU715" s="6"/>
      <c r="BA715" s="6"/>
    </row>
    <row r="716" spans="41:53" x14ac:dyDescent="0.25">
      <c r="AO716" s="6"/>
      <c r="AP716" s="6"/>
      <c r="AQ716" s="6"/>
      <c r="AS716" s="6"/>
      <c r="AT716" s="6"/>
      <c r="AU716" s="6"/>
      <c r="BA716" s="16"/>
    </row>
    <row r="717" spans="41:53" x14ac:dyDescent="0.25">
      <c r="AO717" s="6"/>
      <c r="AP717" s="6"/>
      <c r="AQ717" s="6"/>
      <c r="AS717" s="6"/>
      <c r="AT717" s="6"/>
      <c r="AU717" s="6"/>
      <c r="BA717" s="16"/>
    </row>
    <row r="718" spans="41:53" x14ac:dyDescent="0.25">
      <c r="AO718" s="6"/>
      <c r="AP718" s="6"/>
      <c r="AQ718" s="6"/>
      <c r="AS718" s="6"/>
      <c r="AT718" s="6"/>
      <c r="AU718" s="6"/>
      <c r="BA718" s="6"/>
    </row>
    <row r="719" spans="41:53" x14ac:dyDescent="0.25">
      <c r="AO719" s="6"/>
      <c r="AP719" s="6"/>
      <c r="AQ719" s="6"/>
      <c r="AS719" s="6"/>
      <c r="AT719" s="6"/>
      <c r="AU719" s="6"/>
      <c r="BA719" s="6"/>
    </row>
    <row r="720" spans="41:53" x14ac:dyDescent="0.25">
      <c r="AO720" s="6"/>
      <c r="AP720" s="6"/>
      <c r="AQ720" s="6"/>
      <c r="AS720" s="6"/>
      <c r="AT720" s="6"/>
      <c r="AU720" s="6"/>
      <c r="BA720" s="6"/>
    </row>
    <row r="721" spans="41:53" x14ac:dyDescent="0.25">
      <c r="AO721" s="6"/>
      <c r="AP721" s="6"/>
      <c r="AQ721" s="6"/>
      <c r="AS721" s="6"/>
      <c r="AT721" s="6"/>
      <c r="AU721" s="6"/>
      <c r="BA721" s="6"/>
    </row>
    <row r="722" spans="41:53" x14ac:dyDescent="0.25">
      <c r="AO722" s="6"/>
      <c r="AP722" s="6"/>
      <c r="AQ722" s="6"/>
      <c r="AS722" s="6"/>
      <c r="AT722" s="6"/>
      <c r="AU722" s="6"/>
      <c r="BA722" s="16"/>
    </row>
    <row r="723" spans="41:53" x14ac:dyDescent="0.25">
      <c r="AO723" s="6"/>
      <c r="AP723" s="6"/>
      <c r="AQ723" s="6"/>
      <c r="AS723" s="6"/>
      <c r="AT723" s="6"/>
      <c r="AU723" s="6"/>
      <c r="BA723" s="6"/>
    </row>
    <row r="724" spans="41:53" x14ac:dyDescent="0.25">
      <c r="AO724" s="6"/>
      <c r="AP724" s="6"/>
      <c r="AQ724" s="6"/>
      <c r="AS724" s="6"/>
      <c r="AT724" s="6"/>
      <c r="AU724" s="6"/>
      <c r="BA724" s="16"/>
    </row>
    <row r="725" spans="41:53" x14ac:dyDescent="0.25">
      <c r="AO725" s="6"/>
      <c r="AP725" s="6"/>
      <c r="AQ725" s="6"/>
      <c r="AS725" s="6"/>
      <c r="AT725" s="6"/>
      <c r="AU725" s="6"/>
      <c r="BA725" s="16"/>
    </row>
    <row r="726" spans="41:53" x14ac:dyDescent="0.25">
      <c r="AO726" s="6"/>
      <c r="AP726" s="6"/>
      <c r="AQ726" s="6"/>
      <c r="AS726" s="6"/>
      <c r="AT726" s="6"/>
      <c r="AU726" s="6"/>
      <c r="BA726" s="6"/>
    </row>
    <row r="727" spans="41:53" x14ac:dyDescent="0.25">
      <c r="AO727" s="6"/>
      <c r="AP727" s="6"/>
      <c r="AQ727" s="6"/>
      <c r="AS727" s="6"/>
      <c r="AT727" s="6"/>
      <c r="AU727" s="6"/>
      <c r="BA727" s="6"/>
    </row>
    <row r="728" spans="41:53" x14ac:dyDescent="0.25">
      <c r="AO728" s="6"/>
      <c r="AP728" s="6"/>
      <c r="AQ728" s="6"/>
      <c r="AS728" s="6"/>
      <c r="AT728" s="6"/>
      <c r="AU728" s="6"/>
      <c r="BA728" s="6"/>
    </row>
    <row r="729" spans="41:53" x14ac:dyDescent="0.25">
      <c r="AO729" s="6"/>
      <c r="AP729" s="6"/>
      <c r="AQ729" s="6"/>
      <c r="AS729" s="6"/>
      <c r="AT729" s="6"/>
      <c r="AU729" s="6"/>
      <c r="BA729" s="6"/>
    </row>
    <row r="730" spans="41:53" x14ac:dyDescent="0.25">
      <c r="AO730" s="6"/>
      <c r="AP730" s="6"/>
      <c r="AQ730" s="6"/>
      <c r="AS730" s="6"/>
      <c r="AT730" s="6"/>
      <c r="AU730" s="6"/>
      <c r="BA730" s="16"/>
    </row>
    <row r="731" spans="41:53" x14ac:dyDescent="0.25">
      <c r="AO731" s="6"/>
      <c r="AP731" s="6"/>
      <c r="AQ731" s="6"/>
      <c r="AS731" s="6"/>
      <c r="AT731" s="6"/>
      <c r="AU731" s="6"/>
      <c r="BA731" s="6"/>
    </row>
    <row r="732" spans="41:53" x14ac:dyDescent="0.25">
      <c r="AO732" s="6"/>
      <c r="AP732" s="6"/>
      <c r="AQ732" s="6"/>
      <c r="AS732" s="6"/>
      <c r="AT732" s="6"/>
      <c r="AU732" s="6"/>
      <c r="BA732" s="16"/>
    </row>
    <row r="733" spans="41:53" x14ac:dyDescent="0.25">
      <c r="AO733" s="6"/>
      <c r="AP733" s="6"/>
      <c r="AQ733" s="6"/>
      <c r="AS733" s="6"/>
      <c r="AT733" s="6"/>
      <c r="AU733" s="6"/>
      <c r="BA733" s="16"/>
    </row>
    <row r="734" spans="41:53" x14ac:dyDescent="0.25">
      <c r="AO734" s="6"/>
      <c r="AP734" s="6"/>
      <c r="AQ734" s="6"/>
      <c r="AS734" s="6"/>
      <c r="AT734" s="6"/>
      <c r="AU734" s="6"/>
      <c r="BA734" s="6"/>
    </row>
    <row r="735" spans="41:53" x14ac:dyDescent="0.25">
      <c r="AO735" s="6"/>
      <c r="AP735" s="6"/>
      <c r="AQ735" s="6"/>
      <c r="AS735" s="6"/>
      <c r="AT735" s="6"/>
      <c r="AU735" s="6"/>
      <c r="BA735" s="6"/>
    </row>
    <row r="736" spans="41:53" x14ac:dyDescent="0.25">
      <c r="AO736" s="6"/>
      <c r="AP736" s="6"/>
      <c r="AQ736" s="6"/>
      <c r="AS736" s="6"/>
      <c r="AT736" s="6"/>
      <c r="AU736" s="6"/>
      <c r="BA736" s="6"/>
    </row>
    <row r="737" spans="41:53" x14ac:dyDescent="0.25">
      <c r="AO737" s="6"/>
      <c r="AP737" s="6"/>
      <c r="AQ737" s="6"/>
      <c r="AS737" s="6"/>
      <c r="AT737" s="6"/>
      <c r="AU737" s="6"/>
      <c r="BA737" s="6"/>
    </row>
    <row r="738" spans="41:53" x14ac:dyDescent="0.25">
      <c r="AO738" s="6"/>
      <c r="AP738" s="6"/>
      <c r="AQ738" s="6"/>
      <c r="AS738" s="6"/>
      <c r="AT738" s="6"/>
      <c r="AU738" s="6"/>
      <c r="BA738" s="16"/>
    </row>
    <row r="739" spans="41:53" x14ac:dyDescent="0.25">
      <c r="AO739" s="6"/>
      <c r="AP739" s="6"/>
      <c r="AQ739" s="6"/>
      <c r="AS739" s="6"/>
      <c r="AT739" s="6"/>
      <c r="AU739" s="6"/>
      <c r="BA739" s="6"/>
    </row>
    <row r="740" spans="41:53" x14ac:dyDescent="0.25">
      <c r="AO740" s="6"/>
      <c r="AP740" s="6"/>
      <c r="AQ740" s="6"/>
      <c r="AS740" s="6"/>
      <c r="AT740" s="6"/>
      <c r="AU740" s="6"/>
      <c r="BA740" s="16"/>
    </row>
    <row r="741" spans="41:53" x14ac:dyDescent="0.25">
      <c r="AO741" s="6"/>
      <c r="AP741" s="6"/>
      <c r="AQ741" s="6"/>
      <c r="AS741" s="6"/>
      <c r="AT741" s="6"/>
      <c r="AU741" s="6"/>
      <c r="BA741" s="16"/>
    </row>
    <row r="742" spans="41:53" x14ac:dyDescent="0.25">
      <c r="AO742" s="6"/>
      <c r="AP742" s="6"/>
      <c r="AQ742" s="6"/>
      <c r="AS742" s="6"/>
      <c r="AT742" s="6"/>
      <c r="AU742" s="6"/>
      <c r="BA742" s="6"/>
    </row>
    <row r="743" spans="41:53" x14ac:dyDescent="0.25">
      <c r="AO743" s="6"/>
      <c r="AP743" s="6"/>
      <c r="AQ743" s="6"/>
      <c r="AS743" s="6"/>
      <c r="AT743" s="6"/>
      <c r="AU743" s="6"/>
      <c r="BA743" s="6"/>
    </row>
    <row r="744" spans="41:53" x14ac:dyDescent="0.25">
      <c r="AO744" s="6"/>
      <c r="AP744" s="6"/>
      <c r="AQ744" s="6"/>
      <c r="AS744" s="6"/>
      <c r="AT744" s="6"/>
      <c r="AU744" s="6"/>
      <c r="BA744" s="6"/>
    </row>
    <row r="745" spans="41:53" x14ac:dyDescent="0.25">
      <c r="AO745" s="6"/>
      <c r="AP745" s="6"/>
      <c r="AQ745" s="6"/>
      <c r="AS745" s="6"/>
      <c r="AT745" s="6"/>
      <c r="AU745" s="6"/>
      <c r="BA745" s="6"/>
    </row>
    <row r="746" spans="41:53" x14ac:dyDescent="0.25">
      <c r="AO746" s="6"/>
      <c r="AP746" s="6"/>
      <c r="AQ746" s="6"/>
      <c r="AS746" s="6"/>
      <c r="AT746" s="6"/>
      <c r="AU746" s="6"/>
      <c r="BA746" s="16"/>
    </row>
    <row r="747" spans="41:53" x14ac:dyDescent="0.25">
      <c r="AO747" s="6"/>
      <c r="AP747" s="6"/>
      <c r="AQ747" s="6"/>
      <c r="AS747" s="6"/>
      <c r="AT747" s="6"/>
      <c r="AU747" s="6"/>
      <c r="BA747" s="6"/>
    </row>
    <row r="748" spans="41:53" x14ac:dyDescent="0.25">
      <c r="AO748" s="6"/>
      <c r="AP748" s="6"/>
      <c r="AQ748" s="6"/>
      <c r="AS748" s="6"/>
      <c r="AT748" s="6"/>
      <c r="AU748" s="6"/>
      <c r="BA748" s="16"/>
    </row>
    <row r="749" spans="41:53" x14ac:dyDescent="0.25">
      <c r="AO749" s="6"/>
      <c r="AP749" s="6"/>
      <c r="AQ749" s="6"/>
      <c r="AS749" s="6"/>
      <c r="AT749" s="6"/>
      <c r="AU749" s="6"/>
      <c r="BA749" s="16"/>
    </row>
    <row r="750" spans="41:53" x14ac:dyDescent="0.25">
      <c r="AO750" s="6"/>
      <c r="AP750" s="6"/>
      <c r="AQ750" s="6"/>
      <c r="AS750" s="6"/>
      <c r="AT750" s="6"/>
      <c r="AU750" s="6"/>
      <c r="BA750" s="6"/>
    </row>
    <row r="751" spans="41:53" x14ac:dyDescent="0.25">
      <c r="AO751" s="6"/>
      <c r="AP751" s="6"/>
      <c r="AQ751" s="6"/>
      <c r="AS751" s="6"/>
      <c r="AT751" s="6"/>
      <c r="AU751" s="6"/>
      <c r="BA751" s="6"/>
    </row>
    <row r="752" spans="41:53" x14ac:dyDescent="0.25">
      <c r="AO752" s="6"/>
      <c r="AP752" s="6"/>
      <c r="AQ752" s="6"/>
      <c r="AS752" s="6"/>
      <c r="AT752" s="6"/>
      <c r="AU752" s="6"/>
      <c r="BA752" s="6"/>
    </row>
    <row r="753" spans="41:53" x14ac:dyDescent="0.25">
      <c r="AO753" s="6"/>
      <c r="AP753" s="6"/>
      <c r="AQ753" s="6"/>
      <c r="AS753" s="6"/>
      <c r="AT753" s="6"/>
      <c r="AU753" s="6"/>
      <c r="BA753" s="6"/>
    </row>
    <row r="754" spans="41:53" x14ac:dyDescent="0.25">
      <c r="AO754" s="6"/>
      <c r="AP754" s="6"/>
      <c r="AQ754" s="6"/>
      <c r="AS754" s="6"/>
      <c r="AT754" s="6"/>
      <c r="AU754" s="6"/>
      <c r="BA754" s="16"/>
    </row>
    <row r="755" spans="41:53" x14ac:dyDescent="0.25">
      <c r="AO755" s="6"/>
      <c r="AP755" s="6"/>
      <c r="AQ755" s="6"/>
      <c r="AS755" s="6"/>
      <c r="AT755" s="6"/>
      <c r="AU755" s="6"/>
      <c r="BA755" s="6"/>
    </row>
    <row r="756" spans="41:53" x14ac:dyDescent="0.25">
      <c r="AO756" s="6"/>
      <c r="AP756" s="6"/>
      <c r="AQ756" s="6"/>
      <c r="AS756" s="6"/>
      <c r="AT756" s="6"/>
      <c r="AU756" s="6"/>
      <c r="BA756" s="16"/>
    </row>
    <row r="757" spans="41:53" x14ac:dyDescent="0.25">
      <c r="AO757" s="6"/>
      <c r="AP757" s="6"/>
      <c r="AQ757" s="6"/>
      <c r="AS757" s="6"/>
      <c r="AT757" s="6"/>
      <c r="AU757" s="6"/>
      <c r="BA757" s="16"/>
    </row>
    <row r="758" spans="41:53" x14ac:dyDescent="0.25">
      <c r="AO758" s="6"/>
      <c r="AP758" s="6"/>
      <c r="AQ758" s="6"/>
      <c r="AS758" s="6"/>
      <c r="AT758" s="6"/>
      <c r="AU758" s="6"/>
      <c r="BA758" s="6"/>
    </row>
    <row r="759" spans="41:53" x14ac:dyDescent="0.25">
      <c r="AO759" s="6"/>
      <c r="AP759" s="6"/>
      <c r="AQ759" s="6"/>
      <c r="AS759" s="6"/>
      <c r="AT759" s="6"/>
      <c r="AU759" s="6"/>
      <c r="BA759" s="6"/>
    </row>
    <row r="760" spans="41:53" x14ac:dyDescent="0.25">
      <c r="AO760" s="6"/>
      <c r="AP760" s="6"/>
      <c r="AQ760" s="6"/>
      <c r="AS760" s="6"/>
      <c r="AT760" s="6"/>
      <c r="AU760" s="6"/>
      <c r="BA760" s="6"/>
    </row>
    <row r="761" spans="41:53" x14ac:dyDescent="0.25">
      <c r="AO761" s="6"/>
      <c r="AP761" s="6"/>
      <c r="AQ761" s="6"/>
      <c r="AS761" s="6"/>
      <c r="AT761" s="6"/>
      <c r="AU761" s="6"/>
      <c r="BA761" s="6"/>
    </row>
    <row r="762" spans="41:53" x14ac:dyDescent="0.25">
      <c r="AO762" s="6"/>
      <c r="AP762" s="6"/>
      <c r="AQ762" s="6"/>
      <c r="AS762" s="6"/>
      <c r="AT762" s="6"/>
      <c r="AU762" s="6"/>
      <c r="BA762" s="16"/>
    </row>
    <row r="763" spans="41:53" x14ac:dyDescent="0.25">
      <c r="AO763" s="6"/>
      <c r="AP763" s="6"/>
      <c r="AQ763" s="6"/>
      <c r="AS763" s="6"/>
      <c r="AT763" s="6"/>
      <c r="AU763" s="6"/>
      <c r="BA763" s="6"/>
    </row>
    <row r="764" spans="41:53" x14ac:dyDescent="0.25">
      <c r="AO764" s="6"/>
      <c r="AP764" s="6"/>
      <c r="AQ764" s="6"/>
      <c r="AS764" s="6"/>
      <c r="AT764" s="6"/>
      <c r="AU764" s="6"/>
      <c r="BA764" s="16"/>
    </row>
    <row r="765" spans="41:53" x14ac:dyDescent="0.25">
      <c r="AO765" s="6"/>
      <c r="AP765" s="6"/>
      <c r="AQ765" s="6"/>
      <c r="AS765" s="6"/>
      <c r="AT765" s="6"/>
      <c r="AU765" s="6"/>
      <c r="BA765" s="16"/>
    </row>
    <row r="766" spans="41:53" x14ac:dyDescent="0.25">
      <c r="AO766" s="6"/>
      <c r="AP766" s="6"/>
      <c r="AQ766" s="6"/>
      <c r="AS766" s="6"/>
      <c r="AT766" s="6"/>
      <c r="AU766" s="6"/>
      <c r="BA766" s="6"/>
    </row>
    <row r="767" spans="41:53" x14ac:dyDescent="0.25">
      <c r="AO767" s="6"/>
      <c r="AP767" s="6"/>
      <c r="AQ767" s="6"/>
      <c r="AS767" s="6"/>
      <c r="AT767" s="6"/>
      <c r="AU767" s="6"/>
      <c r="BA767" s="6"/>
    </row>
    <row r="768" spans="41:53" x14ac:dyDescent="0.25">
      <c r="AO768" s="6"/>
      <c r="AP768" s="6"/>
      <c r="AQ768" s="6"/>
      <c r="AS768" s="6"/>
      <c r="AT768" s="6"/>
      <c r="AU768" s="6"/>
      <c r="BA768" s="6"/>
    </row>
    <row r="769" spans="41:53" x14ac:dyDescent="0.25">
      <c r="AO769" s="6"/>
      <c r="AP769" s="6"/>
      <c r="AQ769" s="6"/>
      <c r="AS769" s="6"/>
      <c r="AT769" s="6"/>
      <c r="AU769" s="6"/>
      <c r="BA769" s="6"/>
    </row>
    <row r="770" spans="41:53" x14ac:dyDescent="0.25">
      <c r="AO770" s="6"/>
      <c r="AP770" s="6"/>
      <c r="AQ770" s="6"/>
      <c r="AS770" s="6"/>
      <c r="AT770" s="6"/>
      <c r="AU770" s="6"/>
      <c r="BA770" s="16"/>
    </row>
    <row r="771" spans="41:53" x14ac:dyDescent="0.25">
      <c r="AO771" s="6"/>
      <c r="AP771" s="6"/>
      <c r="AQ771" s="6"/>
      <c r="AS771" s="6"/>
      <c r="AT771" s="6"/>
      <c r="AU771" s="6"/>
      <c r="BA771" s="6"/>
    </row>
    <row r="772" spans="41:53" x14ac:dyDescent="0.25">
      <c r="AO772" s="6"/>
      <c r="AP772" s="6"/>
      <c r="AQ772" s="6"/>
      <c r="AS772" s="6"/>
      <c r="AT772" s="6"/>
      <c r="AU772" s="6"/>
      <c r="BA772" s="16"/>
    </row>
    <row r="773" spans="41:53" x14ac:dyDescent="0.25">
      <c r="AO773" s="6"/>
      <c r="AP773" s="6"/>
      <c r="AQ773" s="6"/>
      <c r="AS773" s="6"/>
      <c r="AT773" s="6"/>
      <c r="AU773" s="6"/>
      <c r="BA773" s="16"/>
    </row>
    <row r="774" spans="41:53" x14ac:dyDescent="0.25">
      <c r="AO774" s="6"/>
      <c r="AP774" s="6"/>
      <c r="AQ774" s="6"/>
      <c r="AS774" s="6"/>
      <c r="AT774" s="6"/>
      <c r="AU774" s="6"/>
      <c r="BA774" s="6"/>
    </row>
    <row r="775" spans="41:53" x14ac:dyDescent="0.25">
      <c r="AO775" s="6"/>
      <c r="AP775" s="6"/>
      <c r="AQ775" s="6"/>
      <c r="AS775" s="6"/>
      <c r="AT775" s="6"/>
      <c r="AU775" s="6"/>
      <c r="BA775" s="6"/>
    </row>
    <row r="776" spans="41:53" x14ac:dyDescent="0.25">
      <c r="AO776" s="6"/>
      <c r="AP776" s="6"/>
      <c r="AQ776" s="6"/>
      <c r="AS776" s="6"/>
      <c r="AT776" s="6"/>
      <c r="AU776" s="6"/>
      <c r="BA776" s="6"/>
    </row>
    <row r="777" spans="41:53" x14ac:dyDescent="0.25">
      <c r="AO777" s="6"/>
      <c r="AP777" s="6"/>
      <c r="AQ777" s="6"/>
      <c r="AS777" s="6"/>
      <c r="AT777" s="6"/>
      <c r="AU777" s="6"/>
      <c r="BA777" s="6"/>
    </row>
    <row r="778" spans="41:53" x14ac:dyDescent="0.25">
      <c r="AO778" s="6"/>
      <c r="AP778" s="6"/>
      <c r="AQ778" s="6"/>
      <c r="AS778" s="6"/>
      <c r="AT778" s="6"/>
      <c r="AU778" s="6"/>
      <c r="BA778" s="16"/>
    </row>
    <row r="779" spans="41:53" x14ac:dyDescent="0.25">
      <c r="AO779" s="6"/>
      <c r="AP779" s="6"/>
      <c r="AQ779" s="6"/>
      <c r="AS779" s="6"/>
      <c r="AT779" s="6"/>
      <c r="AU779" s="6"/>
      <c r="BA779" s="6"/>
    </row>
    <row r="780" spans="41:53" x14ac:dyDescent="0.25">
      <c r="AO780" s="6"/>
      <c r="AP780" s="6"/>
      <c r="AQ780" s="6"/>
      <c r="AS780" s="6"/>
      <c r="AT780" s="6"/>
      <c r="AU780" s="6"/>
      <c r="BA780" s="16"/>
    </row>
    <row r="781" spans="41:53" x14ac:dyDescent="0.25">
      <c r="AO781" s="6"/>
      <c r="AP781" s="6"/>
      <c r="AQ781" s="6"/>
      <c r="AS781" s="6"/>
      <c r="AT781" s="6"/>
      <c r="AU781" s="6"/>
      <c r="BA781" s="16"/>
    </row>
    <row r="782" spans="41:53" x14ac:dyDescent="0.25">
      <c r="AO782" s="6"/>
      <c r="AP782" s="6"/>
      <c r="AQ782" s="6"/>
      <c r="AS782" s="6"/>
      <c r="AT782" s="6"/>
      <c r="AU782" s="6"/>
      <c r="BA782" s="6"/>
    </row>
    <row r="783" spans="41:53" x14ac:dyDescent="0.25">
      <c r="AO783" s="6"/>
      <c r="AP783" s="6"/>
      <c r="AQ783" s="6"/>
      <c r="AS783" s="6"/>
      <c r="AT783" s="6"/>
      <c r="AU783" s="6"/>
      <c r="BA783" s="6"/>
    </row>
    <row r="784" spans="41:53" x14ac:dyDescent="0.25">
      <c r="AO784" s="6"/>
      <c r="AP784" s="6"/>
      <c r="AQ784" s="6"/>
      <c r="AS784" s="6"/>
      <c r="AT784" s="6"/>
      <c r="AU784" s="6"/>
      <c r="BA784" s="6"/>
    </row>
    <row r="785" spans="41:53" x14ac:dyDescent="0.25">
      <c r="AO785" s="6"/>
      <c r="AP785" s="6"/>
      <c r="AQ785" s="6"/>
      <c r="AS785" s="6"/>
      <c r="AT785" s="6"/>
      <c r="AU785" s="6"/>
      <c r="BA785" s="6"/>
    </row>
    <row r="786" spans="41:53" x14ac:dyDescent="0.25">
      <c r="AO786" s="6"/>
      <c r="AP786" s="6"/>
      <c r="AQ786" s="6"/>
      <c r="AS786" s="6"/>
      <c r="AT786" s="6"/>
      <c r="AU786" s="6"/>
      <c r="BA786" s="16"/>
    </row>
    <row r="787" spans="41:53" x14ac:dyDescent="0.25">
      <c r="AO787" s="6"/>
      <c r="AP787" s="6"/>
      <c r="AQ787" s="6"/>
      <c r="AS787" s="6"/>
      <c r="AT787" s="6"/>
      <c r="AU787" s="6"/>
      <c r="BA787" s="6"/>
    </row>
    <row r="788" spans="41:53" x14ac:dyDescent="0.25">
      <c r="AO788" s="6"/>
      <c r="AP788" s="6"/>
      <c r="AQ788" s="6"/>
      <c r="AS788" s="6"/>
      <c r="AT788" s="6"/>
      <c r="AU788" s="6"/>
      <c r="BA788" s="16"/>
    </row>
    <row r="789" spans="41:53" x14ac:dyDescent="0.25">
      <c r="AO789" s="6"/>
      <c r="AP789" s="6"/>
      <c r="AQ789" s="6"/>
      <c r="AS789" s="6"/>
      <c r="AT789" s="6"/>
      <c r="AU789" s="6"/>
      <c r="BA789" s="16"/>
    </row>
    <row r="790" spans="41:53" x14ac:dyDescent="0.25">
      <c r="AO790" s="6"/>
      <c r="AP790" s="6"/>
      <c r="AQ790" s="6"/>
      <c r="AS790" s="6"/>
      <c r="AT790" s="6"/>
      <c r="AU790" s="6"/>
      <c r="BA790" s="6"/>
    </row>
    <row r="791" spans="41:53" x14ac:dyDescent="0.25">
      <c r="AO791" s="6"/>
      <c r="AP791" s="6"/>
      <c r="AQ791" s="6"/>
      <c r="AS791" s="6"/>
      <c r="AT791" s="6"/>
      <c r="AU791" s="6"/>
      <c r="BA791" s="6"/>
    </row>
    <row r="792" spans="41:53" x14ac:dyDescent="0.25">
      <c r="AO792" s="6"/>
      <c r="AP792" s="6"/>
      <c r="AQ792" s="6"/>
      <c r="AS792" s="6"/>
      <c r="AT792" s="6"/>
      <c r="AU792" s="6"/>
      <c r="BA792" s="6"/>
    </row>
    <row r="793" spans="41:53" x14ac:dyDescent="0.25">
      <c r="AO793" s="6"/>
      <c r="AP793" s="6"/>
      <c r="AQ793" s="6"/>
      <c r="AS793" s="6"/>
      <c r="AT793" s="6"/>
      <c r="AU793" s="6"/>
      <c r="BA793" s="6"/>
    </row>
    <row r="794" spans="41:53" x14ac:dyDescent="0.25">
      <c r="AO794" s="6"/>
      <c r="AP794" s="6"/>
      <c r="AQ794" s="6"/>
      <c r="AS794" s="6"/>
      <c r="AT794" s="6"/>
      <c r="AU794" s="6"/>
      <c r="BA794" s="16"/>
    </row>
    <row r="795" spans="41:53" x14ac:dyDescent="0.25">
      <c r="AO795" s="6"/>
      <c r="AP795" s="6"/>
      <c r="AQ795" s="6"/>
      <c r="AS795" s="6"/>
      <c r="AT795" s="6"/>
      <c r="AU795" s="6"/>
      <c r="BA795" s="6"/>
    </row>
    <row r="796" spans="41:53" x14ac:dyDescent="0.25">
      <c r="AO796" s="6"/>
      <c r="AP796" s="6"/>
      <c r="AQ796" s="6"/>
      <c r="AS796" s="6"/>
      <c r="AT796" s="6"/>
      <c r="AU796" s="6"/>
      <c r="BA796" s="16"/>
    </row>
    <row r="797" spans="41:53" x14ac:dyDescent="0.25">
      <c r="AO797" s="6"/>
      <c r="AP797" s="6"/>
      <c r="AQ797" s="6"/>
      <c r="AS797" s="6"/>
      <c r="AT797" s="6"/>
      <c r="AU797" s="6"/>
      <c r="BA797" s="16"/>
    </row>
    <row r="798" spans="41:53" x14ac:dyDescent="0.25">
      <c r="AO798" s="6"/>
      <c r="AP798" s="6"/>
      <c r="AQ798" s="6"/>
      <c r="AS798" s="6"/>
      <c r="AT798" s="6"/>
      <c r="AU798" s="6"/>
      <c r="BA798" s="6"/>
    </row>
    <row r="799" spans="41:53" x14ac:dyDescent="0.25">
      <c r="AO799" s="6"/>
      <c r="AP799" s="6"/>
      <c r="AQ799" s="6"/>
      <c r="AS799" s="6"/>
      <c r="AT799" s="6"/>
      <c r="AU799" s="6"/>
      <c r="BA799" s="6"/>
    </row>
    <row r="800" spans="41:53" x14ac:dyDescent="0.25">
      <c r="AO800" s="6"/>
      <c r="AP800" s="6"/>
      <c r="AQ800" s="6"/>
      <c r="AS800" s="6"/>
      <c r="AT800" s="6"/>
      <c r="AU800" s="6"/>
      <c r="BA800" s="6"/>
    </row>
    <row r="801" spans="41:53" x14ac:dyDescent="0.25">
      <c r="AO801" s="6"/>
      <c r="AP801" s="6"/>
      <c r="AQ801" s="6"/>
      <c r="AS801" s="6"/>
      <c r="AT801" s="6"/>
      <c r="AU801" s="6"/>
      <c r="BA801" s="6"/>
    </row>
    <row r="802" spans="41:53" x14ac:dyDescent="0.25">
      <c r="AO802" s="6"/>
      <c r="AP802" s="6"/>
      <c r="AQ802" s="6"/>
      <c r="AS802" s="6"/>
      <c r="AT802" s="6"/>
      <c r="AU802" s="6"/>
      <c r="BA802" s="16"/>
    </row>
    <row r="803" spans="41:53" x14ac:dyDescent="0.25">
      <c r="AO803" s="6"/>
      <c r="AP803" s="6"/>
      <c r="AQ803" s="6"/>
      <c r="AS803" s="6"/>
      <c r="AT803" s="6"/>
      <c r="AU803" s="6"/>
      <c r="BA803" s="6"/>
    </row>
    <row r="804" spans="41:53" x14ac:dyDescent="0.25">
      <c r="AO804" s="6"/>
      <c r="AP804" s="6"/>
      <c r="AQ804" s="6"/>
      <c r="AS804" s="6"/>
      <c r="AT804" s="6"/>
      <c r="AU804" s="6"/>
      <c r="BA804" s="16"/>
    </row>
    <row r="805" spans="41:53" x14ac:dyDescent="0.25">
      <c r="AO805" s="6"/>
      <c r="AP805" s="6"/>
      <c r="AQ805" s="6"/>
      <c r="AS805" s="6"/>
      <c r="AT805" s="6"/>
      <c r="AU805" s="6"/>
      <c r="BA805" s="16"/>
    </row>
    <row r="806" spans="41:53" x14ac:dyDescent="0.25">
      <c r="AO806" s="6"/>
      <c r="AP806" s="6"/>
      <c r="AQ806" s="6"/>
      <c r="AS806" s="6"/>
      <c r="AT806" s="6"/>
      <c r="AU806" s="6"/>
      <c r="BA806" s="6"/>
    </row>
    <row r="807" spans="41:53" x14ac:dyDescent="0.25">
      <c r="AO807" s="6"/>
      <c r="AP807" s="6"/>
      <c r="AQ807" s="6"/>
      <c r="AS807" s="6"/>
      <c r="AT807" s="6"/>
      <c r="AU807" s="6"/>
      <c r="BA807" s="6"/>
    </row>
    <row r="808" spans="41:53" x14ac:dyDescent="0.25">
      <c r="AO808" s="6"/>
      <c r="AP808" s="6"/>
      <c r="AQ808" s="6"/>
      <c r="AS808" s="6"/>
      <c r="AT808" s="6"/>
      <c r="AU808" s="6"/>
      <c r="BA808" s="6"/>
    </row>
    <row r="809" spans="41:53" x14ac:dyDescent="0.25">
      <c r="AO809" s="6"/>
      <c r="AP809" s="6"/>
      <c r="AQ809" s="6"/>
      <c r="AS809" s="6"/>
      <c r="AT809" s="6"/>
      <c r="AU809" s="6"/>
      <c r="BA809" s="6"/>
    </row>
    <row r="810" spans="41:53" x14ac:dyDescent="0.25">
      <c r="AO810" s="6"/>
      <c r="AP810" s="6"/>
      <c r="AQ810" s="6"/>
      <c r="AS810" s="6"/>
      <c r="AT810" s="6"/>
      <c r="AU810" s="6"/>
      <c r="BA810" s="16"/>
    </row>
    <row r="811" spans="41:53" x14ac:dyDescent="0.25">
      <c r="AO811" s="6"/>
      <c r="AP811" s="6"/>
      <c r="AQ811" s="6"/>
      <c r="AS811" s="6"/>
      <c r="AT811" s="6"/>
      <c r="AU811" s="6"/>
      <c r="BA811" s="6"/>
    </row>
    <row r="812" spans="41:53" x14ac:dyDescent="0.25">
      <c r="AO812" s="6"/>
      <c r="AP812" s="6"/>
      <c r="AQ812" s="6"/>
      <c r="AS812" s="6"/>
      <c r="AT812" s="6"/>
      <c r="AU812" s="6"/>
      <c r="BA812" s="16"/>
    </row>
    <row r="813" spans="41:53" x14ac:dyDescent="0.25">
      <c r="AO813" s="6"/>
      <c r="AP813" s="6"/>
      <c r="AQ813" s="6"/>
      <c r="AS813" s="6"/>
      <c r="AT813" s="6"/>
      <c r="AU813" s="6"/>
      <c r="BA813" s="16"/>
    </row>
    <row r="814" spans="41:53" x14ac:dyDescent="0.25">
      <c r="AO814" s="6"/>
      <c r="AP814" s="6"/>
      <c r="AQ814" s="6"/>
      <c r="AS814" s="6"/>
      <c r="AT814" s="6"/>
      <c r="AU814" s="6"/>
      <c r="BA814" s="6"/>
    </row>
    <row r="815" spans="41:53" x14ac:dyDescent="0.25">
      <c r="AO815" s="6"/>
      <c r="AP815" s="6"/>
      <c r="AQ815" s="6"/>
      <c r="AS815" s="6"/>
      <c r="AT815" s="6"/>
      <c r="AU815" s="6"/>
      <c r="BA815" s="6"/>
    </row>
    <row r="816" spans="41:53" x14ac:dyDescent="0.25">
      <c r="AO816" s="6"/>
      <c r="AP816" s="6"/>
      <c r="AQ816" s="6"/>
      <c r="AS816" s="6"/>
      <c r="AT816" s="6"/>
      <c r="AU816" s="6"/>
      <c r="BA816" s="6"/>
    </row>
    <row r="817" spans="41:53" x14ac:dyDescent="0.25">
      <c r="AO817" s="6"/>
      <c r="AP817" s="6"/>
      <c r="AQ817" s="6"/>
      <c r="AS817" s="6"/>
      <c r="AT817" s="6"/>
      <c r="AU817" s="6"/>
      <c r="BA817" s="6"/>
    </row>
    <row r="818" spans="41:53" x14ac:dyDescent="0.25">
      <c r="AO818" s="6"/>
      <c r="AP818" s="6"/>
      <c r="AQ818" s="6"/>
      <c r="AS818" s="6"/>
      <c r="AT818" s="6"/>
      <c r="AU818" s="6"/>
      <c r="BA818" s="16"/>
    </row>
    <row r="819" spans="41:53" x14ac:dyDescent="0.25">
      <c r="AO819" s="6"/>
      <c r="AP819" s="6"/>
      <c r="AQ819" s="6"/>
      <c r="AS819" s="6"/>
      <c r="AT819" s="6"/>
      <c r="AU819" s="6"/>
      <c r="BA819" s="6"/>
    </row>
    <row r="820" spans="41:53" x14ac:dyDescent="0.25">
      <c r="AO820" s="6"/>
      <c r="AP820" s="6"/>
      <c r="AQ820" s="6"/>
      <c r="AS820" s="6"/>
      <c r="AT820" s="6"/>
      <c r="AU820" s="6"/>
      <c r="BA820" s="16"/>
    </row>
    <row r="821" spans="41:53" x14ac:dyDescent="0.25">
      <c r="AO821" s="6"/>
      <c r="AP821" s="6"/>
      <c r="AQ821" s="6"/>
      <c r="AS821" s="6"/>
      <c r="AT821" s="6"/>
      <c r="AU821" s="6"/>
      <c r="BA821" s="16"/>
    </row>
    <row r="822" spans="41:53" x14ac:dyDescent="0.25">
      <c r="AO822" s="6"/>
      <c r="AP822" s="6"/>
      <c r="AQ822" s="6"/>
      <c r="AS822" s="6"/>
      <c r="AT822" s="6"/>
      <c r="AU822" s="6"/>
      <c r="BA822" s="6"/>
    </row>
    <row r="823" spans="41:53" x14ac:dyDescent="0.25">
      <c r="AO823" s="6"/>
      <c r="AP823" s="6"/>
      <c r="AQ823" s="6"/>
      <c r="AS823" s="6"/>
      <c r="AT823" s="6"/>
      <c r="AU823" s="6"/>
      <c r="BA823" s="6"/>
    </row>
    <row r="824" spans="41:53" x14ac:dyDescent="0.25">
      <c r="AO824" s="6"/>
      <c r="AP824" s="6"/>
      <c r="AQ824" s="6"/>
      <c r="AS824" s="6"/>
      <c r="AT824" s="6"/>
      <c r="AU824" s="6"/>
      <c r="BA824" s="6"/>
    </row>
    <row r="825" spans="41:53" x14ac:dyDescent="0.25">
      <c r="AO825" s="6"/>
      <c r="AP825" s="6"/>
      <c r="AQ825" s="6"/>
      <c r="AS825" s="6"/>
      <c r="AT825" s="6"/>
      <c r="AU825" s="6"/>
      <c r="BA825" s="6"/>
    </row>
    <row r="826" spans="41:53" x14ac:dyDescent="0.25">
      <c r="AO826" s="6"/>
      <c r="AP826" s="6"/>
      <c r="AQ826" s="6"/>
      <c r="AS826" s="6"/>
      <c r="AT826" s="6"/>
      <c r="AU826" s="6"/>
      <c r="BA826" s="16"/>
    </row>
    <row r="827" spans="41:53" x14ac:dyDescent="0.25">
      <c r="AO827" s="6"/>
      <c r="AP827" s="6"/>
      <c r="AQ827" s="6"/>
      <c r="AS827" s="6"/>
      <c r="AT827" s="6"/>
      <c r="AU827" s="6"/>
      <c r="BA827" s="6"/>
    </row>
    <row r="828" spans="41:53" x14ac:dyDescent="0.25">
      <c r="AO828" s="6"/>
      <c r="AP828" s="6"/>
      <c r="AQ828" s="6"/>
      <c r="AS828" s="6"/>
      <c r="AT828" s="6"/>
      <c r="AU828" s="6"/>
      <c r="BA828" s="16"/>
    </row>
    <row r="829" spans="41:53" x14ac:dyDescent="0.25">
      <c r="AO829" s="6"/>
      <c r="AP829" s="6"/>
      <c r="AQ829" s="6"/>
      <c r="AS829" s="6"/>
      <c r="AT829" s="6"/>
      <c r="AU829" s="6"/>
      <c r="BA829" s="16"/>
    </row>
    <row r="830" spans="41:53" x14ac:dyDescent="0.25">
      <c r="AO830" s="6"/>
      <c r="AP830" s="6"/>
      <c r="AQ830" s="6"/>
      <c r="AS830" s="6"/>
      <c r="AT830" s="6"/>
      <c r="AU830" s="6"/>
      <c r="BA830" s="6"/>
    </row>
    <row r="831" spans="41:53" x14ac:dyDescent="0.25">
      <c r="AO831" s="6"/>
      <c r="AP831" s="6"/>
      <c r="AQ831" s="6"/>
      <c r="AS831" s="6"/>
      <c r="AT831" s="6"/>
      <c r="AU831" s="6"/>
      <c r="BA831" s="6"/>
    </row>
    <row r="832" spans="41:53" x14ac:dyDescent="0.25">
      <c r="AO832" s="6"/>
      <c r="AP832" s="6"/>
      <c r="AQ832" s="6"/>
      <c r="AS832" s="6"/>
      <c r="AT832" s="6"/>
      <c r="AU832" s="6"/>
      <c r="BA832" s="6"/>
    </row>
    <row r="833" spans="41:53" x14ac:dyDescent="0.25">
      <c r="AO833" s="6"/>
      <c r="AP833" s="6"/>
      <c r="AQ833" s="6"/>
      <c r="AS833" s="6"/>
      <c r="AT833" s="6"/>
      <c r="AU833" s="6"/>
      <c r="BA833" s="6"/>
    </row>
    <row r="834" spans="41:53" x14ac:dyDescent="0.25">
      <c r="AO834" s="6"/>
      <c r="AP834" s="6"/>
      <c r="AQ834" s="6"/>
      <c r="AS834" s="6"/>
      <c r="AT834" s="6"/>
      <c r="AU834" s="6"/>
      <c r="BA834" s="16"/>
    </row>
    <row r="835" spans="41:53" x14ac:dyDescent="0.25">
      <c r="AO835" s="6"/>
      <c r="AP835" s="6"/>
      <c r="AQ835" s="6"/>
      <c r="AS835" s="6"/>
      <c r="AT835" s="6"/>
      <c r="AU835" s="6"/>
      <c r="BA835" s="6"/>
    </row>
    <row r="836" spans="41:53" x14ac:dyDescent="0.25">
      <c r="AO836" s="6"/>
      <c r="AP836" s="6"/>
      <c r="AQ836" s="6"/>
      <c r="AS836" s="6"/>
      <c r="AT836" s="6"/>
      <c r="AU836" s="6"/>
      <c r="BA836" s="16"/>
    </row>
    <row r="837" spans="41:53" x14ac:dyDescent="0.25">
      <c r="AO837" s="6"/>
      <c r="AP837" s="6"/>
      <c r="AQ837" s="6"/>
      <c r="AS837" s="6"/>
      <c r="AT837" s="6"/>
      <c r="AU837" s="6"/>
      <c r="BA837" s="16"/>
    </row>
    <row r="838" spans="41:53" x14ac:dyDescent="0.25">
      <c r="AO838" s="6"/>
      <c r="AP838" s="6"/>
      <c r="AQ838" s="6"/>
      <c r="AS838" s="6"/>
      <c r="AT838" s="6"/>
      <c r="AU838" s="6"/>
      <c r="BA838" s="6"/>
    </row>
    <row r="839" spans="41:53" x14ac:dyDescent="0.25">
      <c r="AO839" s="6"/>
      <c r="AP839" s="6"/>
      <c r="AQ839" s="6"/>
      <c r="AS839" s="6"/>
      <c r="AT839" s="6"/>
      <c r="AU839" s="6"/>
      <c r="BA839" s="6"/>
    </row>
    <row r="840" spans="41:53" x14ac:dyDescent="0.25">
      <c r="AO840" s="6"/>
      <c r="AP840" s="6"/>
      <c r="AQ840" s="6"/>
      <c r="AS840" s="6"/>
      <c r="AT840" s="6"/>
      <c r="AU840" s="6"/>
      <c r="BA840" s="6"/>
    </row>
    <row r="841" spans="41:53" x14ac:dyDescent="0.25">
      <c r="AO841" s="6"/>
      <c r="AP841" s="6"/>
      <c r="AQ841" s="6"/>
      <c r="AS841" s="6"/>
      <c r="AT841" s="6"/>
      <c r="AU841" s="6"/>
      <c r="BA841" s="6"/>
    </row>
    <row r="842" spans="41:53" x14ac:dyDescent="0.25">
      <c r="AO842" s="6"/>
      <c r="AP842" s="6"/>
      <c r="AQ842" s="6"/>
      <c r="AS842" s="6"/>
      <c r="AT842" s="6"/>
      <c r="AU842" s="6"/>
      <c r="BA842" s="16"/>
    </row>
    <row r="843" spans="41:53" x14ac:dyDescent="0.25">
      <c r="AO843" s="6"/>
      <c r="AP843" s="6"/>
      <c r="AQ843" s="6"/>
      <c r="AS843" s="6"/>
      <c r="AT843" s="6"/>
      <c r="AU843" s="6"/>
      <c r="BA843" s="6"/>
    </row>
    <row r="844" spans="41:53" x14ac:dyDescent="0.25">
      <c r="AO844" s="6"/>
      <c r="AP844" s="6"/>
      <c r="AQ844" s="6"/>
      <c r="AS844" s="6"/>
      <c r="AT844" s="6"/>
      <c r="AU844" s="6"/>
      <c r="BA844" s="16"/>
    </row>
    <row r="845" spans="41:53" x14ac:dyDescent="0.25">
      <c r="AO845" s="6"/>
      <c r="AP845" s="6"/>
      <c r="AQ845" s="6"/>
      <c r="AS845" s="6"/>
      <c r="AT845" s="6"/>
      <c r="AU845" s="6"/>
      <c r="BA845" s="16"/>
    </row>
    <row r="846" spans="41:53" x14ac:dyDescent="0.25">
      <c r="AO846" s="6"/>
      <c r="AP846" s="6"/>
      <c r="AQ846" s="6"/>
      <c r="AS846" s="6"/>
      <c r="AT846" s="6"/>
      <c r="AU846" s="6"/>
      <c r="BA846" s="6"/>
    </row>
    <row r="847" spans="41:53" x14ac:dyDescent="0.25">
      <c r="AO847" s="6"/>
      <c r="AP847" s="6"/>
      <c r="AQ847" s="6"/>
      <c r="AS847" s="6"/>
      <c r="AT847" s="6"/>
      <c r="AU847" s="6"/>
      <c r="BA847" s="6"/>
    </row>
    <row r="848" spans="41:53" x14ac:dyDescent="0.25">
      <c r="AO848" s="6"/>
      <c r="AP848" s="6"/>
      <c r="AQ848" s="6"/>
      <c r="AS848" s="6"/>
      <c r="AT848" s="6"/>
      <c r="AU848" s="6"/>
      <c r="BA848" s="6"/>
    </row>
    <row r="849" spans="41:53" x14ac:dyDescent="0.25">
      <c r="AO849" s="6"/>
      <c r="AP849" s="6"/>
      <c r="AQ849" s="6"/>
      <c r="AS849" s="6"/>
      <c r="AT849" s="6"/>
      <c r="AU849" s="6"/>
      <c r="BA849" s="6"/>
    </row>
    <row r="850" spans="41:53" x14ac:dyDescent="0.25">
      <c r="AO850" s="6"/>
      <c r="AP850" s="6"/>
      <c r="AQ850" s="6"/>
      <c r="AS850" s="6"/>
      <c r="AT850" s="6"/>
      <c r="AU850" s="6"/>
      <c r="BA850" s="16"/>
    </row>
    <row r="851" spans="41:53" x14ac:dyDescent="0.25">
      <c r="AO851" s="6"/>
      <c r="AP851" s="6"/>
      <c r="AQ851" s="6"/>
      <c r="AS851" s="6"/>
      <c r="AT851" s="6"/>
      <c r="AU851" s="6"/>
      <c r="BA851" s="6"/>
    </row>
    <row r="852" spans="41:53" x14ac:dyDescent="0.25">
      <c r="AO852" s="6"/>
      <c r="AP852" s="6"/>
      <c r="AQ852" s="6"/>
      <c r="AS852" s="6"/>
      <c r="AT852" s="6"/>
      <c r="AU852" s="6"/>
      <c r="BA852" s="16"/>
    </row>
    <row r="853" spans="41:53" x14ac:dyDescent="0.25">
      <c r="AO853" s="6"/>
      <c r="AP853" s="6"/>
      <c r="AQ853" s="6"/>
      <c r="AS853" s="6"/>
      <c r="AT853" s="6"/>
      <c r="AU853" s="6"/>
      <c r="BA853" s="16"/>
    </row>
    <row r="854" spans="41:53" x14ac:dyDescent="0.25">
      <c r="AO854" s="6"/>
      <c r="AP854" s="6"/>
      <c r="AQ854" s="6"/>
      <c r="AS854" s="6"/>
      <c r="AT854" s="6"/>
      <c r="AU854" s="6"/>
      <c r="BA854" s="6"/>
    </row>
    <row r="855" spans="41:53" x14ac:dyDescent="0.25">
      <c r="AO855" s="6"/>
      <c r="AP855" s="6"/>
      <c r="AQ855" s="6"/>
      <c r="AS855" s="6"/>
      <c r="AT855" s="6"/>
      <c r="AU855" s="6"/>
      <c r="BA855" s="6"/>
    </row>
    <row r="856" spans="41:53" x14ac:dyDescent="0.25">
      <c r="AO856" s="6"/>
      <c r="AP856" s="6"/>
      <c r="AQ856" s="6"/>
      <c r="AS856" s="6"/>
      <c r="AT856" s="6"/>
      <c r="AU856" s="6"/>
      <c r="BA856" s="6"/>
    </row>
    <row r="857" spans="41:53" x14ac:dyDescent="0.25">
      <c r="AO857" s="6"/>
      <c r="AP857" s="6"/>
      <c r="AQ857" s="6"/>
      <c r="AS857" s="6"/>
      <c r="AT857" s="6"/>
      <c r="AU857" s="6"/>
      <c r="BA857" s="6"/>
    </row>
    <row r="858" spans="41:53" x14ac:dyDescent="0.25">
      <c r="AO858" s="6"/>
      <c r="AP858" s="6"/>
      <c r="AQ858" s="6"/>
      <c r="AS858" s="6"/>
      <c r="AT858" s="6"/>
      <c r="AU858" s="6"/>
      <c r="BA858" s="16"/>
    </row>
    <row r="859" spans="41:53" x14ac:dyDescent="0.25">
      <c r="AO859" s="6"/>
      <c r="AP859" s="6"/>
      <c r="AQ859" s="6"/>
      <c r="AS859" s="6"/>
      <c r="AT859" s="6"/>
      <c r="AU859" s="6"/>
      <c r="BA859" s="6"/>
    </row>
    <row r="860" spans="41:53" x14ac:dyDescent="0.25">
      <c r="AO860" s="6"/>
      <c r="AP860" s="6"/>
      <c r="AQ860" s="6"/>
      <c r="AS860" s="6"/>
      <c r="AT860" s="6"/>
      <c r="AU860" s="6"/>
      <c r="BA860" s="16"/>
    </row>
    <row r="861" spans="41:53" x14ac:dyDescent="0.25">
      <c r="AO861" s="6"/>
      <c r="AP861" s="6"/>
      <c r="AQ861" s="6"/>
      <c r="AS861" s="6"/>
      <c r="AT861" s="6"/>
      <c r="AU861" s="6"/>
      <c r="BA861" s="16"/>
    </row>
    <row r="862" spans="41:53" x14ac:dyDescent="0.25">
      <c r="AO862" s="6"/>
      <c r="AP862" s="6"/>
      <c r="AQ862" s="6"/>
      <c r="AS862" s="6"/>
      <c r="AT862" s="6"/>
      <c r="AU862" s="6"/>
      <c r="BA862" s="6"/>
    </row>
    <row r="863" spans="41:53" x14ac:dyDescent="0.25">
      <c r="AO863" s="6"/>
      <c r="AP863" s="6"/>
      <c r="AQ863" s="6"/>
      <c r="AS863" s="6"/>
      <c r="AT863" s="6"/>
      <c r="AU863" s="6"/>
      <c r="BA863" s="6"/>
    </row>
    <row r="864" spans="41:53" x14ac:dyDescent="0.25">
      <c r="AO864" s="6"/>
      <c r="AP864" s="6"/>
      <c r="AQ864" s="6"/>
      <c r="AS864" s="6"/>
      <c r="AT864" s="6"/>
      <c r="AU864" s="6"/>
      <c r="BA864" s="6"/>
    </row>
    <row r="865" spans="41:53" x14ac:dyDescent="0.25">
      <c r="AO865" s="6"/>
      <c r="AP865" s="6"/>
      <c r="AQ865" s="6"/>
      <c r="AS865" s="6"/>
      <c r="AT865" s="6"/>
      <c r="AU865" s="6"/>
      <c r="BA865" s="6"/>
    </row>
    <row r="866" spans="41:53" x14ac:dyDescent="0.25">
      <c r="AO866" s="6"/>
      <c r="AP866" s="6"/>
      <c r="AQ866" s="6"/>
      <c r="AS866" s="6"/>
      <c r="AT866" s="6"/>
      <c r="AU866" s="6"/>
      <c r="BA866" s="16"/>
    </row>
    <row r="867" spans="41:53" x14ac:dyDescent="0.25">
      <c r="AO867" s="6"/>
      <c r="AP867" s="6"/>
      <c r="AQ867" s="6"/>
      <c r="AS867" s="6"/>
      <c r="AT867" s="6"/>
      <c r="AU867" s="6"/>
      <c r="BA867" s="6"/>
    </row>
    <row r="868" spans="41:53" x14ac:dyDescent="0.25">
      <c r="AO868" s="6"/>
      <c r="AP868" s="6"/>
      <c r="AQ868" s="6"/>
      <c r="AS868" s="6"/>
      <c r="AT868" s="6"/>
      <c r="AU868" s="6"/>
      <c r="BA868" s="16"/>
    </row>
    <row r="869" spans="41:53" x14ac:dyDescent="0.25">
      <c r="AO869" s="6"/>
      <c r="AP869" s="6"/>
      <c r="AQ869" s="6"/>
      <c r="AS869" s="6"/>
      <c r="AT869" s="6"/>
      <c r="AU869" s="6"/>
      <c r="BA869" s="16"/>
    </row>
    <row r="870" spans="41:53" x14ac:dyDescent="0.25">
      <c r="AO870" s="6"/>
      <c r="AP870" s="6"/>
      <c r="AQ870" s="6"/>
      <c r="AS870" s="6"/>
      <c r="AT870" s="6"/>
      <c r="AU870" s="6"/>
      <c r="BA870" s="6"/>
    </row>
    <row r="871" spans="41:53" x14ac:dyDescent="0.25">
      <c r="AO871" s="6"/>
      <c r="AP871" s="6"/>
      <c r="AQ871" s="6"/>
      <c r="AS871" s="6"/>
      <c r="AT871" s="6"/>
      <c r="AU871" s="6"/>
      <c r="BA871" s="6"/>
    </row>
    <row r="872" spans="41:53" x14ac:dyDescent="0.25">
      <c r="AO872" s="6"/>
      <c r="AP872" s="6"/>
      <c r="AQ872" s="6"/>
      <c r="AS872" s="6"/>
      <c r="AT872" s="6"/>
      <c r="AU872" s="6"/>
      <c r="BA872" s="6"/>
    </row>
    <row r="873" spans="41:53" x14ac:dyDescent="0.25">
      <c r="AO873" s="6"/>
      <c r="AP873" s="6"/>
      <c r="AQ873" s="6"/>
      <c r="AS873" s="6"/>
      <c r="AT873" s="6"/>
      <c r="AU873" s="6"/>
      <c r="BA873" s="6"/>
    </row>
    <row r="874" spans="41:53" x14ac:dyDescent="0.25">
      <c r="AO874" s="6"/>
      <c r="AP874" s="6"/>
      <c r="AQ874" s="6"/>
      <c r="AS874" s="6"/>
      <c r="AT874" s="6"/>
      <c r="AU874" s="6"/>
      <c r="BA874" s="16"/>
    </row>
    <row r="875" spans="41:53" x14ac:dyDescent="0.25">
      <c r="AO875" s="6"/>
      <c r="AP875" s="6"/>
      <c r="AQ875" s="6"/>
      <c r="AS875" s="6"/>
      <c r="AT875" s="6"/>
      <c r="AU875" s="6"/>
      <c r="BA875" s="6"/>
    </row>
    <row r="876" spans="41:53" x14ac:dyDescent="0.25">
      <c r="AO876" s="6"/>
      <c r="AP876" s="6"/>
      <c r="AQ876" s="6"/>
      <c r="AS876" s="6"/>
      <c r="AT876" s="6"/>
      <c r="AU876" s="6"/>
      <c r="BA876" s="16"/>
    </row>
    <row r="877" spans="41:53" x14ac:dyDescent="0.25">
      <c r="AO877" s="6"/>
      <c r="AP877" s="6"/>
      <c r="AQ877" s="6"/>
      <c r="AS877" s="6"/>
      <c r="AT877" s="6"/>
      <c r="AU877" s="6"/>
      <c r="BA877" s="16"/>
    </row>
    <row r="878" spans="41:53" x14ac:dyDescent="0.25">
      <c r="AO878" s="6"/>
      <c r="AP878" s="6"/>
      <c r="AQ878" s="6"/>
      <c r="AS878" s="6"/>
      <c r="AT878" s="6"/>
      <c r="AU878" s="6"/>
      <c r="BA878" s="6"/>
    </row>
    <row r="879" spans="41:53" x14ac:dyDescent="0.25">
      <c r="AO879" s="6"/>
      <c r="AP879" s="6"/>
      <c r="AQ879" s="6"/>
      <c r="AS879" s="6"/>
      <c r="AT879" s="6"/>
      <c r="AU879" s="6"/>
      <c r="BA879" s="6"/>
    </row>
    <row r="880" spans="41:53" x14ac:dyDescent="0.25">
      <c r="AO880" s="6"/>
      <c r="AP880" s="6"/>
      <c r="AQ880" s="6"/>
      <c r="AS880" s="6"/>
      <c r="AT880" s="6"/>
      <c r="AU880" s="6"/>
      <c r="BA880" s="6"/>
    </row>
    <row r="881" spans="41:53" x14ac:dyDescent="0.25">
      <c r="AO881" s="6"/>
      <c r="AP881" s="6"/>
      <c r="AQ881" s="6"/>
      <c r="AS881" s="6"/>
      <c r="AT881" s="6"/>
      <c r="AU881" s="6"/>
      <c r="BA881" s="6"/>
    </row>
    <row r="882" spans="41:53" x14ac:dyDescent="0.25">
      <c r="AO882" s="6"/>
      <c r="AP882" s="6"/>
      <c r="AQ882" s="6"/>
      <c r="AS882" s="6"/>
      <c r="AT882" s="6"/>
      <c r="AU882" s="6"/>
      <c r="BA882" s="16"/>
    </row>
    <row r="883" spans="41:53" x14ac:dyDescent="0.25">
      <c r="AO883" s="6"/>
      <c r="AP883" s="6"/>
      <c r="AQ883" s="6"/>
      <c r="AS883" s="6"/>
      <c r="AT883" s="6"/>
      <c r="AU883" s="6"/>
      <c r="BA883" s="6"/>
    </row>
    <row r="884" spans="41:53" x14ac:dyDescent="0.25">
      <c r="AO884" s="6"/>
      <c r="AP884" s="6"/>
      <c r="AQ884" s="6"/>
      <c r="AS884" s="6"/>
      <c r="AT884" s="6"/>
      <c r="AU884" s="6"/>
      <c r="BA884" s="16"/>
    </row>
    <row r="885" spans="41:53" x14ac:dyDescent="0.25">
      <c r="AO885" s="6"/>
      <c r="AP885" s="6"/>
      <c r="AQ885" s="6"/>
      <c r="AS885" s="6"/>
      <c r="AT885" s="6"/>
      <c r="AU885" s="6"/>
      <c r="BA885" s="16"/>
    </row>
    <row r="886" spans="41:53" x14ac:dyDescent="0.25">
      <c r="AO886" s="6"/>
      <c r="AP886" s="6"/>
      <c r="AQ886" s="6"/>
      <c r="AS886" s="6"/>
      <c r="AT886" s="6"/>
      <c r="AU886" s="6"/>
      <c r="BA886" s="6"/>
    </row>
    <row r="887" spans="41:53" x14ac:dyDescent="0.25">
      <c r="AO887" s="6"/>
      <c r="AP887" s="6"/>
      <c r="AQ887" s="6"/>
      <c r="AS887" s="6"/>
      <c r="AT887" s="6"/>
      <c r="AU887" s="6"/>
      <c r="BA887" s="6"/>
    </row>
    <row r="888" spans="41:53" x14ac:dyDescent="0.25">
      <c r="AO888" s="6"/>
      <c r="AP888" s="6"/>
      <c r="AQ888" s="6"/>
      <c r="AS888" s="6"/>
      <c r="AT888" s="6"/>
      <c r="AU888" s="6"/>
      <c r="BA888" s="6"/>
    </row>
    <row r="889" spans="41:53" x14ac:dyDescent="0.25">
      <c r="AO889" s="6"/>
      <c r="AP889" s="6"/>
      <c r="AQ889" s="6"/>
      <c r="AS889" s="6"/>
      <c r="AT889" s="6"/>
      <c r="AU889" s="6"/>
      <c r="BA889" s="6"/>
    </row>
    <row r="890" spans="41:53" x14ac:dyDescent="0.25">
      <c r="AO890" s="6"/>
      <c r="AP890" s="6"/>
      <c r="AQ890" s="6"/>
      <c r="AS890" s="6"/>
      <c r="AT890" s="6"/>
      <c r="AU890" s="6"/>
      <c r="BA890" s="16"/>
    </row>
    <row r="891" spans="41:53" x14ac:dyDescent="0.25">
      <c r="AO891" s="6"/>
      <c r="AP891" s="6"/>
      <c r="AQ891" s="6"/>
      <c r="AS891" s="6"/>
      <c r="AT891" s="6"/>
      <c r="AU891" s="6"/>
      <c r="BA891" s="6"/>
    </row>
    <row r="892" spans="41:53" x14ac:dyDescent="0.25">
      <c r="AO892" s="6"/>
      <c r="AP892" s="6"/>
      <c r="AQ892" s="6"/>
      <c r="AS892" s="6"/>
      <c r="AT892" s="6"/>
      <c r="AU892" s="6"/>
      <c r="BA892" s="16"/>
    </row>
    <row r="893" spans="41:53" x14ac:dyDescent="0.25">
      <c r="AO893" s="6"/>
      <c r="AP893" s="6"/>
      <c r="AQ893" s="6"/>
      <c r="AS893" s="6"/>
      <c r="AT893" s="6"/>
      <c r="AU893" s="6"/>
      <c r="BA893" s="16"/>
    </row>
    <row r="894" spans="41:53" x14ac:dyDescent="0.25">
      <c r="AO894" s="6"/>
      <c r="AP894" s="6"/>
      <c r="AQ894" s="6"/>
      <c r="AS894" s="6"/>
      <c r="AT894" s="6"/>
      <c r="AU894" s="6"/>
      <c r="BA894" s="6"/>
    </row>
    <row r="895" spans="41:53" x14ac:dyDescent="0.25">
      <c r="AO895" s="6"/>
      <c r="AP895" s="6"/>
      <c r="AQ895" s="6"/>
      <c r="AS895" s="6"/>
      <c r="AT895" s="6"/>
      <c r="AU895" s="6"/>
      <c r="BA895" s="6"/>
    </row>
    <row r="896" spans="41:53" x14ac:dyDescent="0.25">
      <c r="AO896" s="6"/>
      <c r="AP896" s="6"/>
      <c r="AQ896" s="6"/>
      <c r="AS896" s="6"/>
      <c r="AT896" s="6"/>
      <c r="AU896" s="6"/>
      <c r="BA896" s="6"/>
    </row>
    <row r="897" spans="41:53" x14ac:dyDescent="0.25">
      <c r="AO897" s="6"/>
      <c r="AP897" s="6"/>
      <c r="AQ897" s="6"/>
      <c r="AS897" s="6"/>
      <c r="AT897" s="6"/>
      <c r="AU897" s="6"/>
      <c r="BA897" s="6"/>
    </row>
    <row r="898" spans="41:53" x14ac:dyDescent="0.25">
      <c r="AO898" s="6"/>
      <c r="AP898" s="6"/>
      <c r="AQ898" s="6"/>
      <c r="AS898" s="6"/>
      <c r="AT898" s="6"/>
      <c r="AU898" s="6"/>
      <c r="BA898" s="16"/>
    </row>
    <row r="899" spans="41:53" x14ac:dyDescent="0.25">
      <c r="AO899" s="6"/>
      <c r="AP899" s="6"/>
      <c r="AQ899" s="6"/>
      <c r="AS899" s="6"/>
      <c r="AT899" s="6"/>
      <c r="AU899" s="6"/>
      <c r="BA899" s="6"/>
    </row>
    <row r="900" spans="41:53" x14ac:dyDescent="0.25">
      <c r="AO900" s="6"/>
      <c r="AP900" s="6"/>
      <c r="AQ900" s="6"/>
      <c r="AS900" s="6"/>
      <c r="AT900" s="6"/>
      <c r="AU900" s="6"/>
      <c r="BA900" s="16"/>
    </row>
    <row r="901" spans="41:53" x14ac:dyDescent="0.25">
      <c r="AO901" s="6"/>
      <c r="AP901" s="6"/>
      <c r="AQ901" s="6"/>
      <c r="AS901" s="6"/>
      <c r="AT901" s="6"/>
      <c r="AU901" s="6"/>
      <c r="BA901" s="16"/>
    </row>
    <row r="902" spans="41:53" x14ac:dyDescent="0.25">
      <c r="AO902" s="6"/>
      <c r="AP902" s="6"/>
      <c r="AQ902" s="6"/>
      <c r="AS902" s="6"/>
      <c r="AT902" s="6"/>
      <c r="AU902" s="6"/>
      <c r="BA902" s="6"/>
    </row>
    <row r="903" spans="41:53" x14ac:dyDescent="0.25">
      <c r="AO903" s="6"/>
      <c r="AP903" s="6"/>
      <c r="AQ903" s="6"/>
      <c r="AS903" s="6"/>
      <c r="AT903" s="6"/>
      <c r="AU903" s="6"/>
      <c r="BA903" s="6"/>
    </row>
    <row r="904" spans="41:53" x14ac:dyDescent="0.25">
      <c r="AO904" s="6"/>
      <c r="AP904" s="6"/>
      <c r="AQ904" s="6"/>
      <c r="AS904" s="6"/>
      <c r="AT904" s="6"/>
      <c r="AU904" s="6"/>
      <c r="BA904" s="6"/>
    </row>
    <row r="905" spans="41:53" x14ac:dyDescent="0.25">
      <c r="AO905" s="6"/>
      <c r="AP905" s="6"/>
      <c r="AQ905" s="6"/>
      <c r="AS905" s="6"/>
      <c r="AT905" s="6"/>
      <c r="AU905" s="6"/>
      <c r="BA905" s="6"/>
    </row>
    <row r="906" spans="41:53" x14ac:dyDescent="0.25">
      <c r="AO906" s="6"/>
      <c r="AP906" s="6"/>
      <c r="AQ906" s="6"/>
      <c r="AS906" s="6"/>
      <c r="AT906" s="6"/>
      <c r="AU906" s="6"/>
      <c r="BA906" s="16"/>
    </row>
    <row r="907" spans="41:53" x14ac:dyDescent="0.25">
      <c r="AO907" s="6"/>
      <c r="AP907" s="6"/>
      <c r="AQ907" s="6"/>
      <c r="AS907" s="6"/>
      <c r="AT907" s="6"/>
      <c r="AU907" s="6"/>
      <c r="BA907" s="6"/>
    </row>
    <row r="908" spans="41:53" x14ac:dyDescent="0.25">
      <c r="AO908" s="6"/>
      <c r="AP908" s="6"/>
      <c r="AQ908" s="6"/>
      <c r="AS908" s="6"/>
      <c r="AT908" s="6"/>
      <c r="AU908" s="6"/>
      <c r="BA908" s="16"/>
    </row>
    <row r="909" spans="41:53" x14ac:dyDescent="0.25">
      <c r="AO909" s="6"/>
      <c r="AP909" s="6"/>
      <c r="AQ909" s="6"/>
      <c r="AS909" s="6"/>
      <c r="AT909" s="6"/>
      <c r="AU909" s="6"/>
      <c r="BA909" s="16"/>
    </row>
    <row r="910" spans="41:53" x14ac:dyDescent="0.25">
      <c r="AO910" s="6"/>
      <c r="AP910" s="6"/>
      <c r="AQ910" s="6"/>
      <c r="AS910" s="6"/>
      <c r="AT910" s="6"/>
      <c r="AU910" s="6"/>
      <c r="BA910" s="6"/>
    </row>
    <row r="911" spans="41:53" x14ac:dyDescent="0.25">
      <c r="AO911" s="6"/>
      <c r="AP911" s="6"/>
      <c r="AQ911" s="6"/>
      <c r="AS911" s="6"/>
      <c r="AT911" s="6"/>
      <c r="AU911" s="6"/>
      <c r="BA911" s="6"/>
    </row>
    <row r="912" spans="41:53" x14ac:dyDescent="0.25">
      <c r="AO912" s="6"/>
      <c r="AP912" s="6"/>
      <c r="AQ912" s="6"/>
      <c r="AS912" s="6"/>
      <c r="AT912" s="6"/>
      <c r="AU912" s="6"/>
      <c r="BA912" s="6"/>
    </row>
    <row r="913" spans="41:53" x14ac:dyDescent="0.25">
      <c r="AO913" s="6"/>
      <c r="AP913" s="6"/>
      <c r="AQ913" s="6"/>
      <c r="AS913" s="6"/>
      <c r="AT913" s="6"/>
      <c r="AU913" s="6"/>
      <c r="BA913" s="6"/>
    </row>
    <row r="914" spans="41:53" x14ac:dyDescent="0.25">
      <c r="AO914" s="6"/>
      <c r="AP914" s="6"/>
      <c r="AQ914" s="6"/>
      <c r="AS914" s="6"/>
      <c r="AT914" s="6"/>
      <c r="AU914" s="6"/>
      <c r="BA914" s="16"/>
    </row>
    <row r="915" spans="41:53" x14ac:dyDescent="0.25">
      <c r="AO915" s="6"/>
      <c r="AP915" s="6"/>
      <c r="AQ915" s="6"/>
      <c r="AS915" s="6"/>
      <c r="AT915" s="6"/>
      <c r="AU915" s="6"/>
      <c r="BA915" s="6"/>
    </row>
    <row r="916" spans="41:53" x14ac:dyDescent="0.25">
      <c r="AO916" s="6"/>
      <c r="AP916" s="6"/>
      <c r="AQ916" s="6"/>
      <c r="AS916" s="6"/>
      <c r="AT916" s="6"/>
      <c r="AU916" s="6"/>
      <c r="BA916" s="16"/>
    </row>
    <row r="917" spans="41:53" x14ac:dyDescent="0.25">
      <c r="AO917" s="6"/>
      <c r="AP917" s="6"/>
      <c r="AQ917" s="6"/>
      <c r="AS917" s="6"/>
      <c r="AT917" s="6"/>
      <c r="AU917" s="6"/>
      <c r="BA917" s="16"/>
    </row>
    <row r="918" spans="41:53" x14ac:dyDescent="0.25">
      <c r="AO918" s="6"/>
      <c r="AP918" s="6"/>
      <c r="AQ918" s="6"/>
      <c r="AS918" s="6"/>
      <c r="AT918" s="6"/>
      <c r="AU918" s="6"/>
      <c r="BA918" s="6"/>
    </row>
    <row r="919" spans="41:53" x14ac:dyDescent="0.25">
      <c r="AO919" s="6"/>
      <c r="AP919" s="6"/>
      <c r="AQ919" s="6"/>
      <c r="AS919" s="6"/>
      <c r="AT919" s="6"/>
      <c r="AU919" s="6"/>
      <c r="BA919" s="6"/>
    </row>
    <row r="920" spans="41:53" x14ac:dyDescent="0.25">
      <c r="AO920" s="6"/>
      <c r="AP920" s="6"/>
      <c r="AQ920" s="6"/>
      <c r="AS920" s="6"/>
      <c r="AT920" s="6"/>
      <c r="AU920" s="6"/>
      <c r="BA920" s="6"/>
    </row>
    <row r="921" spans="41:53" x14ac:dyDescent="0.25">
      <c r="AO921" s="6"/>
      <c r="AP921" s="6"/>
      <c r="AQ921" s="6"/>
      <c r="AS921" s="6"/>
      <c r="AT921" s="6"/>
      <c r="AU921" s="6"/>
      <c r="BA921" s="6"/>
    </row>
    <row r="922" spans="41:53" x14ac:dyDescent="0.25">
      <c r="AO922" s="6"/>
      <c r="AP922" s="6"/>
      <c r="AQ922" s="6"/>
      <c r="AS922" s="6"/>
      <c r="AT922" s="6"/>
      <c r="AU922" s="6"/>
      <c r="BA922" s="16"/>
    </row>
    <row r="923" spans="41:53" x14ac:dyDescent="0.25">
      <c r="AO923" s="6"/>
      <c r="AP923" s="6"/>
      <c r="AQ923" s="6"/>
      <c r="AS923" s="6"/>
      <c r="AT923" s="6"/>
      <c r="AU923" s="6"/>
      <c r="BA923" s="6"/>
    </row>
    <row r="924" spans="41:53" x14ac:dyDescent="0.25">
      <c r="AO924" s="6"/>
      <c r="AP924" s="6"/>
      <c r="AQ924" s="6"/>
      <c r="AS924" s="6"/>
      <c r="AT924" s="6"/>
      <c r="AU924" s="6"/>
      <c r="BA924" s="16"/>
    </row>
    <row r="925" spans="41:53" x14ac:dyDescent="0.25">
      <c r="AO925" s="6"/>
      <c r="AP925" s="6"/>
      <c r="AQ925" s="6"/>
      <c r="AS925" s="6"/>
      <c r="AT925" s="6"/>
      <c r="AU925" s="6"/>
      <c r="BA925" s="16"/>
    </row>
    <row r="926" spans="41:53" x14ac:dyDescent="0.25">
      <c r="AO926" s="6"/>
      <c r="AP926" s="6"/>
      <c r="AQ926" s="6"/>
      <c r="AS926" s="6"/>
      <c r="AT926" s="6"/>
      <c r="AU926" s="6"/>
      <c r="BA926" s="6"/>
    </row>
    <row r="927" spans="41:53" x14ac:dyDescent="0.25">
      <c r="AO927" s="6"/>
      <c r="AP927" s="6"/>
      <c r="AQ927" s="6"/>
      <c r="AS927" s="6"/>
      <c r="AT927" s="6"/>
      <c r="AU927" s="6"/>
      <c r="BA927" s="6"/>
    </row>
    <row r="928" spans="41:53" x14ac:dyDescent="0.25">
      <c r="AO928" s="6"/>
      <c r="AP928" s="6"/>
      <c r="AQ928" s="6"/>
      <c r="AS928" s="6"/>
      <c r="AT928" s="6"/>
      <c r="AU928" s="6"/>
      <c r="BA928" s="6"/>
    </row>
    <row r="929" spans="41:53" x14ac:dyDescent="0.25">
      <c r="AO929" s="6"/>
      <c r="AP929" s="6"/>
      <c r="AQ929" s="6"/>
      <c r="AS929" s="6"/>
      <c r="AT929" s="6"/>
      <c r="AU929" s="6"/>
      <c r="BA929" s="6"/>
    </row>
    <row r="930" spans="41:53" x14ac:dyDescent="0.25">
      <c r="BA930" s="16"/>
    </row>
    <row r="931" spans="41:53" x14ac:dyDescent="0.25">
      <c r="BA931" s="6"/>
    </row>
    <row r="932" spans="41:53" x14ac:dyDescent="0.25">
      <c r="BA932" s="16"/>
    </row>
    <row r="933" spans="41:53" x14ac:dyDescent="0.25">
      <c r="BA933" s="16"/>
    </row>
    <row r="934" spans="41:53" x14ac:dyDescent="0.25">
      <c r="BA934" s="6"/>
    </row>
    <row r="935" spans="41:53" x14ac:dyDescent="0.25">
      <c r="BA935" s="6"/>
    </row>
    <row r="936" spans="41:53" x14ac:dyDescent="0.25">
      <c r="BA936" s="6"/>
    </row>
    <row r="937" spans="41:53" x14ac:dyDescent="0.25">
      <c r="BA937" s="6"/>
    </row>
    <row r="938" spans="41:53" x14ac:dyDescent="0.25">
      <c r="BA938" s="16"/>
    </row>
    <row r="939" spans="41:53" x14ac:dyDescent="0.25">
      <c r="BA939" s="6"/>
    </row>
    <row r="940" spans="41:53" x14ac:dyDescent="0.25">
      <c r="BA940" s="16"/>
    </row>
    <row r="941" spans="41:53" x14ac:dyDescent="0.25">
      <c r="BA941" s="16"/>
    </row>
    <row r="942" spans="41:53" x14ac:dyDescent="0.25">
      <c r="BA942" s="6"/>
    </row>
    <row r="943" spans="41:53" x14ac:dyDescent="0.25">
      <c r="BA943" s="6"/>
    </row>
    <row r="944" spans="41:53" x14ac:dyDescent="0.25">
      <c r="BA944" s="6"/>
    </row>
    <row r="945" spans="53:53" x14ac:dyDescent="0.25">
      <c r="BA945" s="6"/>
    </row>
    <row r="946" spans="53:53" x14ac:dyDescent="0.25">
      <c r="BA946" s="16"/>
    </row>
    <row r="947" spans="53:53" x14ac:dyDescent="0.25">
      <c r="BA947" s="6"/>
    </row>
    <row r="948" spans="53:53" x14ac:dyDescent="0.25">
      <c r="BA948" s="16"/>
    </row>
    <row r="949" spans="53:53" x14ac:dyDescent="0.25">
      <c r="BA949" s="16"/>
    </row>
    <row r="950" spans="53:53" x14ac:dyDescent="0.25">
      <c r="BA950" s="6"/>
    </row>
    <row r="951" spans="53:53" x14ac:dyDescent="0.25">
      <c r="BA951" s="6"/>
    </row>
    <row r="952" spans="53:53" x14ac:dyDescent="0.25">
      <c r="BA952" s="6"/>
    </row>
    <row r="953" spans="53:53" x14ac:dyDescent="0.25">
      <c r="BA953" s="6"/>
    </row>
    <row r="954" spans="53:53" x14ac:dyDescent="0.25">
      <c r="BA954" s="16"/>
    </row>
    <row r="955" spans="53:53" x14ac:dyDescent="0.25">
      <c r="BA955" s="6"/>
    </row>
    <row r="956" spans="53:53" x14ac:dyDescent="0.25">
      <c r="BA956" s="16"/>
    </row>
    <row r="957" spans="53:53" x14ac:dyDescent="0.25">
      <c r="BA957" s="16"/>
    </row>
    <row r="958" spans="53:53" x14ac:dyDescent="0.25">
      <c r="BA958" s="6"/>
    </row>
    <row r="959" spans="53:53" x14ac:dyDescent="0.25">
      <c r="BA959" s="6"/>
    </row>
    <row r="960" spans="53:53" x14ac:dyDescent="0.25">
      <c r="BA960" s="6"/>
    </row>
    <row r="961" spans="53:53" x14ac:dyDescent="0.25">
      <c r="BA961" s="6"/>
    </row>
    <row r="962" spans="53:53" x14ac:dyDescent="0.25">
      <c r="BA962" s="16"/>
    </row>
    <row r="963" spans="53:53" x14ac:dyDescent="0.25">
      <c r="BA963" s="6"/>
    </row>
    <row r="964" spans="53:53" x14ac:dyDescent="0.25">
      <c r="BA964" s="16"/>
    </row>
    <row r="965" spans="53:53" x14ac:dyDescent="0.25">
      <c r="BA965" s="16"/>
    </row>
    <row r="966" spans="53:53" x14ac:dyDescent="0.25">
      <c r="BA966" s="6"/>
    </row>
    <row r="967" spans="53:53" x14ac:dyDescent="0.25">
      <c r="BA967" s="6"/>
    </row>
    <row r="968" spans="53:53" x14ac:dyDescent="0.25">
      <c r="BA968" s="6"/>
    </row>
    <row r="969" spans="53:53" x14ac:dyDescent="0.25">
      <c r="BA969" s="6"/>
    </row>
    <row r="970" spans="53:53" x14ac:dyDescent="0.25">
      <c r="BA970" s="16"/>
    </row>
    <row r="971" spans="53:53" x14ac:dyDescent="0.25">
      <c r="BA971" s="6"/>
    </row>
    <row r="972" spans="53:53" x14ac:dyDescent="0.25">
      <c r="BA972" s="16"/>
    </row>
    <row r="973" spans="53:53" x14ac:dyDescent="0.25">
      <c r="BA973" s="16"/>
    </row>
    <row r="974" spans="53:53" x14ac:dyDescent="0.25">
      <c r="BA974" s="6"/>
    </row>
    <row r="975" spans="53:53" x14ac:dyDescent="0.25">
      <c r="BA975" s="6"/>
    </row>
    <row r="976" spans="53:53" x14ac:dyDescent="0.25">
      <c r="BA976" s="6"/>
    </row>
    <row r="977" spans="53:53" x14ac:dyDescent="0.25">
      <c r="BA977" s="6"/>
    </row>
    <row r="978" spans="53:53" x14ac:dyDescent="0.25">
      <c r="BA978" s="16"/>
    </row>
    <row r="979" spans="53:53" x14ac:dyDescent="0.25">
      <c r="BA979" s="6"/>
    </row>
    <row r="980" spans="53:53" x14ac:dyDescent="0.25">
      <c r="BA980" s="16"/>
    </row>
    <row r="981" spans="53:53" x14ac:dyDescent="0.25">
      <c r="BA981" s="16"/>
    </row>
    <row r="982" spans="53:53" x14ac:dyDescent="0.25">
      <c r="BA982" s="6"/>
    </row>
    <row r="983" spans="53:53" x14ac:dyDescent="0.25">
      <c r="BA983" s="6"/>
    </row>
    <row r="984" spans="53:53" x14ac:dyDescent="0.25">
      <c r="BA984" s="6"/>
    </row>
    <row r="985" spans="53:53" x14ac:dyDescent="0.25">
      <c r="BA985" s="6"/>
    </row>
    <row r="986" spans="53:53" x14ac:dyDescent="0.25">
      <c r="BA986" s="16"/>
    </row>
    <row r="987" spans="53:53" x14ac:dyDescent="0.25">
      <c r="BA987" s="6"/>
    </row>
    <row r="988" spans="53:53" x14ac:dyDescent="0.25">
      <c r="BA988" s="16"/>
    </row>
    <row r="989" spans="53:53" x14ac:dyDescent="0.25">
      <c r="BA989" s="16"/>
    </row>
    <row r="990" spans="53:53" x14ac:dyDescent="0.25">
      <c r="BA990" s="6"/>
    </row>
    <row r="991" spans="53:53" x14ac:dyDescent="0.25">
      <c r="BA991" s="6"/>
    </row>
    <row r="992" spans="53:53" x14ac:dyDescent="0.25">
      <c r="BA992" s="6"/>
    </row>
    <row r="993" spans="53:53" x14ac:dyDescent="0.25">
      <c r="BA993" s="6"/>
    </row>
    <row r="994" spans="53:53" x14ac:dyDescent="0.25">
      <c r="BA994" s="16"/>
    </row>
    <row r="995" spans="53:53" x14ac:dyDescent="0.25">
      <c r="BA995" s="6"/>
    </row>
    <row r="996" spans="53:53" x14ac:dyDescent="0.25">
      <c r="BA996" s="16"/>
    </row>
    <row r="997" spans="53:53" x14ac:dyDescent="0.25">
      <c r="BA997" s="16"/>
    </row>
    <row r="998" spans="53:53" x14ac:dyDescent="0.25">
      <c r="BA998" s="6"/>
    </row>
    <row r="999" spans="53:53" x14ac:dyDescent="0.25">
      <c r="BA999" s="6"/>
    </row>
    <row r="1000" spans="53:53" x14ac:dyDescent="0.25">
      <c r="BA1000" s="6"/>
    </row>
  </sheetData>
  <autoFilter ref="A1:R465" xr:uid="{00000000-0009-0000-0000-000000000000}"/>
  <mergeCells count="5">
    <mergeCell ref="B470:C470"/>
    <mergeCell ref="B473:C473"/>
    <mergeCell ref="B474:C474"/>
    <mergeCell ref="B475:C475"/>
    <mergeCell ref="B476:C476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Estimates of the use of water (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Silomo Kunene</cp:lastModifiedBy>
  <dcterms:modified xsi:type="dcterms:W3CDTF">2026-01-09T08:17:28Z</dcterms:modified>
</cp:coreProperties>
</file>
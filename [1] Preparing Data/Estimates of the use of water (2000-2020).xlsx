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 of the use of water (" sheetId="1" r:id="rId4"/>
  </sheets>
  <definedNames>
    <definedName hidden="1" localSheetId="0" name="_xlnm._FilterDatabase">'Estimates of the use of water ('!$A$1:$R$465</definedName>
  </definedNames>
  <calcPr/>
</workbook>
</file>

<file path=xl/sharedStrings.xml><?xml version="1.0" encoding="utf-8"?>
<sst xmlns="http://schemas.openxmlformats.org/spreadsheetml/2006/main" count="1968" uniqueCount="325">
  <si>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</si>
  <si>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</si>
  <si>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</si>
  <si>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</si>
  <si>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</si>
  <si>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</si>
  <si>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</si>
  <si>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</si>
  <si>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</si>
  <si>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</si>
  <si>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</si>
  <si>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</si>
  <si>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</si>
  <si>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</si>
  <si>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</si>
  <si>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</si>
  <si>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name_year_column</t>
  </si>
  <si>
    <t>y_difference</t>
  </si>
  <si>
    <t>Q2: 4.8</t>
  </si>
  <si>
    <t>arc_n</t>
  </si>
  <si>
    <t>arc_r</t>
  </si>
  <si>
    <t>arc_u</t>
  </si>
  <si>
    <t>wat_bas_n(rounded)</t>
  </si>
  <si>
    <t>wat_bas_r(rounded)</t>
  </si>
  <si>
    <t>wat_bas_u(rounded)</t>
  </si>
  <si>
    <t>ARC_n_full</t>
  </si>
  <si>
    <t>ARC_r_full</t>
  </si>
  <si>
    <t>ARC_u_full</t>
  </si>
  <si>
    <t>ARC_Diff</t>
  </si>
  <si>
    <t>region</t>
  </si>
  <si>
    <t>new_column</t>
  </si>
  <si>
    <t>countries_per_region</t>
  </si>
  <si>
    <t>ARC_N_PER_COUNTRY</t>
  </si>
  <si>
    <t>ARC_N_PER_REGION</t>
  </si>
  <si>
    <t>avg_arc_n_per_region</t>
  </si>
  <si>
    <t>ARC_R_PER_COUNTRY</t>
  </si>
  <si>
    <t>ARC_R_PER_REGION</t>
  </si>
  <si>
    <t>avg_arc_r_per_region</t>
  </si>
  <si>
    <t>ARC_U_PER_COUNTRY</t>
  </si>
  <si>
    <t>ARC_U_PER_REGION</t>
  </si>
  <si>
    <t>avg_arc_u_per_region</t>
  </si>
  <si>
    <t>question10_working_out</t>
  </si>
  <si>
    <t>population_n_per_country</t>
  </si>
  <si>
    <t>population_u_per_country</t>
  </si>
  <si>
    <t>population_r_per_country</t>
  </si>
  <si>
    <t>population_n_region</t>
  </si>
  <si>
    <t>population_u_region</t>
  </si>
  <si>
    <t>population_r_region</t>
  </si>
  <si>
    <t>Afghanistan</t>
  </si>
  <si>
    <t>avg_year_diff_per_country</t>
  </si>
  <si>
    <t>South Asia</t>
  </si>
  <si>
    <t>East Asia &amp; Pacific</t>
  </si>
  <si>
    <t>Albania</t>
  </si>
  <si>
    <t>Europe &amp; Central Asia</t>
  </si>
  <si>
    <t>min_year_diff</t>
  </si>
  <si>
    <t>Algeria</t>
  </si>
  <si>
    <t>Middle East &amp; North Africa</t>
  </si>
  <si>
    <t>Latin America &amp; Caribbean</t>
  </si>
  <si>
    <t>American Samoa</t>
  </si>
  <si>
    <t>max_year_diff</t>
  </si>
  <si>
    <t>Andorra</t>
  </si>
  <si>
    <t>North America</t>
  </si>
  <si>
    <t>Angola</t>
  </si>
  <si>
    <t>Sub-Saharan Africa</t>
  </si>
  <si>
    <t>null</t>
  </si>
  <si>
    <t>Anguilla</t>
  </si>
  <si>
    <t>Antigua and Barbuda</t>
  </si>
  <si>
    <t>Argentina</t>
  </si>
  <si>
    <t>SUM</t>
  </si>
  <si>
    <t>Armenia</t>
  </si>
  <si>
    <t>MAX</t>
  </si>
  <si>
    <t>Aruba</t>
  </si>
  <si>
    <t>MIN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</si>
  <si>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</si>
  <si>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</si>
  <si>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</si>
  <si>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</si>
  <si>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</si>
  <si>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</si>
  <si>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</si>
  <si>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</si>
  <si>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</si>
  <si>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</si>
  <si>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</si>
  <si>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</si>
  <si>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</si>
  <si>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</si>
  <si>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</si>
  <si>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</si>
  <si>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</si>
  <si>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</si>
  <si>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</si>
  <si>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</si>
  <si>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</si>
  <si>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</si>
  <si>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</si>
  <si>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</si>
  <si>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</si>
  <si>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</si>
  <si>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</si>
  <si>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</si>
  <si>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</si>
  <si>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</si>
  <si>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</si>
  <si>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</si>
  <si>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</si>
  <si>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</si>
  <si>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</si>
  <si>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</si>
  <si>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</si>
  <si>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</si>
  <si>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</si>
  <si>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</si>
  <si>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</si>
  <si>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</si>
  <si>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</si>
  <si>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</si>
  <si>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</si>
  <si>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</si>
  <si>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</si>
  <si>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</si>
  <si>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</si>
  <si>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</si>
  <si>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</si>
  <si>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</si>
  <si>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</si>
  <si>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</si>
  <si>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</si>
  <si>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</si>
  <si>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</si>
  <si>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</si>
  <si>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</si>
  <si>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</si>
  <si>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</si>
  <si>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</si>
  <si>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</si>
  <si>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</si>
  <si>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</si>
  <si>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</si>
  <si>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</si>
  <si>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</si>
  <si>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</si>
  <si>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</si>
  <si>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</si>
  <si>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</si>
  <si>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</si>
  <si>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</si>
  <si>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</si>
  <si>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</si>
  <si>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</si>
  <si>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</si>
  <si>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</si>
  <si>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</si>
  <si>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</si>
  <si>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</si>
  <si>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</si>
  <si>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</si>
  <si>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</si>
  <si>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</si>
  <si>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</si>
  <si>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</si>
  <si>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</si>
  <si>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</si>
  <si>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</si>
  <si>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</si>
  <si>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</si>
  <si>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</si>
  <si>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</si>
  <si>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</si>
  <si>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</si>
  <si>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</si>
  <si>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</si>
  <si>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</si>
  <si>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</si>
  <si>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</si>
  <si>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</si>
  <si>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</si>
  <si>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</si>
  <si>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</si>
  <si>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</si>
  <si>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</si>
  <si>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</si>
  <si>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</si>
  <si>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</si>
  <si>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</si>
  <si>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</si>
  <si>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</si>
  <si>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</si>
  <si>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</si>
  <si>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</si>
  <si>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</si>
  <si>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</si>
  <si>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</si>
  <si>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</si>
  <si>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</si>
  <si>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</si>
  <si>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</si>
  <si>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</si>
  <si>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</si>
  <si>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</si>
  <si>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</si>
  <si>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</si>
  <si>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</si>
  <si>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</si>
  <si>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</si>
  <si>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</si>
  <si>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</si>
  <si>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</si>
  <si>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</si>
  <si>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</si>
  <si>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</si>
  <si>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</si>
  <si>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</si>
  <si>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</si>
  <si>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</si>
  <si>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</si>
  <si>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</si>
  <si>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</si>
  <si>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</si>
  <si>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</si>
  <si>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</si>
  <si>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</si>
  <si>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</si>
  <si>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</si>
  <si>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</si>
  <si>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</si>
  <si>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</si>
  <si>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</si>
  <si>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</si>
  <si>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</si>
  <si>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</si>
  <si>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</si>
  <si>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</si>
  <si>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</si>
  <si>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</si>
  <si>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</si>
  <si>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</si>
  <si>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</si>
  <si>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</si>
  <si>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</si>
  <si>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</si>
  <si>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</si>
  <si>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</si>
  <si>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</si>
  <si>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</si>
  <si>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</si>
  <si>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</si>
  <si>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</si>
  <si>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</si>
  <si>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</si>
  <si>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</si>
  <si>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</si>
  <si>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</si>
  <si>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</si>
  <si>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</si>
  <si>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</si>
  <si>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</si>
  <si>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</si>
  <si>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</si>
  <si>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</si>
  <si>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</si>
  <si>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</si>
  <si>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</si>
  <si>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</si>
  <si>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</si>
  <si>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</si>
  <si>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</si>
  <si>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</si>
  <si>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</si>
  <si>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</si>
  <si>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</si>
  <si>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</si>
  <si>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</si>
  <si>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</si>
  <si>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</si>
  <si>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</si>
  <si>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</si>
  <si>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</si>
  <si>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</si>
  <si>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</si>
  <si>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</si>
  <si>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</si>
  <si>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</si>
  <si>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</si>
  <si>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</si>
  <si>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</si>
  <si>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</si>
  <si>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</si>
  <si>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</si>
  <si>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</si>
  <si>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</si>
  <si>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</si>
  <si>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</si>
  <si>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</si>
  <si>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avg</t>
  </si>
  <si>
    <t>sum_of_fully_accessible</t>
  </si>
  <si>
    <t>MEAN</t>
  </si>
  <si>
    <t>Q8</t>
  </si>
  <si>
    <t>SUM_Total_Population</t>
  </si>
  <si>
    <t>confirmed_answers</t>
  </si>
  <si>
    <t>wrong</t>
  </si>
  <si>
    <t xml:space="preserve">Q10: working out </t>
  </si>
  <si>
    <t>MCQ Test Result</t>
  </si>
  <si>
    <t>min</t>
  </si>
  <si>
    <t>sum_of_ARC_equals_zero_and_is_fully_accessible</t>
  </si>
  <si>
    <t>MEDIAN</t>
  </si>
  <si>
    <t>Q1: False</t>
  </si>
  <si>
    <t>max</t>
  </si>
  <si>
    <t>sum_of_ARC_&lt;zero_and_doesnt_have_fully_accessible</t>
  </si>
  <si>
    <t>no_of_countries_with_missing_arc_values</t>
  </si>
  <si>
    <t>sum_of_ARC_&gt;zero_and_doesnt_have_fully_accessible</t>
  </si>
  <si>
    <t>Q3: 2 distinct peaks multiple choice option</t>
  </si>
  <si>
    <t>no_of_countries_with_100%_service_levels</t>
  </si>
  <si>
    <t>Q5_ Wrong</t>
  </si>
  <si>
    <t>Q4: 0.48</t>
  </si>
  <si>
    <t>Q6: More countries had full access to basic water services in urban areas</t>
  </si>
  <si>
    <t>Q5: 21</t>
  </si>
  <si>
    <t>no_of_countries_with_0%_ARC_and_100_service_level</t>
  </si>
  <si>
    <t>Q5</t>
  </si>
  <si>
    <t>no_of_countries_with_0%_ARC_excluding_100_service_level</t>
  </si>
  <si>
    <t>Q7: South Sudan and Morocco</t>
  </si>
  <si>
    <t>Q8: More countries had higher ARC Rural than Urban</t>
  </si>
  <si>
    <t>Q9:Sub-Saharan Africa</t>
  </si>
  <si>
    <t>Q10: only BCD</t>
  </si>
  <si>
    <t>NOTE: I did guess work for Q10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</si>
</sst>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rgb="FF1F1F1F"/>
      <name val="Arial"/>
      <scheme val="minor"/>
    </font>
    <font>
      <color rgb="FF1F1F1F"/>
      <name val="Arial"/>
    </font>
    <font>
      <b/>
      <color rgb="FF1F1F1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2" fontId="5" numFmtId="0" xfId="0" applyAlignment="1" applyFont="1">
      <alignment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0" fontId="2" numFmtId="0" xfId="0" applyFont="1"/>
    <xf borderId="0" fillId="4" fontId="4" numFmtId="0" xfId="0" applyAlignment="1" applyFill="1" applyFont="1">
      <alignment vertical="bottom"/>
    </xf>
    <xf borderId="0" fillId="5" fontId="4" numFmtId="0" xfId="0" applyAlignment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5" fontId="7" numFmtId="0" xfId="0" applyAlignment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5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5" fontId="4" numFmtId="0" xfId="0" applyAlignment="1" applyFont="1">
      <alignment readingOrder="0" shrinkToFit="0" vertical="bottom" wrapText="0"/>
    </xf>
    <xf borderId="0" fillId="0" fontId="2" numFmtId="4" xfId="0" applyFont="1" applyNumberForma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3" fontId="2" numFmtId="0" xfId="0" applyFont="1"/>
    <xf borderId="0" fillId="2" fontId="2" numFmtId="0" xfId="0" applyFont="1"/>
    <xf borderId="0" fillId="0" fontId="1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0"/>
    </xf>
    <xf borderId="0" fillId="6" fontId="1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7" fontId="1" numFmtId="0" xfId="0" applyAlignment="1" applyFont="1">
      <alignment readingOrder="0" shrinkToFit="0" wrapText="0"/>
    </xf>
    <xf borderId="0" fillId="6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National ARCs per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'Estimates of the use of water ('!$AI$2:$AI$8</c:f>
            </c:strRef>
          </c:cat>
          <c:val>
            <c:numRef>
              <c:f>'Estimates of the use of water ('!$AM$2:$AM$8</c:f>
              <c:numCache/>
            </c:numRef>
          </c:val>
        </c:ser>
        <c:axId val="477552604"/>
        <c:axId val="1959512332"/>
      </c:barChart>
      <c:catAx>
        <c:axId val="477552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512332"/>
      </c:catAx>
      <c:valAx>
        <c:axId val="1959512332"/>
        <c:scaling>
          <c:orientation val="minMax"/>
          <c:max val="0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ARC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552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Rural ARCs per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'Estimates of the use of water ('!$AQ$1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'Estimates of the use of water ('!$AI$2:$AI$9</c:f>
            </c:strRef>
          </c:cat>
          <c:val>
            <c:numRef>
              <c:f>'Estimates of the use of water ('!$AQ$2:$AQ$8</c:f>
              <c:numCache/>
            </c:numRef>
          </c:val>
        </c:ser>
        <c:axId val="1026069249"/>
        <c:axId val="1968598447"/>
      </c:barChart>
      <c:catAx>
        <c:axId val="1026069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598447"/>
      </c:catAx>
      <c:valAx>
        <c:axId val="1968598447"/>
        <c:scaling>
          <c:orientation val="minMax"/>
          <c:max val="0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ARC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069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Urban ARCs per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'Estimates of the use of water ('!$AI$2:$AI$8</c:f>
            </c:strRef>
          </c:cat>
          <c:val>
            <c:numRef>
              <c:f>'Estimates of the use of water ('!$AU$2:$AU$8</c:f>
              <c:numCache/>
            </c:numRef>
          </c:val>
        </c:ser>
        <c:axId val="1239216882"/>
        <c:axId val="1184168969"/>
      </c:barChart>
      <c:catAx>
        <c:axId val="1239216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168969"/>
      </c:catAx>
      <c:valAx>
        <c:axId val="1184168969"/>
        <c:scaling>
          <c:orientation val="minMax"/>
          <c:max val="0.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ARC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216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National Population per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'Estimates of the use of water ('!$BB$1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'Estimates of the use of water ('!$BA$2:$BA$9</c:f>
            </c:strRef>
          </c:cat>
          <c:val>
            <c:numRef>
              <c:f>'Estimates of the use of water ('!$BB$2:$BB$9</c:f>
              <c:numCache/>
            </c:numRef>
          </c:val>
        </c:ser>
        <c:axId val="1580815066"/>
        <c:axId val="1767949463"/>
      </c:barChart>
      <c:catAx>
        <c:axId val="1580815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949463"/>
      </c:catAx>
      <c:valAx>
        <c:axId val="1767949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0815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19050</xdr:rowOff>
    </xdr:from>
    <xdr:ext cx="5715000" cy="3533775"/>
    <xdr:pic>
      <xdr:nvPicPr>
        <xdr:cNvPr id="16488683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1</xdr:row>
      <xdr:rowOff>19050</xdr:rowOff>
    </xdr:from>
    <xdr:ext cx="5715000" cy="3533775"/>
    <xdr:pic>
      <xdr:nvPicPr>
        <xdr:cNvPr id="47132707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914400</xdr:colOff>
      <xdr:row>2</xdr:row>
      <xdr:rowOff>19050</xdr:rowOff>
    </xdr:from>
    <xdr:ext cx="436245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39</xdr:col>
      <xdr:colOff>571500</xdr:colOff>
      <xdr:row>2</xdr:row>
      <xdr:rowOff>19050</xdr:rowOff>
    </xdr:from>
    <xdr:ext cx="37909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43</xdr:col>
      <xdr:colOff>514350</xdr:colOff>
      <xdr:row>2</xdr:row>
      <xdr:rowOff>19050</xdr:rowOff>
    </xdr:from>
    <xdr:ext cx="389572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52</xdr:col>
      <xdr:colOff>38100</xdr:colOff>
      <xdr:row>13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4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6"/>
      <c r="AE1" s="7" t="s">
        <v>0</v>
      </c>
      <c r="AF1" s="8" t="s">
        <v>29</v>
      </c>
      <c r="AG1" s="3"/>
      <c r="AH1" s="9" t="s">
        <v>30</v>
      </c>
      <c r="AI1" s="9" t="s">
        <v>31</v>
      </c>
      <c r="AJ1" s="7"/>
      <c r="AK1" s="10" t="s">
        <v>32</v>
      </c>
      <c r="AL1" s="10" t="s">
        <v>33</v>
      </c>
      <c r="AM1" s="11" t="s">
        <v>34</v>
      </c>
      <c r="AN1" s="7"/>
      <c r="AO1" s="10" t="s">
        <v>35</v>
      </c>
      <c r="AP1" s="10" t="s">
        <v>36</v>
      </c>
      <c r="AQ1" s="11" t="s">
        <v>37</v>
      </c>
      <c r="AR1" s="12"/>
      <c r="AS1" s="10" t="s">
        <v>38</v>
      </c>
      <c r="AT1" s="10" t="s">
        <v>39</v>
      </c>
      <c r="AU1" s="11" t="s">
        <v>40</v>
      </c>
      <c r="AV1" s="1"/>
      <c r="AW1" s="3" t="s">
        <v>41</v>
      </c>
      <c r="AX1" s="1" t="s">
        <v>42</v>
      </c>
      <c r="AY1" s="1" t="s">
        <v>43</v>
      </c>
      <c r="AZ1" s="1" t="s">
        <v>44</v>
      </c>
      <c r="BA1" s="9" t="s">
        <v>31</v>
      </c>
      <c r="BB1" s="1" t="s">
        <v>45</v>
      </c>
      <c r="BC1" s="1" t="s">
        <v>46</v>
      </c>
      <c r="BD1" s="1" t="s">
        <v>47</v>
      </c>
      <c r="BE1" s="1"/>
      <c r="BF1" s="1"/>
      <c r="BG1" s="1"/>
    </row>
    <row r="2">
      <c r="A2" s="2" t="s">
        <v>48</v>
      </c>
      <c r="B2" s="2">
        <v>2015.0</v>
      </c>
      <c r="C2" s="2">
        <v>34413.60156</v>
      </c>
      <c r="D2" s="2">
        <v>24.8029995</v>
      </c>
      <c r="E2" s="2">
        <v>61.33978081</v>
      </c>
      <c r="F2" s="2">
        <v>3.511199514</v>
      </c>
      <c r="G2" s="2">
        <v>22.16878383</v>
      </c>
      <c r="H2" s="2">
        <v>12.98023585</v>
      </c>
      <c r="I2" s="2">
        <v>52.98850202</v>
      </c>
      <c r="J2" s="2">
        <v>3.861136617</v>
      </c>
      <c r="K2" s="2">
        <v>26.55326757</v>
      </c>
      <c r="L2" s="2">
        <v>16.59709379</v>
      </c>
      <c r="M2" s="2">
        <v>86.65894072</v>
      </c>
      <c r="N2" s="2">
        <v>2.450270561</v>
      </c>
      <c r="O2" s="2">
        <v>8.876035732</v>
      </c>
      <c r="P2" s="2">
        <v>2.014752987</v>
      </c>
      <c r="Q2" s="13" t="str">
        <f t="shared" ref="Q2:Q461" si="1">A2 &amp; "|" &amp; B2</f>
        <v>Afghanistan|2015</v>
      </c>
      <c r="R2" s="14">
        <f t="shared" ref="R2:R461" si="2">IF(A3=A2, B3-B2," ")</f>
        <v>5</v>
      </c>
      <c r="S2" s="3" t="s">
        <v>49</v>
      </c>
      <c r="T2" s="14">
        <f t="shared" ref="T2:T465" si="3">IFERROR(If($A3=$A2,(E3-E2)/($B3-$B2)),"null")</f>
        <v>2.750326488</v>
      </c>
      <c r="U2" s="14">
        <f>IFERROR(If($A3=$A2, ($I3-$I2)/($B3-$B2)),"null")</f>
        <v>2.667882638</v>
      </c>
      <c r="V2" s="14">
        <f t="shared" ref="V2:V465" si="4">IFERROR(If($A3=$A2,(M3-M2)/($B3-$B2)),"null")</f>
        <v>2.668211856</v>
      </c>
      <c r="W2" s="14">
        <f t="shared" ref="W2:W465" si="5">IFERROR(Round(E2:E465, 0), FALSE)</f>
        <v>61</v>
      </c>
      <c r="X2" s="14">
        <f t="shared" ref="X2:X465" si="6">IFERROR(Round(I2:I465, 0), FALSE)</f>
        <v>53</v>
      </c>
      <c r="Y2" s="14">
        <f t="shared" ref="Y2:Y465" si="7">IFERROR(Round(M2:M465, 0), FALSE)</f>
        <v>87</v>
      </c>
      <c r="Z2" s="14" t="str">
        <f t="shared" ref="Z2:Z465" si="8">IF(AND(A2=A3, W2&gt;100), "Fully Accessible", "")</f>
        <v/>
      </c>
      <c r="AA2" s="14" t="str">
        <f t="shared" ref="AA2:AA465" si="9">IF(AND(A2=A3, X2&gt;100), "Fully Accessible", "")</f>
        <v/>
      </c>
      <c r="AB2" s="14" t="str">
        <f t="shared" ref="AB2:AB465" si="10">IF(AND(A2=A3, Z2&gt;100), "Fully Accessible", "")</f>
        <v>Fully Accessible</v>
      </c>
      <c r="AC2" s="14">
        <f t="shared" ref="AC2:AC465" si="11">IFERROR(SUM(U2-V2), FALSE)</f>
        <v>-0.000329218</v>
      </c>
      <c r="AE2" s="15" t="s">
        <v>48</v>
      </c>
      <c r="AF2" s="16" t="s">
        <v>50</v>
      </c>
      <c r="AH2" s="17" t="str">
        <f t="shared" ref="AH2:AH233" si="12">VLOOKUP(AE2, $AE$2:$AF$233, 2, TRUE)</f>
        <v>South Asia</v>
      </c>
      <c r="AI2" s="18" t="s">
        <v>51</v>
      </c>
      <c r="AJ2" s="19">
        <f>COUNTIF(AH2:AH233, "East Asia &amp; Pacific")</f>
        <v>40</v>
      </c>
      <c r="AK2" s="15">
        <f t="shared" ref="AK2:AK233" si="13">SUMIF($A$2:$A$465, $AE2, $T$2:$T$465)</f>
        <v>2.750326488</v>
      </c>
      <c r="AL2" s="20">
        <f t="shared" ref="AL2:AL8" si="14">SUMIF($AF$2:$AF$233, $AI2, $AK$2:$AK$233)</f>
        <v>11.13739609</v>
      </c>
      <c r="AM2" s="21">
        <f t="shared" ref="AM2:AM8" si="15">IfError(SUMIF($AF$2:$AF$233, $AI2, $AK$2:$AK$233)/CountIf($AF$2:$AF$233, $AI2), "null")</f>
        <v>0.2784349022</v>
      </c>
      <c r="AN2" s="21"/>
      <c r="AO2" s="15">
        <f t="shared" ref="AO2:AO233" si="16">SUMIF($A$2:$A$465, $AE2, $U$2:$U$465)</f>
        <v>2.667882638</v>
      </c>
      <c r="AP2" s="20">
        <f t="shared" ref="AP2:AP8" si="17">SUMIF($AF$2:$AF$233, $AI2, $AO$2:$AO$233)</f>
        <v>12.18707524</v>
      </c>
      <c r="AQ2" s="21">
        <f t="shared" ref="AQ2:AQ8" si="18">IfError(SUMIF($AF$2:$AF$233, $AI2, $AO$2:$AO$233)/CountIf($AF$2:$AF$233, $AI2), "null")</f>
        <v>0.3046768811</v>
      </c>
      <c r="AR2" s="21"/>
      <c r="AS2" s="15">
        <f t="shared" ref="AS2:AS233" si="19">SUMIF($A$2:$A$465, $AE2, $V$2:$V$465)</f>
        <v>2.668211856</v>
      </c>
      <c r="AT2" s="20">
        <f t="shared" ref="AT2:AT8" si="20">SUMIF($AF$2:$AF$233, $AI2, $AS$2:$AS$233)</f>
        <v>6.289863872</v>
      </c>
      <c r="AU2" s="21">
        <f t="shared" ref="AU2:AU8" si="21">IfError(SUMIF($AF$2:$AF$233, $AI2, $AS$2:$AS$233)/CountIf($AF$2:$AF$233, $AI2), "null")</f>
        <v>0.1572465968</v>
      </c>
      <c r="AX2" s="14">
        <f t="shared" ref="AX2:AX465" si="22">IF($A3=$A2,SUM($C3+$C2), "null")</f>
        <v>73341.9414</v>
      </c>
      <c r="AY2" s="14">
        <f t="shared" ref="AY2:AY465" si="23">IF($A3=$A2,SUM($D3+$D2), "null")</f>
        <v>50.82899857</v>
      </c>
      <c r="AZ2" s="14">
        <f t="shared" ref="AZ2:AZ465" si="24">IFERROR(AX2-AY2, "null")</f>
        <v>73291.1124</v>
      </c>
      <c r="BA2" s="18" t="s">
        <v>51</v>
      </c>
      <c r="BB2" s="14">
        <f t="shared" ref="BB2:BB8" si="25">SUMIF($AF$2:$AF$233, $BA2, $AX$2:$AX$233)</f>
        <v>381466.7953</v>
      </c>
      <c r="BC2" s="14">
        <f t="shared" ref="BC2:BC8" si="26">SUMIF($AF$2:$AF$233, $BA2, $AY$2:$AY$233)</f>
        <v>2590.167007</v>
      </c>
      <c r="BD2" s="14">
        <f t="shared" ref="BD2:BD8" si="27">SUMIF($AF$2:$AF$233, $BA2, $AZ$2:$AZ$233)</f>
        <v>378876.6283</v>
      </c>
    </row>
    <row r="3">
      <c r="A3" s="2" t="s">
        <v>48</v>
      </c>
      <c r="B3" s="2">
        <v>2020.0</v>
      </c>
      <c r="C3" s="2">
        <v>38928.33984</v>
      </c>
      <c r="D3" s="2">
        <v>26.02599907</v>
      </c>
      <c r="E3" s="2">
        <v>75.09141325</v>
      </c>
      <c r="F3" s="2">
        <v>1.447541688</v>
      </c>
      <c r="G3" s="2">
        <v>14.56026288</v>
      </c>
      <c r="H3" s="2">
        <v>8.900782174</v>
      </c>
      <c r="I3" s="2">
        <v>66.32791521</v>
      </c>
      <c r="J3" s="2">
        <v>1.956824851</v>
      </c>
      <c r="K3" s="2">
        <v>19.68294895</v>
      </c>
      <c r="L3" s="2">
        <v>12.03231098</v>
      </c>
      <c r="M3" s="2">
        <v>100.0</v>
      </c>
      <c r="N3" s="2">
        <v>0.0</v>
      </c>
      <c r="O3" s="2">
        <v>0.0</v>
      </c>
      <c r="P3" s="2">
        <v>0.0</v>
      </c>
      <c r="Q3" s="13" t="str">
        <f t="shared" si="1"/>
        <v>Afghanistan|2020</v>
      </c>
      <c r="R3" s="14" t="str">
        <f t="shared" si="2"/>
        <v> </v>
      </c>
      <c r="S3" s="13">
        <f>ROUND(AVERAGE(R2:R465), 2)</f>
        <v>4.8</v>
      </c>
      <c r="T3" s="14" t="b">
        <f t="shared" si="3"/>
        <v>0</v>
      </c>
      <c r="U3" s="14" t="b">
        <f t="shared" ref="U3:U8" si="28">IFERROR(If($A4=$A3,($I4-$I3)/($B4-$B3)),"null")</f>
        <v>0</v>
      </c>
      <c r="V3" s="14" t="b">
        <f t="shared" si="4"/>
        <v>0</v>
      </c>
      <c r="W3" s="14">
        <f t="shared" si="5"/>
        <v>75</v>
      </c>
      <c r="X3" s="14">
        <f t="shared" si="6"/>
        <v>66</v>
      </c>
      <c r="Y3" s="14">
        <f t="shared" si="7"/>
        <v>100</v>
      </c>
      <c r="Z3" s="14" t="str">
        <f t="shared" si="8"/>
        <v/>
      </c>
      <c r="AA3" s="14" t="str">
        <f t="shared" si="9"/>
        <v/>
      </c>
      <c r="AB3" s="14" t="str">
        <f t="shared" si="10"/>
        <v/>
      </c>
      <c r="AC3" s="14">
        <f t="shared" si="11"/>
        <v>0</v>
      </c>
      <c r="AE3" s="15" t="s">
        <v>52</v>
      </c>
      <c r="AF3" s="16" t="s">
        <v>53</v>
      </c>
      <c r="AH3" s="17" t="str">
        <f t="shared" si="12"/>
        <v>Europe &amp; Central Asia</v>
      </c>
      <c r="AI3" s="22" t="s">
        <v>53</v>
      </c>
      <c r="AJ3" s="19">
        <f>COUNTIF(AH3:AH234, "Europe &amp; Central Asia")</f>
        <v>64</v>
      </c>
      <c r="AK3" s="15">
        <f t="shared" si="13"/>
        <v>0.334742698</v>
      </c>
      <c r="AL3" s="20">
        <f t="shared" si="14"/>
        <v>7.036204184</v>
      </c>
      <c r="AM3" s="21">
        <f t="shared" si="15"/>
        <v>0.1099406904</v>
      </c>
      <c r="AN3" s="21"/>
      <c r="AO3" s="15">
        <f t="shared" si="16"/>
        <v>0.69281669</v>
      </c>
      <c r="AP3" s="20">
        <f t="shared" si="17"/>
        <v>10.99607571</v>
      </c>
      <c r="AQ3" s="21">
        <f t="shared" si="18"/>
        <v>0.1718136829</v>
      </c>
      <c r="AR3" s="21"/>
      <c r="AS3" s="15">
        <f t="shared" si="19"/>
        <v>0.043748432</v>
      </c>
      <c r="AT3" s="20">
        <f t="shared" si="20"/>
        <v>2.49074647</v>
      </c>
      <c r="AU3" s="21">
        <f t="shared" si="21"/>
        <v>0.03891791359</v>
      </c>
      <c r="AX3" s="14" t="str">
        <f t="shared" si="22"/>
        <v>null</v>
      </c>
      <c r="AY3" s="14" t="str">
        <f t="shared" si="23"/>
        <v>null</v>
      </c>
      <c r="AZ3" s="14" t="str">
        <f t="shared" si="24"/>
        <v>null</v>
      </c>
      <c r="BA3" s="22" t="s">
        <v>53</v>
      </c>
      <c r="BB3" s="14">
        <f t="shared" si="25"/>
        <v>1357668.813</v>
      </c>
      <c r="BC3" s="14">
        <f t="shared" si="26"/>
        <v>3895.030972</v>
      </c>
      <c r="BD3" s="14">
        <f t="shared" si="27"/>
        <v>1353773.782</v>
      </c>
    </row>
    <row r="4">
      <c r="A4" s="2" t="s">
        <v>52</v>
      </c>
      <c r="B4" s="2">
        <v>2015.0</v>
      </c>
      <c r="C4" s="2">
        <v>2890.523926</v>
      </c>
      <c r="D4" s="2">
        <v>57.43399811</v>
      </c>
      <c r="E4" s="2">
        <v>93.39432534</v>
      </c>
      <c r="F4" s="2">
        <v>3.626383658</v>
      </c>
      <c r="G4" s="2">
        <v>2.979291004</v>
      </c>
      <c r="H4" s="2">
        <v>0.0</v>
      </c>
      <c r="I4" s="2">
        <v>90.62727461</v>
      </c>
      <c r="J4" s="2">
        <v>5.263172648</v>
      </c>
      <c r="K4" s="2">
        <v>4.109552744</v>
      </c>
      <c r="L4" s="2">
        <v>0.0</v>
      </c>
      <c r="M4" s="2">
        <v>95.44506696</v>
      </c>
      <c r="N4" s="2">
        <v>2.41331182</v>
      </c>
      <c r="O4" s="2">
        <v>2.141621216</v>
      </c>
      <c r="P4" s="2">
        <v>0.0</v>
      </c>
      <c r="Q4" s="13" t="str">
        <f t="shared" si="1"/>
        <v>Albania|2015</v>
      </c>
      <c r="R4" s="14">
        <f t="shared" si="2"/>
        <v>5</v>
      </c>
      <c r="S4" s="3" t="s">
        <v>54</v>
      </c>
      <c r="T4" s="14">
        <f t="shared" si="3"/>
        <v>0.334742698</v>
      </c>
      <c r="U4" s="14">
        <f t="shared" si="28"/>
        <v>0.69281669</v>
      </c>
      <c r="V4" s="14">
        <f t="shared" si="4"/>
        <v>0.043748432</v>
      </c>
      <c r="W4" s="14">
        <f t="shared" si="5"/>
        <v>93</v>
      </c>
      <c r="X4" s="14">
        <f t="shared" si="6"/>
        <v>91</v>
      </c>
      <c r="Y4" s="14">
        <f t="shared" si="7"/>
        <v>95</v>
      </c>
      <c r="Z4" s="14" t="str">
        <f t="shared" si="8"/>
        <v/>
      </c>
      <c r="AA4" s="14" t="str">
        <f t="shared" si="9"/>
        <v/>
      </c>
      <c r="AB4" s="14" t="str">
        <f t="shared" si="10"/>
        <v>Fully Accessible</v>
      </c>
      <c r="AC4" s="14">
        <f t="shared" si="11"/>
        <v>0.649068258</v>
      </c>
      <c r="AE4" s="15" t="s">
        <v>55</v>
      </c>
      <c r="AF4" s="16" t="s">
        <v>56</v>
      </c>
      <c r="AH4" s="17" t="str">
        <f t="shared" si="12"/>
        <v>Middle East &amp; North Africa</v>
      </c>
      <c r="AI4" s="18" t="s">
        <v>57</v>
      </c>
      <c r="AJ4" s="19">
        <f>COUNTIF(AH4:AH235, "East Asia &amp; Pacific")</f>
        <v>40</v>
      </c>
      <c r="AK4" s="15">
        <f t="shared" si="13"/>
        <v>0.205553686</v>
      </c>
      <c r="AL4" s="20">
        <f t="shared" si="14"/>
        <v>6.787968114</v>
      </c>
      <c r="AM4" s="21">
        <f t="shared" si="15"/>
        <v>0.1414160024</v>
      </c>
      <c r="AN4" s="21"/>
      <c r="AO4" s="15">
        <f t="shared" si="16"/>
        <v>0.33696621</v>
      </c>
      <c r="AP4" s="20">
        <f t="shared" si="17"/>
        <v>15.64723343</v>
      </c>
      <c r="AQ4" s="21">
        <f t="shared" si="18"/>
        <v>0.3259840298</v>
      </c>
      <c r="AR4" s="21"/>
      <c r="AS4" s="15">
        <f t="shared" si="19"/>
        <v>0.102884232</v>
      </c>
      <c r="AT4" s="20">
        <f t="shared" si="20"/>
        <v>2.07412624</v>
      </c>
      <c r="AU4" s="21">
        <f t="shared" si="21"/>
        <v>0.04321096333</v>
      </c>
      <c r="AX4" s="14">
        <f t="shared" si="22"/>
        <v>5768.323975</v>
      </c>
      <c r="AY4" s="14">
        <f t="shared" si="23"/>
        <v>119.5459976</v>
      </c>
      <c r="AZ4" s="14">
        <f t="shared" si="24"/>
        <v>5648.777977</v>
      </c>
      <c r="BA4" s="18" t="s">
        <v>57</v>
      </c>
      <c r="BB4" s="14">
        <f t="shared" si="25"/>
        <v>3434209.772</v>
      </c>
      <c r="BC4" s="14">
        <f t="shared" si="26"/>
        <v>3540.640779</v>
      </c>
      <c r="BD4" s="14">
        <f t="shared" si="27"/>
        <v>3430669.131</v>
      </c>
    </row>
    <row r="5">
      <c r="A5" s="2" t="s">
        <v>52</v>
      </c>
      <c r="B5" s="2">
        <v>2020.0</v>
      </c>
      <c r="C5" s="2">
        <v>2877.800049</v>
      </c>
      <c r="D5" s="2">
        <v>62.11199951</v>
      </c>
      <c r="E5" s="2">
        <v>95.06803883</v>
      </c>
      <c r="F5" s="2">
        <v>1.884656092</v>
      </c>
      <c r="G5" s="2">
        <v>3.047305081</v>
      </c>
      <c r="H5" s="2">
        <v>0.0</v>
      </c>
      <c r="I5" s="2">
        <v>94.09135806</v>
      </c>
      <c r="J5" s="2">
        <v>2.305264955</v>
      </c>
      <c r="K5" s="2">
        <v>3.603376986</v>
      </c>
      <c r="L5" s="2">
        <v>0.0</v>
      </c>
      <c r="M5" s="2">
        <v>95.66380912</v>
      </c>
      <c r="N5" s="2">
        <v>1.62808683</v>
      </c>
      <c r="O5" s="2">
        <v>2.708104054</v>
      </c>
      <c r="P5" s="2">
        <v>0.0</v>
      </c>
      <c r="Q5" s="13" t="str">
        <f t="shared" si="1"/>
        <v>Albania|2020</v>
      </c>
      <c r="R5" s="14" t="str">
        <f t="shared" si="2"/>
        <v> </v>
      </c>
      <c r="S5" s="13">
        <f>MIN(R2:R1000)</f>
        <v>1</v>
      </c>
      <c r="T5" s="14" t="b">
        <f t="shared" si="3"/>
        <v>0</v>
      </c>
      <c r="U5" s="14" t="b">
        <f t="shared" si="28"/>
        <v>0</v>
      </c>
      <c r="V5" s="14" t="b">
        <f t="shared" si="4"/>
        <v>0</v>
      </c>
      <c r="W5" s="14">
        <f t="shared" si="5"/>
        <v>95</v>
      </c>
      <c r="X5" s="14">
        <f t="shared" si="6"/>
        <v>94</v>
      </c>
      <c r="Y5" s="14">
        <f t="shared" si="7"/>
        <v>96</v>
      </c>
      <c r="Z5" s="14" t="str">
        <f t="shared" si="8"/>
        <v/>
      </c>
      <c r="AA5" s="14" t="str">
        <f t="shared" si="9"/>
        <v/>
      </c>
      <c r="AB5" s="14" t="str">
        <f t="shared" si="10"/>
        <v/>
      </c>
      <c r="AC5" s="14">
        <f t="shared" si="11"/>
        <v>0</v>
      </c>
      <c r="AE5" s="15" t="s">
        <v>58</v>
      </c>
      <c r="AF5" s="16" t="s">
        <v>51</v>
      </c>
      <c r="AH5" s="17" t="str">
        <f t="shared" si="12"/>
        <v>East Asia &amp; Pacific</v>
      </c>
      <c r="AI5" s="18" t="s">
        <v>56</v>
      </c>
      <c r="AJ5" s="19">
        <f>COUNTIF(AH5:AH236, "Middle East &amp; North Africa")</f>
        <v>9</v>
      </c>
      <c r="AK5" s="15">
        <f t="shared" si="13"/>
        <v>0.030933702</v>
      </c>
      <c r="AL5" s="20">
        <f t="shared" si="14"/>
        <v>3.455630234</v>
      </c>
      <c r="AM5" s="21">
        <f t="shared" si="15"/>
        <v>0.3455630234</v>
      </c>
      <c r="AN5" s="21"/>
      <c r="AO5" s="15">
        <f t="shared" si="16"/>
        <v>0</v>
      </c>
      <c r="AP5" s="20">
        <f t="shared" si="17"/>
        <v>5.895897832</v>
      </c>
      <c r="AQ5" s="21">
        <f t="shared" si="18"/>
        <v>0.5895897832</v>
      </c>
      <c r="AR5" s="21"/>
      <c r="AS5" s="15">
        <f t="shared" si="19"/>
        <v>0</v>
      </c>
      <c r="AT5" s="20">
        <f t="shared" si="20"/>
        <v>0.99182436</v>
      </c>
      <c r="AU5" s="21">
        <f t="shared" si="21"/>
        <v>0.099182436</v>
      </c>
      <c r="AX5" s="14" t="str">
        <f t="shared" si="22"/>
        <v>null</v>
      </c>
      <c r="AY5" s="14" t="str">
        <f t="shared" si="23"/>
        <v>null</v>
      </c>
      <c r="AZ5" s="14" t="str">
        <f t="shared" si="24"/>
        <v>null</v>
      </c>
      <c r="BA5" s="18" t="s">
        <v>56</v>
      </c>
      <c r="BB5" s="14">
        <f t="shared" si="25"/>
        <v>413178.9265</v>
      </c>
      <c r="BC5" s="14">
        <f t="shared" si="26"/>
        <v>753.3499985</v>
      </c>
      <c r="BD5" s="14">
        <f t="shared" si="27"/>
        <v>412425.5765</v>
      </c>
    </row>
    <row r="6">
      <c r="A6" s="2" t="s">
        <v>55</v>
      </c>
      <c r="B6" s="2">
        <v>2015.0</v>
      </c>
      <c r="C6" s="2">
        <v>39728.01953</v>
      </c>
      <c r="D6" s="2">
        <v>70.84799957</v>
      </c>
      <c r="E6" s="2">
        <v>93.40956153</v>
      </c>
      <c r="F6" s="2">
        <v>5.157780893</v>
      </c>
      <c r="G6" s="2">
        <v>1.275464684</v>
      </c>
      <c r="H6" s="2">
        <v>0.1571928913</v>
      </c>
      <c r="I6" s="2">
        <v>88.35270686</v>
      </c>
      <c r="J6" s="2">
        <v>8.685753121</v>
      </c>
      <c r="K6" s="2">
        <v>2.580431801</v>
      </c>
      <c r="L6" s="2">
        <v>0.3811082155</v>
      </c>
      <c r="M6" s="2">
        <v>95.4903147</v>
      </c>
      <c r="N6" s="2">
        <v>3.706117317</v>
      </c>
      <c r="O6" s="2">
        <v>0.7385100851</v>
      </c>
      <c r="P6" s="2">
        <v>0.06505789753</v>
      </c>
      <c r="Q6" s="13" t="str">
        <f t="shared" si="1"/>
        <v>Algeria|2015</v>
      </c>
      <c r="R6" s="14">
        <f t="shared" si="2"/>
        <v>5</v>
      </c>
      <c r="S6" s="3" t="s">
        <v>59</v>
      </c>
      <c r="T6" s="14">
        <f t="shared" si="3"/>
        <v>0.205553686</v>
      </c>
      <c r="U6" s="14">
        <f t="shared" si="28"/>
        <v>0.33696621</v>
      </c>
      <c r="V6" s="14">
        <f t="shared" si="4"/>
        <v>0.102884232</v>
      </c>
      <c r="W6" s="14">
        <f t="shared" si="5"/>
        <v>93</v>
      </c>
      <c r="X6" s="14">
        <f t="shared" si="6"/>
        <v>88</v>
      </c>
      <c r="Y6" s="14">
        <f t="shared" si="7"/>
        <v>95</v>
      </c>
      <c r="Z6" s="14" t="str">
        <f t="shared" si="8"/>
        <v/>
      </c>
      <c r="AA6" s="14" t="str">
        <f t="shared" si="9"/>
        <v/>
      </c>
      <c r="AB6" s="14" t="str">
        <f t="shared" si="10"/>
        <v>Fully Accessible</v>
      </c>
      <c r="AC6" s="14">
        <f t="shared" si="11"/>
        <v>0.234081978</v>
      </c>
      <c r="AE6" s="15" t="s">
        <v>60</v>
      </c>
      <c r="AF6" s="16" t="s">
        <v>53</v>
      </c>
      <c r="AH6" s="17" t="str">
        <f t="shared" si="12"/>
        <v>Europe &amp; Central Asia</v>
      </c>
      <c r="AI6" s="16" t="s">
        <v>61</v>
      </c>
      <c r="AJ6" s="19">
        <f>COUNTIF(AH6:AH237, "North America")</f>
        <v>6</v>
      </c>
      <c r="AK6" s="15">
        <f t="shared" si="13"/>
        <v>0.000001229999998</v>
      </c>
      <c r="AL6" s="20">
        <f t="shared" si="14"/>
        <v>0.085791978</v>
      </c>
      <c r="AM6" s="21">
        <f t="shared" si="15"/>
        <v>0.014298663</v>
      </c>
      <c r="AN6" s="21"/>
      <c r="AO6" s="15">
        <f t="shared" si="16"/>
        <v>0</v>
      </c>
      <c r="AP6" s="20">
        <f t="shared" si="17"/>
        <v>0.42699393</v>
      </c>
      <c r="AQ6" s="21">
        <f t="shared" si="18"/>
        <v>0.071165655</v>
      </c>
      <c r="AR6" s="21"/>
      <c r="AS6" s="15">
        <f t="shared" si="19"/>
        <v>0</v>
      </c>
      <c r="AT6" s="20">
        <f t="shared" si="20"/>
        <v>0.008132694</v>
      </c>
      <c r="AU6" s="21">
        <f t="shared" si="21"/>
        <v>0.001355449</v>
      </c>
      <c r="AX6" s="14">
        <f t="shared" si="22"/>
        <v>83579.0625</v>
      </c>
      <c r="AY6" s="14">
        <f t="shared" si="23"/>
        <v>144.5810013</v>
      </c>
      <c r="AZ6" s="14">
        <f t="shared" si="24"/>
        <v>83434.4815</v>
      </c>
      <c r="BA6" s="16" t="s">
        <v>61</v>
      </c>
      <c r="BB6" s="14">
        <f t="shared" si="25"/>
        <v>91110.25489</v>
      </c>
      <c r="BC6" s="14">
        <f t="shared" si="26"/>
        <v>728.6060028</v>
      </c>
      <c r="BD6" s="14">
        <f t="shared" si="27"/>
        <v>90381.64888</v>
      </c>
    </row>
    <row r="7">
      <c r="A7" s="2" t="s">
        <v>55</v>
      </c>
      <c r="B7" s="2">
        <v>2020.0</v>
      </c>
      <c r="C7" s="2">
        <v>43851.04297</v>
      </c>
      <c r="D7" s="2">
        <v>73.73300171</v>
      </c>
      <c r="E7" s="2">
        <v>94.43732996</v>
      </c>
      <c r="F7" s="2">
        <v>4.985880842</v>
      </c>
      <c r="G7" s="2">
        <v>0.5318366638</v>
      </c>
      <c r="H7" s="2">
        <v>0.04495253272</v>
      </c>
      <c r="I7" s="2">
        <v>90.03753791</v>
      </c>
      <c r="J7" s="2">
        <v>8.79672214</v>
      </c>
      <c r="K7" s="2">
        <v>0.9946030281</v>
      </c>
      <c r="L7" s="2">
        <v>0.1711369258</v>
      </c>
      <c r="M7" s="2">
        <v>96.00473586</v>
      </c>
      <c r="N7" s="2">
        <v>3.628288591</v>
      </c>
      <c r="O7" s="2">
        <v>0.3669755478</v>
      </c>
      <c r="P7" s="2">
        <v>0.0</v>
      </c>
      <c r="Q7" s="13" t="str">
        <f t="shared" si="1"/>
        <v>Algeria|2020</v>
      </c>
      <c r="R7" s="14" t="str">
        <f t="shared" si="2"/>
        <v> </v>
      </c>
      <c r="S7" s="23">
        <f>MAX(R2:R465)</f>
        <v>5</v>
      </c>
      <c r="T7" s="14" t="b">
        <f t="shared" si="3"/>
        <v>0</v>
      </c>
      <c r="U7" s="14" t="b">
        <f t="shared" si="28"/>
        <v>0</v>
      </c>
      <c r="V7" s="14" t="b">
        <f t="shared" si="4"/>
        <v>0</v>
      </c>
      <c r="W7" s="14">
        <f t="shared" si="5"/>
        <v>94</v>
      </c>
      <c r="X7" s="14">
        <f t="shared" si="6"/>
        <v>90</v>
      </c>
      <c r="Y7" s="14">
        <f t="shared" si="7"/>
        <v>96</v>
      </c>
      <c r="Z7" s="14" t="str">
        <f t="shared" si="8"/>
        <v/>
      </c>
      <c r="AA7" s="14" t="str">
        <f t="shared" si="9"/>
        <v/>
      </c>
      <c r="AB7" s="14" t="str">
        <f t="shared" si="10"/>
        <v/>
      </c>
      <c r="AC7" s="14">
        <f t="shared" si="11"/>
        <v>0</v>
      </c>
      <c r="AE7" s="15" t="s">
        <v>62</v>
      </c>
      <c r="AF7" s="16" t="s">
        <v>63</v>
      </c>
      <c r="AH7" s="17" t="str">
        <f t="shared" si="12"/>
        <v>Sub-Saharan Africa</v>
      </c>
      <c r="AI7" s="16" t="s">
        <v>50</v>
      </c>
      <c r="AJ7" s="19">
        <f>COUNTIF(AH7:AH238, "South Asia")</f>
        <v>10</v>
      </c>
      <c r="AK7" s="15">
        <f t="shared" si="13"/>
        <v>0.570161854</v>
      </c>
      <c r="AL7" s="20">
        <f t="shared" si="14"/>
        <v>5.282534402</v>
      </c>
      <c r="AM7" s="21">
        <f t="shared" si="15"/>
        <v>0.4802304002</v>
      </c>
      <c r="AN7" s="21"/>
      <c r="AO7" s="15">
        <f t="shared" si="16"/>
        <v>0.218771442</v>
      </c>
      <c r="AP7" s="20">
        <f t="shared" si="17"/>
        <v>6.150590894</v>
      </c>
      <c r="AQ7" s="21">
        <f t="shared" si="18"/>
        <v>0.5591446267</v>
      </c>
      <c r="AR7" s="21"/>
      <c r="AS7" s="15">
        <f t="shared" si="19"/>
        <v>0.3046367</v>
      </c>
      <c r="AT7" s="20">
        <f t="shared" si="20"/>
        <v>2.920375404</v>
      </c>
      <c r="AU7" s="21">
        <f t="shared" si="21"/>
        <v>0.2654886731</v>
      </c>
      <c r="AX7" s="14" t="str">
        <f t="shared" si="22"/>
        <v>null</v>
      </c>
      <c r="AY7" s="14" t="str">
        <f t="shared" si="23"/>
        <v>null</v>
      </c>
      <c r="AZ7" s="14" t="str">
        <f t="shared" si="24"/>
        <v>null</v>
      </c>
      <c r="BA7" s="16" t="s">
        <v>50</v>
      </c>
      <c r="BB7" s="14">
        <f t="shared" si="25"/>
        <v>367930.4438</v>
      </c>
      <c r="BC7" s="14">
        <f t="shared" si="26"/>
        <v>818.7709961</v>
      </c>
      <c r="BD7" s="14">
        <f t="shared" si="27"/>
        <v>367111.6728</v>
      </c>
    </row>
    <row r="8">
      <c r="A8" s="2" t="s">
        <v>58</v>
      </c>
      <c r="B8" s="2">
        <v>2015.0</v>
      </c>
      <c r="C8" s="2">
        <v>55.80599976</v>
      </c>
      <c r="D8" s="2">
        <v>87.23800659</v>
      </c>
      <c r="E8" s="2">
        <v>99.61910315</v>
      </c>
      <c r="F8" s="2">
        <v>0.0</v>
      </c>
      <c r="G8" s="2">
        <v>0.3808968461</v>
      </c>
      <c r="H8" s="2">
        <v>0.0</v>
      </c>
      <c r="I8" s="2" t="s">
        <v>64</v>
      </c>
      <c r="J8" s="2" t="s">
        <v>64</v>
      </c>
      <c r="K8" s="2" t="s">
        <v>64</v>
      </c>
      <c r="L8" s="2" t="s">
        <v>64</v>
      </c>
      <c r="M8" s="2" t="s">
        <v>64</v>
      </c>
      <c r="N8" s="2" t="s">
        <v>64</v>
      </c>
      <c r="O8" s="2" t="s">
        <v>64</v>
      </c>
      <c r="P8" s="2" t="s">
        <v>64</v>
      </c>
      <c r="Q8" s="13" t="str">
        <f t="shared" si="1"/>
        <v>American Samoa|2015</v>
      </c>
      <c r="R8" s="14">
        <f t="shared" si="2"/>
        <v>5</v>
      </c>
      <c r="T8" s="14">
        <f t="shared" si="3"/>
        <v>0.030933702</v>
      </c>
      <c r="U8" s="14" t="str">
        <f t="shared" si="28"/>
        <v>null</v>
      </c>
      <c r="V8" s="14" t="str">
        <f t="shared" si="4"/>
        <v>null</v>
      </c>
      <c r="W8" s="14">
        <f t="shared" si="5"/>
        <v>100</v>
      </c>
      <c r="X8" s="14" t="b">
        <f t="shared" si="6"/>
        <v>0</v>
      </c>
      <c r="Y8" s="14" t="b">
        <f t="shared" si="7"/>
        <v>0</v>
      </c>
      <c r="Z8" s="14" t="str">
        <f t="shared" si="8"/>
        <v/>
      </c>
      <c r="AA8" s="14" t="str">
        <f t="shared" si="9"/>
        <v>Fully Accessible</v>
      </c>
      <c r="AB8" s="14" t="str">
        <f t="shared" si="10"/>
        <v>Fully Accessible</v>
      </c>
      <c r="AC8" s="14" t="b">
        <f t="shared" si="11"/>
        <v>0</v>
      </c>
      <c r="AE8" s="15" t="s">
        <v>65</v>
      </c>
      <c r="AF8" s="16" t="s">
        <v>57</v>
      </c>
      <c r="AH8" s="17" t="str">
        <f t="shared" si="12"/>
        <v>Latin America &amp; Caribbean</v>
      </c>
      <c r="AI8" s="16" t="s">
        <v>63</v>
      </c>
      <c r="AJ8" s="19">
        <f>COUNTIF(AH8:AH239, "Sub-Saharan Africa")</f>
        <v>52</v>
      </c>
      <c r="AK8" s="15">
        <f t="shared" si="13"/>
        <v>0</v>
      </c>
      <c r="AL8" s="20">
        <f t="shared" si="14"/>
        <v>29.5888835</v>
      </c>
      <c r="AM8" s="21">
        <f t="shared" si="15"/>
        <v>0.5582808207</v>
      </c>
      <c r="AN8" s="21"/>
      <c r="AO8" s="15">
        <f t="shared" si="16"/>
        <v>0</v>
      </c>
      <c r="AP8" s="20">
        <f t="shared" si="17"/>
        <v>29.60658019</v>
      </c>
      <c r="AQ8" s="21">
        <f t="shared" si="18"/>
        <v>0.5586147205</v>
      </c>
      <c r="AR8" s="21"/>
      <c r="AS8" s="15">
        <f t="shared" si="19"/>
        <v>0</v>
      </c>
      <c r="AT8" s="20">
        <f t="shared" si="20"/>
        <v>13.24796687</v>
      </c>
      <c r="AU8" s="21">
        <f t="shared" si="21"/>
        <v>0.2499616391</v>
      </c>
      <c r="AX8" s="14">
        <f t="shared" si="22"/>
        <v>111.0029984</v>
      </c>
      <c r="AY8" s="14">
        <f t="shared" si="23"/>
        <v>174.3910065</v>
      </c>
      <c r="AZ8" s="14">
        <f t="shared" si="24"/>
        <v>-63.38800811</v>
      </c>
      <c r="BA8" s="16" t="s">
        <v>63</v>
      </c>
      <c r="BB8" s="14">
        <f t="shared" si="25"/>
        <v>3984795.404</v>
      </c>
      <c r="BC8" s="14">
        <f t="shared" si="26"/>
        <v>2514.920002</v>
      </c>
      <c r="BD8" s="14">
        <f t="shared" si="27"/>
        <v>3982280.484</v>
      </c>
    </row>
    <row r="9">
      <c r="A9" s="2" t="s">
        <v>58</v>
      </c>
      <c r="B9" s="2">
        <v>2020.0</v>
      </c>
      <c r="C9" s="2">
        <v>55.1969986</v>
      </c>
      <c r="D9" s="2">
        <v>87.15299988</v>
      </c>
      <c r="E9" s="2">
        <v>99.77377166</v>
      </c>
      <c r="F9" s="2">
        <v>0.0</v>
      </c>
      <c r="G9" s="2">
        <v>0.2262283415</v>
      </c>
      <c r="H9" s="2">
        <v>0.0</v>
      </c>
      <c r="I9" s="2" t="s">
        <v>64</v>
      </c>
      <c r="J9" s="2" t="s">
        <v>64</v>
      </c>
      <c r="K9" s="2" t="s">
        <v>64</v>
      </c>
      <c r="L9" s="2" t="s">
        <v>64</v>
      </c>
      <c r="M9" s="2" t="s">
        <v>64</v>
      </c>
      <c r="N9" s="2" t="s">
        <v>64</v>
      </c>
      <c r="O9" s="2" t="s">
        <v>64</v>
      </c>
      <c r="P9" s="2" t="s">
        <v>64</v>
      </c>
      <c r="Q9" s="13" t="str">
        <f t="shared" si="1"/>
        <v>American Samoa|2020</v>
      </c>
      <c r="R9" s="14" t="str">
        <f t="shared" si="2"/>
        <v> </v>
      </c>
      <c r="T9" s="14" t="b">
        <f t="shared" si="3"/>
        <v>0</v>
      </c>
      <c r="U9" s="14" t="b">
        <f t="shared" ref="U9:U465" si="29">IFERROR(If($A10=$A9,(I10-I9)/($B10-$B9)),"null")</f>
        <v>0</v>
      </c>
      <c r="V9" s="14" t="b">
        <f t="shared" si="4"/>
        <v>0</v>
      </c>
      <c r="W9" s="14">
        <f t="shared" si="5"/>
        <v>100</v>
      </c>
      <c r="X9" s="14" t="b">
        <f t="shared" si="6"/>
        <v>0</v>
      </c>
      <c r="Y9" s="14" t="b">
        <f t="shared" si="7"/>
        <v>0</v>
      </c>
      <c r="Z9" s="14" t="str">
        <f t="shared" si="8"/>
        <v/>
      </c>
      <c r="AA9" s="14" t="str">
        <f t="shared" si="9"/>
        <v/>
      </c>
      <c r="AB9" s="14" t="str">
        <f t="shared" si="10"/>
        <v/>
      </c>
      <c r="AC9" s="14">
        <f t="shared" si="11"/>
        <v>0</v>
      </c>
      <c r="AE9" s="15" t="s">
        <v>66</v>
      </c>
      <c r="AF9" s="16" t="s">
        <v>57</v>
      </c>
      <c r="AH9" s="17" t="str">
        <f t="shared" si="12"/>
        <v>Latin America &amp; Caribbean</v>
      </c>
      <c r="AI9" s="21"/>
      <c r="AJ9" s="21"/>
      <c r="AK9" s="15">
        <f t="shared" si="13"/>
        <v>0</v>
      </c>
      <c r="AL9" s="24"/>
      <c r="AM9" s="21"/>
      <c r="AN9" s="21"/>
      <c r="AO9" s="15">
        <f t="shared" si="16"/>
        <v>0</v>
      </c>
      <c r="AP9" s="24"/>
      <c r="AQ9" s="21"/>
      <c r="AR9" s="21"/>
      <c r="AS9" s="15">
        <f t="shared" si="19"/>
        <v>0</v>
      </c>
      <c r="AT9" s="24"/>
      <c r="AU9" s="21"/>
      <c r="AX9" s="14" t="str">
        <f t="shared" si="22"/>
        <v>null</v>
      </c>
      <c r="AY9" s="14" t="str">
        <f t="shared" si="23"/>
        <v>null</v>
      </c>
      <c r="AZ9" s="14" t="str">
        <f t="shared" si="24"/>
        <v>null</v>
      </c>
      <c r="BA9" s="25"/>
    </row>
    <row r="10">
      <c r="A10" s="2" t="s">
        <v>60</v>
      </c>
      <c r="B10" s="2">
        <v>2015.0</v>
      </c>
      <c r="C10" s="2">
        <v>77.99299622</v>
      </c>
      <c r="D10" s="2">
        <v>88.34499359</v>
      </c>
      <c r="E10" s="2">
        <v>99.99999755</v>
      </c>
      <c r="F10" s="2">
        <v>0.0</v>
      </c>
      <c r="G10" s="2">
        <v>2.445538357E-6</v>
      </c>
      <c r="H10" s="2">
        <v>0.0</v>
      </c>
      <c r="I10" s="2">
        <v>100.0</v>
      </c>
      <c r="J10" s="2">
        <v>0.0</v>
      </c>
      <c r="K10" s="2">
        <v>0.0</v>
      </c>
      <c r="L10" s="2">
        <v>0.0</v>
      </c>
      <c r="M10" s="2">
        <v>100.0</v>
      </c>
      <c r="N10" s="2">
        <v>0.0</v>
      </c>
      <c r="O10" s="2">
        <v>0.0</v>
      </c>
      <c r="P10" s="2">
        <v>0.0</v>
      </c>
      <c r="Q10" s="13" t="str">
        <f t="shared" si="1"/>
        <v>Andorra|2015</v>
      </c>
      <c r="R10" s="14">
        <f t="shared" si="2"/>
        <v>5</v>
      </c>
      <c r="T10" s="14">
        <f t="shared" si="3"/>
        <v>0.000001229999998</v>
      </c>
      <c r="U10" s="14">
        <f t="shared" si="29"/>
        <v>0</v>
      </c>
      <c r="V10" s="14">
        <f t="shared" si="4"/>
        <v>0</v>
      </c>
      <c r="W10" s="14">
        <f t="shared" si="5"/>
        <v>100</v>
      </c>
      <c r="X10" s="14">
        <f t="shared" si="6"/>
        <v>100</v>
      </c>
      <c r="Y10" s="14">
        <f t="shared" si="7"/>
        <v>100</v>
      </c>
      <c r="Z10" s="14" t="str">
        <f t="shared" si="8"/>
        <v/>
      </c>
      <c r="AA10" s="14" t="str">
        <f t="shared" si="9"/>
        <v/>
      </c>
      <c r="AB10" s="14" t="str">
        <f t="shared" si="10"/>
        <v>Fully Accessible</v>
      </c>
      <c r="AC10" s="14">
        <f t="shared" si="11"/>
        <v>0</v>
      </c>
      <c r="AE10" s="15" t="s">
        <v>67</v>
      </c>
      <c r="AF10" s="16" t="s">
        <v>57</v>
      </c>
      <c r="AH10" s="17" t="str">
        <f t="shared" si="12"/>
        <v>Latin America &amp; Caribbean</v>
      </c>
      <c r="AI10" s="21"/>
      <c r="AJ10" s="21"/>
      <c r="AK10" s="15">
        <f t="shared" si="13"/>
        <v>0</v>
      </c>
      <c r="AL10" s="24"/>
      <c r="AM10" s="21"/>
      <c r="AN10" s="21"/>
      <c r="AO10" s="15">
        <f t="shared" si="16"/>
        <v>0</v>
      </c>
      <c r="AP10" s="24"/>
      <c r="AQ10" s="21"/>
      <c r="AR10" s="21"/>
      <c r="AS10" s="15">
        <f t="shared" si="19"/>
        <v>0.05365152</v>
      </c>
      <c r="AT10" s="24"/>
      <c r="AU10" s="21"/>
      <c r="AX10" s="14">
        <f t="shared" si="22"/>
        <v>155.2579956</v>
      </c>
      <c r="AY10" s="14">
        <f t="shared" si="23"/>
        <v>176.260994</v>
      </c>
      <c r="AZ10" s="14">
        <f t="shared" si="24"/>
        <v>-21.00299835</v>
      </c>
      <c r="BA10" s="26" t="s">
        <v>68</v>
      </c>
      <c r="BB10" s="14">
        <f t="shared" ref="BB10:BD10" si="30">SUM(BB2:BB8)</f>
        <v>10030360.41</v>
      </c>
      <c r="BC10" s="14">
        <f t="shared" si="30"/>
        <v>14841.48576</v>
      </c>
      <c r="BD10" s="14">
        <f t="shared" si="30"/>
        <v>10015518.92</v>
      </c>
    </row>
    <row r="11">
      <c r="A11" s="2" t="s">
        <v>60</v>
      </c>
      <c r="B11" s="2">
        <v>2020.0</v>
      </c>
      <c r="C11" s="2">
        <v>77.26499939</v>
      </c>
      <c r="D11" s="2">
        <v>87.91600037</v>
      </c>
      <c r="E11" s="2">
        <v>100.0000037</v>
      </c>
      <c r="F11" s="2">
        <v>0.0</v>
      </c>
      <c r="G11" s="2">
        <v>0.0</v>
      </c>
      <c r="H11" s="2">
        <v>0.0</v>
      </c>
      <c r="I11" s="2">
        <v>100.0</v>
      </c>
      <c r="J11" s="2">
        <v>0.0</v>
      </c>
      <c r="K11" s="2">
        <v>0.0</v>
      </c>
      <c r="L11" s="2">
        <v>0.0</v>
      </c>
      <c r="M11" s="2">
        <v>100.0</v>
      </c>
      <c r="N11" s="2">
        <v>0.0</v>
      </c>
      <c r="O11" s="2">
        <v>0.0</v>
      </c>
      <c r="P11" s="2">
        <v>0.0</v>
      </c>
      <c r="Q11" s="13" t="str">
        <f t="shared" si="1"/>
        <v>Andorra|2020</v>
      </c>
      <c r="R11" s="14" t="str">
        <f t="shared" si="2"/>
        <v> </v>
      </c>
      <c r="T11" s="14" t="b">
        <f t="shared" si="3"/>
        <v>0</v>
      </c>
      <c r="U11" s="14" t="b">
        <f t="shared" si="29"/>
        <v>0</v>
      </c>
      <c r="V11" s="14" t="b">
        <f t="shared" si="4"/>
        <v>0</v>
      </c>
      <c r="W11" s="14">
        <f t="shared" si="5"/>
        <v>100</v>
      </c>
      <c r="X11" s="14">
        <f t="shared" si="6"/>
        <v>100</v>
      </c>
      <c r="Y11" s="14">
        <f t="shared" si="7"/>
        <v>100</v>
      </c>
      <c r="Z11" s="14" t="str">
        <f t="shared" si="8"/>
        <v/>
      </c>
      <c r="AA11" s="14" t="str">
        <f t="shared" si="9"/>
        <v/>
      </c>
      <c r="AB11" s="14" t="str">
        <f t="shared" si="10"/>
        <v/>
      </c>
      <c r="AC11" s="14">
        <f t="shared" si="11"/>
        <v>0</v>
      </c>
      <c r="AE11" s="15" t="s">
        <v>69</v>
      </c>
      <c r="AF11" s="16" t="s">
        <v>53</v>
      </c>
      <c r="AH11" s="17" t="str">
        <f t="shared" si="12"/>
        <v>Europe &amp; Central Asia</v>
      </c>
      <c r="AI11" s="21"/>
      <c r="AJ11" s="21"/>
      <c r="AK11" s="15">
        <f t="shared" si="13"/>
        <v>0.083722798</v>
      </c>
      <c r="AL11" s="24"/>
      <c r="AM11" s="21"/>
      <c r="AN11" s="21"/>
      <c r="AO11" s="15">
        <f t="shared" si="16"/>
        <v>0.189044146</v>
      </c>
      <c r="AP11" s="24"/>
      <c r="AQ11" s="21"/>
      <c r="AR11" s="21"/>
      <c r="AS11" s="15">
        <f t="shared" si="19"/>
        <v>0.022125564</v>
      </c>
      <c r="AT11" s="24"/>
      <c r="AU11" s="21"/>
      <c r="AX11" s="14" t="str">
        <f t="shared" si="22"/>
        <v>null</v>
      </c>
      <c r="AY11" s="14" t="str">
        <f t="shared" si="23"/>
        <v>null</v>
      </c>
      <c r="AZ11" s="14" t="str">
        <f t="shared" si="24"/>
        <v>null</v>
      </c>
      <c r="BA11" s="26" t="s">
        <v>70</v>
      </c>
      <c r="BB11" s="14">
        <f t="shared" ref="BB11:BD11" si="31">MAX(BB2:BB8)</f>
        <v>3984795.404</v>
      </c>
      <c r="BC11" s="14">
        <f t="shared" si="31"/>
        <v>3895.030972</v>
      </c>
      <c r="BD11" s="14">
        <f t="shared" si="31"/>
        <v>3982280.484</v>
      </c>
    </row>
    <row r="12">
      <c r="A12" s="2" t="s">
        <v>62</v>
      </c>
      <c r="B12" s="2">
        <v>2015.0</v>
      </c>
      <c r="C12" s="2">
        <v>27884.38086</v>
      </c>
      <c r="D12" s="2">
        <v>63.44599533</v>
      </c>
      <c r="E12" s="2">
        <v>54.31692835</v>
      </c>
      <c r="F12" s="2">
        <v>11.36861866</v>
      </c>
      <c r="G12" s="2">
        <v>17.37235635</v>
      </c>
      <c r="H12" s="2">
        <v>16.94209664</v>
      </c>
      <c r="I12" s="2">
        <v>26.7143694</v>
      </c>
      <c r="J12" s="2">
        <v>9.931069288</v>
      </c>
      <c r="K12" s="2">
        <v>21.72530762</v>
      </c>
      <c r="L12" s="2">
        <v>41.62925369</v>
      </c>
      <c r="M12" s="2">
        <v>70.21996512</v>
      </c>
      <c r="N12" s="2">
        <v>12.19685349</v>
      </c>
      <c r="O12" s="2">
        <v>14.86443147</v>
      </c>
      <c r="P12" s="2">
        <v>2.718749921</v>
      </c>
      <c r="Q12" s="13" t="str">
        <f t="shared" si="1"/>
        <v>Angola|2015</v>
      </c>
      <c r="R12" s="14">
        <f t="shared" si="2"/>
        <v>5</v>
      </c>
      <c r="T12" s="14">
        <f t="shared" si="3"/>
        <v>0.570161854</v>
      </c>
      <c r="U12" s="14">
        <f t="shared" si="29"/>
        <v>0.218771442</v>
      </c>
      <c r="V12" s="14">
        <f t="shared" si="4"/>
        <v>0.3046367</v>
      </c>
      <c r="W12" s="14">
        <f t="shared" si="5"/>
        <v>54</v>
      </c>
      <c r="X12" s="14">
        <f t="shared" si="6"/>
        <v>27</v>
      </c>
      <c r="Y12" s="14">
        <f t="shared" si="7"/>
        <v>70</v>
      </c>
      <c r="Z12" s="14" t="str">
        <f t="shared" si="8"/>
        <v/>
      </c>
      <c r="AA12" s="14" t="str">
        <f t="shared" si="9"/>
        <v/>
      </c>
      <c r="AB12" s="14" t="str">
        <f t="shared" si="10"/>
        <v>Fully Accessible</v>
      </c>
      <c r="AC12" s="14">
        <f t="shared" si="11"/>
        <v>-0.085865258</v>
      </c>
      <c r="AE12" s="15" t="s">
        <v>71</v>
      </c>
      <c r="AF12" s="16" t="s">
        <v>57</v>
      </c>
      <c r="AH12" s="17" t="str">
        <f t="shared" si="12"/>
        <v>Latin America &amp; Caribbean</v>
      </c>
      <c r="AI12" s="21"/>
      <c r="AJ12" s="21"/>
      <c r="AK12" s="15">
        <f t="shared" si="13"/>
        <v>0</v>
      </c>
      <c r="AL12" s="24"/>
      <c r="AM12" s="21"/>
      <c r="AN12" s="21"/>
      <c r="AO12" s="15">
        <f t="shared" si="16"/>
        <v>0</v>
      </c>
      <c r="AP12" s="24"/>
      <c r="AQ12" s="21"/>
      <c r="AR12" s="21"/>
      <c r="AS12" s="15">
        <f t="shared" si="19"/>
        <v>0</v>
      </c>
      <c r="AT12" s="24"/>
      <c r="AU12" s="21"/>
      <c r="AX12" s="14">
        <f t="shared" si="22"/>
        <v>60750.65039</v>
      </c>
      <c r="AY12" s="14">
        <f t="shared" si="23"/>
        <v>130.2709923</v>
      </c>
      <c r="AZ12" s="14">
        <f t="shared" si="24"/>
        <v>60620.3794</v>
      </c>
      <c r="BA12" s="26" t="s">
        <v>72</v>
      </c>
      <c r="BB12" s="14">
        <f t="shared" ref="BB12:BD12" si="32">MIN(BB2:BB8)</f>
        <v>91110.25489</v>
      </c>
      <c r="BC12" s="14">
        <f t="shared" si="32"/>
        <v>728.6060028</v>
      </c>
      <c r="BD12" s="14">
        <f t="shared" si="32"/>
        <v>90381.64888</v>
      </c>
    </row>
    <row r="13">
      <c r="A13" s="2" t="s">
        <v>62</v>
      </c>
      <c r="B13" s="2">
        <v>2020.0</v>
      </c>
      <c r="C13" s="2">
        <v>32866.26953</v>
      </c>
      <c r="D13" s="2">
        <v>66.82499695</v>
      </c>
      <c r="E13" s="2">
        <v>57.16773762</v>
      </c>
      <c r="F13" s="2">
        <v>9.287349919</v>
      </c>
      <c r="G13" s="2">
        <v>19.45082534</v>
      </c>
      <c r="H13" s="2">
        <v>14.09408712</v>
      </c>
      <c r="I13" s="2">
        <v>27.80822661</v>
      </c>
      <c r="J13" s="2">
        <v>8.740488389</v>
      </c>
      <c r="K13" s="2">
        <v>22.93315258</v>
      </c>
      <c r="L13" s="2">
        <v>40.51813242</v>
      </c>
      <c r="M13" s="2">
        <v>71.74314862</v>
      </c>
      <c r="N13" s="2">
        <v>9.558837489</v>
      </c>
      <c r="O13" s="2">
        <v>17.72203473</v>
      </c>
      <c r="P13" s="2">
        <v>0.9759791629</v>
      </c>
      <c r="Q13" s="13" t="str">
        <f t="shared" si="1"/>
        <v>Angola|2020</v>
      </c>
      <c r="R13" s="14" t="str">
        <f t="shared" si="2"/>
        <v> </v>
      </c>
      <c r="T13" s="14" t="b">
        <f t="shared" si="3"/>
        <v>0</v>
      </c>
      <c r="U13" s="14" t="b">
        <f t="shared" si="29"/>
        <v>0</v>
      </c>
      <c r="V13" s="14" t="b">
        <f t="shared" si="4"/>
        <v>0</v>
      </c>
      <c r="W13" s="14">
        <f t="shared" si="5"/>
        <v>57</v>
      </c>
      <c r="X13" s="14">
        <f t="shared" si="6"/>
        <v>28</v>
      </c>
      <c r="Y13" s="14">
        <f t="shared" si="7"/>
        <v>72</v>
      </c>
      <c r="Z13" s="14" t="str">
        <f t="shared" si="8"/>
        <v/>
      </c>
      <c r="AA13" s="14" t="str">
        <f t="shared" si="9"/>
        <v/>
      </c>
      <c r="AB13" s="14" t="str">
        <f t="shared" si="10"/>
        <v/>
      </c>
      <c r="AC13" s="14">
        <f t="shared" si="11"/>
        <v>0</v>
      </c>
      <c r="AE13" s="15" t="s">
        <v>73</v>
      </c>
      <c r="AF13" s="16" t="s">
        <v>51</v>
      </c>
      <c r="AH13" s="17" t="str">
        <f t="shared" si="12"/>
        <v>East Asia &amp; Pacific</v>
      </c>
      <c r="AI13" s="21"/>
      <c r="AJ13" s="21"/>
      <c r="AK13" s="15">
        <f t="shared" si="13"/>
        <v>-0.00003877</v>
      </c>
      <c r="AL13" s="24"/>
      <c r="AM13" s="21"/>
      <c r="AN13" s="21"/>
      <c r="AO13" s="15">
        <f t="shared" si="16"/>
        <v>0</v>
      </c>
      <c r="AP13" s="24"/>
      <c r="AQ13" s="21"/>
      <c r="AR13" s="21"/>
      <c r="AS13" s="15">
        <f t="shared" si="19"/>
        <v>0</v>
      </c>
      <c r="AT13" s="24"/>
      <c r="AU13" s="21"/>
      <c r="AX13" s="14" t="str">
        <f t="shared" si="22"/>
        <v>null</v>
      </c>
      <c r="AY13" s="14" t="str">
        <f t="shared" si="23"/>
        <v>null</v>
      </c>
      <c r="AZ13" s="14" t="str">
        <f t="shared" si="24"/>
        <v>null</v>
      </c>
      <c r="BA13" s="27"/>
    </row>
    <row r="14">
      <c r="A14" s="2" t="s">
        <v>65</v>
      </c>
      <c r="B14" s="2">
        <v>2015.0</v>
      </c>
      <c r="C14" s="2">
        <v>14.27900028</v>
      </c>
      <c r="D14" s="2">
        <v>100.0</v>
      </c>
      <c r="E14" s="2">
        <v>97.48227425</v>
      </c>
      <c r="F14" s="2">
        <v>0.0</v>
      </c>
      <c r="G14" s="2">
        <v>2.517725753</v>
      </c>
      <c r="H14" s="2">
        <v>0.0</v>
      </c>
      <c r="I14" s="2" t="s">
        <v>64</v>
      </c>
      <c r="J14" s="2" t="s">
        <v>64</v>
      </c>
      <c r="K14" s="2" t="s">
        <v>64</v>
      </c>
      <c r="L14" s="2" t="s">
        <v>64</v>
      </c>
      <c r="M14" s="2">
        <v>97.48227425</v>
      </c>
      <c r="N14" s="2">
        <v>0.0</v>
      </c>
      <c r="O14" s="2">
        <v>2.517725753</v>
      </c>
      <c r="P14" s="2">
        <v>0.0</v>
      </c>
      <c r="Q14" s="13" t="str">
        <f t="shared" si="1"/>
        <v>Anguilla|2015</v>
      </c>
      <c r="R14" s="14">
        <f t="shared" si="2"/>
        <v>2</v>
      </c>
      <c r="T14" s="14">
        <f t="shared" si="3"/>
        <v>0</v>
      </c>
      <c r="U14" s="14" t="str">
        <f t="shared" si="29"/>
        <v>null</v>
      </c>
      <c r="V14" s="14">
        <f t="shared" si="4"/>
        <v>0</v>
      </c>
      <c r="W14" s="14">
        <f t="shared" si="5"/>
        <v>97</v>
      </c>
      <c r="X14" s="14" t="b">
        <f t="shared" si="6"/>
        <v>0</v>
      </c>
      <c r="Y14" s="14">
        <f t="shared" si="7"/>
        <v>97</v>
      </c>
      <c r="Z14" s="14" t="str">
        <f t="shared" si="8"/>
        <v/>
      </c>
      <c r="AA14" s="14" t="str">
        <f t="shared" si="9"/>
        <v>Fully Accessible</v>
      </c>
      <c r="AB14" s="14" t="str">
        <f t="shared" si="10"/>
        <v>Fully Accessible</v>
      </c>
      <c r="AC14" s="14" t="b">
        <f t="shared" si="11"/>
        <v>0</v>
      </c>
      <c r="AE14" s="15" t="s">
        <v>74</v>
      </c>
      <c r="AF14" s="16" t="s">
        <v>53</v>
      </c>
      <c r="AH14" s="17" t="str">
        <f t="shared" si="12"/>
        <v>Europe &amp; Central Asia</v>
      </c>
      <c r="AI14" s="21"/>
      <c r="AJ14" s="21"/>
      <c r="AK14" s="15">
        <f t="shared" si="13"/>
        <v>0</v>
      </c>
      <c r="AL14" s="24"/>
      <c r="AM14" s="21"/>
      <c r="AN14" s="21"/>
      <c r="AO14" s="15">
        <f t="shared" si="16"/>
        <v>0</v>
      </c>
      <c r="AP14" s="24"/>
      <c r="AQ14" s="21"/>
      <c r="AR14" s="21"/>
      <c r="AS14" s="15">
        <f t="shared" si="19"/>
        <v>0</v>
      </c>
      <c r="AT14" s="24"/>
      <c r="AU14" s="21"/>
      <c r="AX14" s="14">
        <f t="shared" si="22"/>
        <v>28.86700058</v>
      </c>
      <c r="AY14" s="14">
        <f t="shared" si="23"/>
        <v>200</v>
      </c>
      <c r="AZ14" s="14">
        <f t="shared" si="24"/>
        <v>-171.1329994</v>
      </c>
      <c r="BA14" s="17"/>
    </row>
    <row r="15">
      <c r="A15" s="2" t="s">
        <v>65</v>
      </c>
      <c r="B15" s="2">
        <v>2017.0</v>
      </c>
      <c r="C15" s="2">
        <v>14.5880003</v>
      </c>
      <c r="D15" s="2">
        <v>100.0</v>
      </c>
      <c r="E15" s="2">
        <v>97.48227425</v>
      </c>
      <c r="F15" s="2">
        <v>0.0</v>
      </c>
      <c r="G15" s="2">
        <v>2.517725753</v>
      </c>
      <c r="H15" s="2">
        <v>0.0</v>
      </c>
      <c r="I15" s="2" t="s">
        <v>64</v>
      </c>
      <c r="J15" s="2" t="s">
        <v>64</v>
      </c>
      <c r="K15" s="2" t="s">
        <v>64</v>
      </c>
      <c r="L15" s="2" t="s">
        <v>64</v>
      </c>
      <c r="M15" s="2">
        <v>97.48227425</v>
      </c>
      <c r="N15" s="2">
        <v>0.0</v>
      </c>
      <c r="O15" s="2">
        <v>2.517725753</v>
      </c>
      <c r="P15" s="2">
        <v>0.0</v>
      </c>
      <c r="Q15" s="13" t="str">
        <f t="shared" si="1"/>
        <v>Anguilla|2017</v>
      </c>
      <c r="R15" s="14" t="str">
        <f t="shared" si="2"/>
        <v> </v>
      </c>
      <c r="T15" s="14" t="b">
        <f t="shared" si="3"/>
        <v>0</v>
      </c>
      <c r="U15" s="14" t="b">
        <f t="shared" si="29"/>
        <v>0</v>
      </c>
      <c r="V15" s="14" t="b">
        <f t="shared" si="4"/>
        <v>0</v>
      </c>
      <c r="W15" s="14">
        <f t="shared" si="5"/>
        <v>97</v>
      </c>
      <c r="X15" s="14" t="b">
        <f t="shared" si="6"/>
        <v>0</v>
      </c>
      <c r="Y15" s="14">
        <f t="shared" si="7"/>
        <v>97</v>
      </c>
      <c r="Z15" s="14" t="str">
        <f t="shared" si="8"/>
        <v/>
      </c>
      <c r="AA15" s="14" t="str">
        <f t="shared" si="9"/>
        <v/>
      </c>
      <c r="AB15" s="14" t="str">
        <f t="shared" si="10"/>
        <v/>
      </c>
      <c r="AC15" s="14">
        <f t="shared" si="11"/>
        <v>0</v>
      </c>
      <c r="AE15" s="15" t="s">
        <v>75</v>
      </c>
      <c r="AF15" s="16" t="s">
        <v>53</v>
      </c>
      <c r="AH15" s="17" t="str">
        <f t="shared" si="12"/>
        <v>Europe &amp; Central Asia</v>
      </c>
      <c r="AI15" s="21"/>
      <c r="AJ15" s="21"/>
      <c r="AK15" s="15">
        <f t="shared" si="13"/>
        <v>0.72461243</v>
      </c>
      <c r="AL15" s="24"/>
      <c r="AM15" s="21"/>
      <c r="AN15" s="21"/>
      <c r="AO15" s="15">
        <f t="shared" si="16"/>
        <v>1.356516936</v>
      </c>
      <c r="AP15" s="24"/>
      <c r="AQ15" s="21"/>
      <c r="AR15" s="21"/>
      <c r="AS15" s="15">
        <f t="shared" si="19"/>
        <v>0.145769594</v>
      </c>
      <c r="AT15" s="24"/>
      <c r="AU15" s="21"/>
      <c r="AX15" s="14" t="str">
        <f t="shared" si="22"/>
        <v>null</v>
      </c>
      <c r="AY15" s="14" t="str">
        <f t="shared" si="23"/>
        <v>null</v>
      </c>
      <c r="AZ15" s="14" t="str">
        <f t="shared" si="24"/>
        <v>null</v>
      </c>
      <c r="BA15" s="17"/>
    </row>
    <row r="16">
      <c r="A16" s="2" t="s">
        <v>66</v>
      </c>
      <c r="B16" s="2">
        <v>2015.0</v>
      </c>
      <c r="C16" s="2">
        <v>93.57099915</v>
      </c>
      <c r="D16" s="2">
        <v>25.0</v>
      </c>
      <c r="E16" s="2">
        <v>96.73918628</v>
      </c>
      <c r="F16" s="2">
        <v>0.0</v>
      </c>
      <c r="G16" s="2">
        <v>3.16634761</v>
      </c>
      <c r="H16" s="2">
        <v>0.09446611409</v>
      </c>
      <c r="I16" s="2" t="s">
        <v>64</v>
      </c>
      <c r="J16" s="2" t="s">
        <v>64</v>
      </c>
      <c r="K16" s="2" t="s">
        <v>64</v>
      </c>
      <c r="L16" s="2" t="s">
        <v>64</v>
      </c>
      <c r="M16" s="2" t="s">
        <v>64</v>
      </c>
      <c r="N16" s="2" t="s">
        <v>64</v>
      </c>
      <c r="O16" s="2" t="s">
        <v>64</v>
      </c>
      <c r="P16" s="2" t="s">
        <v>64</v>
      </c>
      <c r="Q16" s="13" t="str">
        <f t="shared" si="1"/>
        <v>Antigua and Barbuda|2015</v>
      </c>
      <c r="R16" s="14">
        <f t="shared" si="2"/>
        <v>2</v>
      </c>
      <c r="T16" s="14">
        <f t="shared" si="3"/>
        <v>0</v>
      </c>
      <c r="U16" s="14" t="str">
        <f t="shared" si="29"/>
        <v>null</v>
      </c>
      <c r="V16" s="14" t="str">
        <f t="shared" si="4"/>
        <v>null</v>
      </c>
      <c r="W16" s="14">
        <f t="shared" si="5"/>
        <v>97</v>
      </c>
      <c r="X16" s="14" t="b">
        <f t="shared" si="6"/>
        <v>0</v>
      </c>
      <c r="Y16" s="14" t="b">
        <f t="shared" si="7"/>
        <v>0</v>
      </c>
      <c r="Z16" s="14" t="str">
        <f t="shared" si="8"/>
        <v/>
      </c>
      <c r="AA16" s="14" t="str">
        <f t="shared" si="9"/>
        <v>Fully Accessible</v>
      </c>
      <c r="AB16" s="14" t="str">
        <f t="shared" si="10"/>
        <v>Fully Accessible</v>
      </c>
      <c r="AC16" s="14" t="b">
        <f t="shared" si="11"/>
        <v>0</v>
      </c>
      <c r="AE16" s="15" t="s">
        <v>76</v>
      </c>
      <c r="AF16" s="16" t="s">
        <v>57</v>
      </c>
      <c r="AH16" s="17" t="str">
        <f t="shared" si="12"/>
        <v>Latin America &amp; Caribbean</v>
      </c>
      <c r="AI16" s="21"/>
      <c r="AJ16" s="21"/>
      <c r="AK16" s="15">
        <f t="shared" si="13"/>
        <v>0</v>
      </c>
      <c r="AL16" s="24"/>
      <c r="AM16" s="21"/>
      <c r="AN16" s="21"/>
      <c r="AO16" s="15">
        <f t="shared" si="16"/>
        <v>0</v>
      </c>
      <c r="AP16" s="24"/>
      <c r="AQ16" s="21"/>
      <c r="AR16" s="21"/>
      <c r="AS16" s="15">
        <f t="shared" si="19"/>
        <v>0</v>
      </c>
      <c r="AT16" s="24"/>
      <c r="AU16" s="21"/>
      <c r="AX16" s="14">
        <f t="shared" si="22"/>
        <v>188.9960022</v>
      </c>
      <c r="AY16" s="14">
        <f t="shared" si="23"/>
        <v>49.71300125</v>
      </c>
      <c r="AZ16" s="14">
        <f t="shared" si="24"/>
        <v>139.283001</v>
      </c>
      <c r="BA16" s="17"/>
    </row>
    <row r="17">
      <c r="A17" s="2" t="s">
        <v>66</v>
      </c>
      <c r="B17" s="2">
        <v>2017.0</v>
      </c>
      <c r="C17" s="2">
        <v>95.42500305</v>
      </c>
      <c r="D17" s="2">
        <v>24.71300125</v>
      </c>
      <c r="E17" s="2">
        <v>96.73918628</v>
      </c>
      <c r="F17" s="2">
        <v>0.0</v>
      </c>
      <c r="G17" s="2">
        <v>3.16634761</v>
      </c>
      <c r="H17" s="2">
        <v>0.09446611409</v>
      </c>
      <c r="I17" s="2" t="s">
        <v>64</v>
      </c>
      <c r="J17" s="2" t="s">
        <v>64</v>
      </c>
      <c r="K17" s="2" t="s">
        <v>64</v>
      </c>
      <c r="L17" s="2" t="s">
        <v>64</v>
      </c>
      <c r="M17" s="2" t="s">
        <v>64</v>
      </c>
      <c r="N17" s="2" t="s">
        <v>64</v>
      </c>
      <c r="O17" s="2" t="s">
        <v>64</v>
      </c>
      <c r="P17" s="2" t="s">
        <v>64</v>
      </c>
      <c r="Q17" s="13" t="str">
        <f t="shared" si="1"/>
        <v>Antigua and Barbuda|2017</v>
      </c>
      <c r="R17" s="14" t="str">
        <f t="shared" si="2"/>
        <v> </v>
      </c>
      <c r="T17" s="14" t="b">
        <f t="shared" si="3"/>
        <v>0</v>
      </c>
      <c r="U17" s="14" t="b">
        <f t="shared" si="29"/>
        <v>0</v>
      </c>
      <c r="V17" s="14" t="b">
        <f t="shared" si="4"/>
        <v>0</v>
      </c>
      <c r="W17" s="14">
        <f t="shared" si="5"/>
        <v>97</v>
      </c>
      <c r="X17" s="14" t="b">
        <f t="shared" si="6"/>
        <v>0</v>
      </c>
      <c r="Y17" s="14" t="b">
        <f t="shared" si="7"/>
        <v>0</v>
      </c>
      <c r="Z17" s="14" t="str">
        <f t="shared" si="8"/>
        <v/>
      </c>
      <c r="AA17" s="14" t="str">
        <f t="shared" si="9"/>
        <v/>
      </c>
      <c r="AB17" s="14" t="str">
        <f t="shared" si="10"/>
        <v/>
      </c>
      <c r="AC17" s="14">
        <f t="shared" si="11"/>
        <v>0</v>
      </c>
      <c r="AE17" s="15" t="s">
        <v>77</v>
      </c>
      <c r="AF17" s="16" t="s">
        <v>53</v>
      </c>
      <c r="AH17" s="17" t="str">
        <f t="shared" si="12"/>
        <v>Europe &amp; Central Asia</v>
      </c>
      <c r="AI17" s="21"/>
      <c r="AJ17" s="21"/>
      <c r="AK17" s="15">
        <f t="shared" si="13"/>
        <v>0</v>
      </c>
      <c r="AL17" s="24"/>
      <c r="AM17" s="21"/>
      <c r="AN17" s="21"/>
      <c r="AO17" s="15">
        <f t="shared" si="16"/>
        <v>0</v>
      </c>
      <c r="AP17" s="24"/>
      <c r="AQ17" s="21"/>
      <c r="AR17" s="21"/>
      <c r="AS17" s="15">
        <f t="shared" si="19"/>
        <v>0</v>
      </c>
      <c r="AT17" s="24"/>
      <c r="AU17" s="21"/>
      <c r="AX17" s="14" t="str">
        <f t="shared" si="22"/>
        <v>null</v>
      </c>
      <c r="AY17" s="14" t="str">
        <f t="shared" si="23"/>
        <v>null</v>
      </c>
      <c r="AZ17" s="14" t="str">
        <f t="shared" si="24"/>
        <v>null</v>
      </c>
      <c r="BA17" s="8"/>
    </row>
    <row r="18">
      <c r="A18" s="2" t="s">
        <v>67</v>
      </c>
      <c r="B18" s="2">
        <v>2015.0</v>
      </c>
      <c r="C18" s="2">
        <v>43075.41406</v>
      </c>
      <c r="D18" s="2">
        <v>91.50299835</v>
      </c>
      <c r="E18" s="2">
        <v>98.96658815</v>
      </c>
      <c r="F18" s="2">
        <v>0.0</v>
      </c>
      <c r="G18" s="2">
        <v>0.6649143791</v>
      </c>
      <c r="H18" s="2">
        <v>0.3684974742</v>
      </c>
      <c r="I18" s="2">
        <v>92.98366005</v>
      </c>
      <c r="J18" s="2">
        <v>0.0</v>
      </c>
      <c r="K18" s="2">
        <v>2.679544899</v>
      </c>
      <c r="L18" s="2">
        <v>4.336795051</v>
      </c>
      <c r="M18" s="2">
        <v>99.52216305</v>
      </c>
      <c r="N18" s="2">
        <v>0.0</v>
      </c>
      <c r="O18" s="2">
        <v>0.4778369473</v>
      </c>
      <c r="P18" s="2">
        <v>0.0</v>
      </c>
      <c r="Q18" s="13" t="str">
        <f t="shared" si="1"/>
        <v>Argentina|2015</v>
      </c>
      <c r="R18" s="14">
        <f t="shared" si="2"/>
        <v>5</v>
      </c>
      <c r="T18" s="14" t="str">
        <f t="shared" si="3"/>
        <v>null</v>
      </c>
      <c r="U18" s="14" t="str">
        <f t="shared" si="29"/>
        <v>null</v>
      </c>
      <c r="V18" s="14">
        <f t="shared" si="4"/>
        <v>0.05365152</v>
      </c>
      <c r="W18" s="14">
        <f t="shared" si="5"/>
        <v>99</v>
      </c>
      <c r="X18" s="14">
        <f t="shared" si="6"/>
        <v>93</v>
      </c>
      <c r="Y18" s="14">
        <f t="shared" si="7"/>
        <v>100</v>
      </c>
      <c r="Z18" s="14" t="str">
        <f t="shared" si="8"/>
        <v/>
      </c>
      <c r="AA18" s="14" t="str">
        <f t="shared" si="9"/>
        <v/>
      </c>
      <c r="AB18" s="14" t="str">
        <f t="shared" si="10"/>
        <v>Fully Accessible</v>
      </c>
      <c r="AC18" s="14" t="b">
        <f t="shared" si="11"/>
        <v>0</v>
      </c>
      <c r="AE18" s="15" t="s">
        <v>78</v>
      </c>
      <c r="AF18" s="16" t="s">
        <v>50</v>
      </c>
      <c r="AH18" s="17" t="str">
        <f t="shared" si="12"/>
        <v>South Asia</v>
      </c>
      <c r="AI18" s="21"/>
      <c r="AJ18" s="21"/>
      <c r="AK18" s="15">
        <f t="shared" si="13"/>
        <v>0.119271556</v>
      </c>
      <c r="AL18" s="24"/>
      <c r="AM18" s="21"/>
      <c r="AN18" s="21"/>
      <c r="AO18" s="15">
        <f t="shared" si="16"/>
        <v>0.221445296</v>
      </c>
      <c r="AP18" s="24"/>
      <c r="AQ18" s="21"/>
      <c r="AR18" s="21"/>
      <c r="AS18" s="15">
        <f t="shared" si="19"/>
        <v>-0.065600342</v>
      </c>
      <c r="AT18" s="24"/>
      <c r="AU18" s="21"/>
      <c r="AX18" s="14">
        <f t="shared" si="22"/>
        <v>88271.1914</v>
      </c>
      <c r="AY18" s="14">
        <f t="shared" si="23"/>
        <v>183.6139984</v>
      </c>
      <c r="AZ18" s="14">
        <f t="shared" si="24"/>
        <v>88087.5774</v>
      </c>
      <c r="BA18" s="27"/>
    </row>
    <row r="19">
      <c r="A19" s="2" t="s">
        <v>67</v>
      </c>
      <c r="B19" s="2">
        <v>2020.0</v>
      </c>
      <c r="C19" s="2">
        <v>45195.77734</v>
      </c>
      <c r="D19" s="2">
        <v>92.11100006</v>
      </c>
      <c r="E19" s="2" t="s">
        <v>64</v>
      </c>
      <c r="F19" s="2" t="s">
        <v>64</v>
      </c>
      <c r="G19" s="2" t="s">
        <v>64</v>
      </c>
      <c r="H19" s="2" t="s">
        <v>64</v>
      </c>
      <c r="I19" s="2" t="s">
        <v>64</v>
      </c>
      <c r="J19" s="2" t="s">
        <v>64</v>
      </c>
      <c r="K19" s="2" t="s">
        <v>64</v>
      </c>
      <c r="L19" s="2" t="s">
        <v>64</v>
      </c>
      <c r="M19" s="2">
        <v>99.79042065</v>
      </c>
      <c r="N19" s="2">
        <v>0.0</v>
      </c>
      <c r="O19" s="2">
        <v>0.2095793501</v>
      </c>
      <c r="P19" s="2">
        <v>0.0</v>
      </c>
      <c r="Q19" s="13" t="str">
        <f t="shared" si="1"/>
        <v>Argentina|2020</v>
      </c>
      <c r="R19" s="14" t="str">
        <f t="shared" si="2"/>
        <v> </v>
      </c>
      <c r="T19" s="14" t="b">
        <f t="shared" si="3"/>
        <v>0</v>
      </c>
      <c r="U19" s="14" t="b">
        <f t="shared" si="29"/>
        <v>0</v>
      </c>
      <c r="V19" s="14" t="b">
        <f t="shared" si="4"/>
        <v>0</v>
      </c>
      <c r="W19" s="14" t="b">
        <f t="shared" si="5"/>
        <v>0</v>
      </c>
      <c r="X19" s="14" t="b">
        <f t="shared" si="6"/>
        <v>0</v>
      </c>
      <c r="Y19" s="14">
        <f t="shared" si="7"/>
        <v>100</v>
      </c>
      <c r="Z19" s="14" t="str">
        <f t="shared" si="8"/>
        <v/>
      </c>
      <c r="AA19" s="14" t="str">
        <f t="shared" si="9"/>
        <v/>
      </c>
      <c r="AB19" s="14" t="str">
        <f t="shared" si="10"/>
        <v/>
      </c>
      <c r="AC19" s="14">
        <f t="shared" si="11"/>
        <v>0</v>
      </c>
      <c r="AE19" s="15" t="s">
        <v>79</v>
      </c>
      <c r="AF19" s="16" t="s">
        <v>57</v>
      </c>
      <c r="AH19" s="17" t="str">
        <f t="shared" si="12"/>
        <v>Latin America &amp; Caribbean</v>
      </c>
      <c r="AI19" s="21"/>
      <c r="AJ19" s="21"/>
      <c r="AK19" s="15">
        <f t="shared" si="13"/>
        <v>0.008001136</v>
      </c>
      <c r="AL19" s="24"/>
      <c r="AM19" s="21"/>
      <c r="AN19" s="21"/>
      <c r="AO19" s="15">
        <f t="shared" si="16"/>
        <v>0</v>
      </c>
      <c r="AP19" s="24"/>
      <c r="AQ19" s="21"/>
      <c r="AR19" s="21"/>
      <c r="AS19" s="15">
        <f t="shared" si="19"/>
        <v>0</v>
      </c>
      <c r="AT19" s="24"/>
      <c r="AU19" s="21"/>
      <c r="AX19" s="14" t="str">
        <f t="shared" si="22"/>
        <v>null</v>
      </c>
      <c r="AY19" s="14" t="str">
        <f t="shared" si="23"/>
        <v>null</v>
      </c>
      <c r="AZ19" s="14" t="str">
        <f t="shared" si="24"/>
        <v>null</v>
      </c>
      <c r="BA19" s="17"/>
    </row>
    <row r="20">
      <c r="A20" s="2" t="s">
        <v>69</v>
      </c>
      <c r="B20" s="2">
        <v>2015.0</v>
      </c>
      <c r="C20" s="2">
        <v>2925.559082</v>
      </c>
      <c r="D20" s="2">
        <v>63.0850029</v>
      </c>
      <c r="E20" s="2">
        <v>99.5525667</v>
      </c>
      <c r="F20" s="2">
        <v>0.0</v>
      </c>
      <c r="G20" s="2">
        <v>0.09850508366</v>
      </c>
      <c r="H20" s="2">
        <v>0.3489282205</v>
      </c>
      <c r="I20" s="2">
        <v>99.05477927</v>
      </c>
      <c r="J20" s="2">
        <v>0.0</v>
      </c>
      <c r="K20" s="2">
        <v>0.0</v>
      </c>
      <c r="L20" s="2">
        <v>0.9452207347</v>
      </c>
      <c r="M20" s="2">
        <v>99.8438534</v>
      </c>
      <c r="N20" s="2">
        <v>0.0</v>
      </c>
      <c r="O20" s="2">
        <v>0.1561465981</v>
      </c>
      <c r="P20" s="2">
        <v>0.0</v>
      </c>
      <c r="Q20" s="13" t="str">
        <f t="shared" si="1"/>
        <v>Armenia|2015</v>
      </c>
      <c r="R20" s="14">
        <f t="shared" si="2"/>
        <v>5</v>
      </c>
      <c r="T20" s="14">
        <f t="shared" si="3"/>
        <v>0.083722798</v>
      </c>
      <c r="U20" s="14">
        <f t="shared" si="29"/>
        <v>0.189044146</v>
      </c>
      <c r="V20" s="14">
        <f t="shared" si="4"/>
        <v>0.022125564</v>
      </c>
      <c r="W20" s="14">
        <f t="shared" si="5"/>
        <v>100</v>
      </c>
      <c r="X20" s="14">
        <f t="shared" si="6"/>
        <v>99</v>
      </c>
      <c r="Y20" s="14">
        <f t="shared" si="7"/>
        <v>100</v>
      </c>
      <c r="Z20" s="14" t="str">
        <f t="shared" si="8"/>
        <v/>
      </c>
      <c r="AA20" s="14" t="str">
        <f t="shared" si="9"/>
        <v/>
      </c>
      <c r="AB20" s="14" t="str">
        <f t="shared" si="10"/>
        <v>Fully Accessible</v>
      </c>
      <c r="AC20" s="14">
        <f t="shared" si="11"/>
        <v>0.166918582</v>
      </c>
      <c r="AE20" s="15" t="s">
        <v>80</v>
      </c>
      <c r="AF20" s="16" t="s">
        <v>53</v>
      </c>
      <c r="AH20" s="17" t="str">
        <f t="shared" si="12"/>
        <v>Europe &amp; Central Asia</v>
      </c>
      <c r="AI20" s="21"/>
      <c r="AJ20" s="21"/>
      <c r="AK20" s="15">
        <f t="shared" si="13"/>
        <v>0.011531798</v>
      </c>
      <c r="AL20" s="24"/>
      <c r="AM20" s="21"/>
      <c r="AN20" s="21"/>
      <c r="AO20" s="15">
        <f t="shared" si="16"/>
        <v>0.046690142</v>
      </c>
      <c r="AP20" s="24"/>
      <c r="AQ20" s="21"/>
      <c r="AR20" s="21"/>
      <c r="AS20" s="15">
        <f t="shared" si="19"/>
        <v>0.016367688</v>
      </c>
      <c r="AT20" s="24"/>
      <c r="AU20" s="21"/>
      <c r="AX20" s="14">
        <f t="shared" si="22"/>
        <v>5888.792969</v>
      </c>
      <c r="AY20" s="14">
        <f t="shared" si="23"/>
        <v>126.3980026</v>
      </c>
      <c r="AZ20" s="14">
        <f t="shared" si="24"/>
        <v>5762.394966</v>
      </c>
      <c r="BA20" s="27"/>
    </row>
    <row r="21">
      <c r="A21" s="2" t="s">
        <v>69</v>
      </c>
      <c r="B21" s="2">
        <v>2020.0</v>
      </c>
      <c r="C21" s="2">
        <v>2963.233887</v>
      </c>
      <c r="D21" s="2">
        <v>63.31299973</v>
      </c>
      <c r="E21" s="2">
        <v>99.97118069</v>
      </c>
      <c r="F21" s="2">
        <v>0.0</v>
      </c>
      <c r="G21" s="2">
        <v>0.02881930801</v>
      </c>
      <c r="H21" s="2">
        <v>0.0</v>
      </c>
      <c r="I21" s="2">
        <v>100.0</v>
      </c>
      <c r="J21" s="2">
        <v>0.0</v>
      </c>
      <c r="K21" s="2">
        <v>0.0</v>
      </c>
      <c r="L21" s="2">
        <v>0.0</v>
      </c>
      <c r="M21" s="2">
        <v>99.95448122</v>
      </c>
      <c r="N21" s="2">
        <v>0.0</v>
      </c>
      <c r="O21" s="2">
        <v>0.04551878364</v>
      </c>
      <c r="P21" s="2">
        <v>0.0</v>
      </c>
      <c r="Q21" s="13" t="str">
        <f t="shared" si="1"/>
        <v>Armenia|2020</v>
      </c>
      <c r="R21" s="14" t="str">
        <f t="shared" si="2"/>
        <v> </v>
      </c>
      <c r="T21" s="14" t="b">
        <f t="shared" si="3"/>
        <v>0</v>
      </c>
      <c r="U21" s="14" t="b">
        <f t="shared" si="29"/>
        <v>0</v>
      </c>
      <c r="V21" s="14" t="b">
        <f t="shared" si="4"/>
        <v>0</v>
      </c>
      <c r="W21" s="14">
        <f t="shared" si="5"/>
        <v>100</v>
      </c>
      <c r="X21" s="14">
        <f t="shared" si="6"/>
        <v>100</v>
      </c>
      <c r="Y21" s="14">
        <f t="shared" si="7"/>
        <v>100</v>
      </c>
      <c r="Z21" s="14" t="str">
        <f t="shared" si="8"/>
        <v/>
      </c>
      <c r="AA21" s="14" t="str">
        <f t="shared" si="9"/>
        <v/>
      </c>
      <c r="AB21" s="14" t="str">
        <f t="shared" si="10"/>
        <v/>
      </c>
      <c r="AC21" s="14">
        <f t="shared" si="11"/>
        <v>0</v>
      </c>
      <c r="AE21" s="15" t="s">
        <v>81</v>
      </c>
      <c r="AF21" s="16" t="s">
        <v>53</v>
      </c>
      <c r="AH21" s="17" t="str">
        <f t="shared" si="12"/>
        <v>Europe &amp; Central Asia</v>
      </c>
      <c r="AI21" s="21"/>
      <c r="AJ21" s="21"/>
      <c r="AK21" s="15">
        <f t="shared" si="13"/>
        <v>-0.0000002499999994</v>
      </c>
      <c r="AL21" s="24"/>
      <c r="AM21" s="21"/>
      <c r="AN21" s="21"/>
      <c r="AO21" s="15">
        <f t="shared" si="16"/>
        <v>0</v>
      </c>
      <c r="AP21" s="24"/>
      <c r="AQ21" s="21"/>
      <c r="AR21" s="21"/>
      <c r="AS21" s="15">
        <f t="shared" si="19"/>
        <v>0</v>
      </c>
      <c r="AT21" s="24"/>
      <c r="AU21" s="21"/>
      <c r="AX21" s="14" t="str">
        <f t="shared" si="22"/>
        <v>null</v>
      </c>
      <c r="AY21" s="14" t="str">
        <f t="shared" si="23"/>
        <v>null</v>
      </c>
      <c r="AZ21" s="14" t="str">
        <f t="shared" si="24"/>
        <v>null</v>
      </c>
      <c r="BA21" s="27"/>
    </row>
    <row r="22">
      <c r="A22" s="2" t="s">
        <v>71</v>
      </c>
      <c r="B22" s="2">
        <v>2015.0</v>
      </c>
      <c r="C22" s="2">
        <v>104.3389969</v>
      </c>
      <c r="D22" s="2">
        <v>43.10800171</v>
      </c>
      <c r="E22" s="2">
        <v>97.86902338</v>
      </c>
      <c r="F22" s="2">
        <v>0.0</v>
      </c>
      <c r="G22" s="2">
        <v>1.95993621</v>
      </c>
      <c r="H22" s="2">
        <v>0.1710404089</v>
      </c>
      <c r="I22" s="2" t="s">
        <v>64</v>
      </c>
      <c r="J22" s="2" t="s">
        <v>64</v>
      </c>
      <c r="K22" s="2" t="s">
        <v>64</v>
      </c>
      <c r="L22" s="2" t="s">
        <v>64</v>
      </c>
      <c r="M22" s="2" t="s">
        <v>64</v>
      </c>
      <c r="N22" s="2" t="s">
        <v>64</v>
      </c>
      <c r="O22" s="2" t="s">
        <v>64</v>
      </c>
      <c r="P22" s="2" t="s">
        <v>64</v>
      </c>
      <c r="Q22" s="13" t="str">
        <f t="shared" si="1"/>
        <v>Aruba|2015</v>
      </c>
      <c r="R22" s="14">
        <f t="shared" si="2"/>
        <v>1</v>
      </c>
      <c r="T22" s="14">
        <f t="shared" si="3"/>
        <v>0</v>
      </c>
      <c r="U22" s="14" t="str">
        <f t="shared" si="29"/>
        <v>null</v>
      </c>
      <c r="V22" s="14" t="str">
        <f t="shared" si="4"/>
        <v>null</v>
      </c>
      <c r="W22" s="14">
        <f t="shared" si="5"/>
        <v>98</v>
      </c>
      <c r="X22" s="14" t="b">
        <f t="shared" si="6"/>
        <v>0</v>
      </c>
      <c r="Y22" s="14" t="b">
        <f t="shared" si="7"/>
        <v>0</v>
      </c>
      <c r="Z22" s="14" t="str">
        <f t="shared" si="8"/>
        <v/>
      </c>
      <c r="AA22" s="14" t="str">
        <f t="shared" si="9"/>
        <v>Fully Accessible</v>
      </c>
      <c r="AB22" s="14" t="str">
        <f t="shared" si="10"/>
        <v>Fully Accessible</v>
      </c>
      <c r="AC22" s="14" t="b">
        <f t="shared" si="11"/>
        <v>0</v>
      </c>
      <c r="AE22" s="15" t="s">
        <v>82</v>
      </c>
      <c r="AF22" s="16" t="s">
        <v>57</v>
      </c>
      <c r="AH22" s="17" t="str">
        <f t="shared" si="12"/>
        <v>Latin America &amp; Caribbean</v>
      </c>
      <c r="AI22" s="21"/>
      <c r="AJ22" s="21"/>
      <c r="AK22" s="15">
        <f t="shared" si="13"/>
        <v>0.24527193</v>
      </c>
      <c r="AL22" s="24"/>
      <c r="AM22" s="21"/>
      <c r="AN22" s="21"/>
      <c r="AO22" s="15">
        <f t="shared" si="16"/>
        <v>0.468275104</v>
      </c>
      <c r="AP22" s="24"/>
      <c r="AQ22" s="21"/>
      <c r="AR22" s="21"/>
      <c r="AS22" s="15">
        <f t="shared" si="19"/>
        <v>-0.025266</v>
      </c>
      <c r="AT22" s="24"/>
      <c r="AU22" s="21"/>
      <c r="AX22" s="14">
        <f t="shared" si="22"/>
        <v>209.2039948</v>
      </c>
      <c r="AY22" s="14">
        <f t="shared" si="23"/>
        <v>86.29999924</v>
      </c>
      <c r="AZ22" s="14">
        <f t="shared" si="24"/>
        <v>122.9039956</v>
      </c>
      <c r="BA22" s="17"/>
    </row>
    <row r="23">
      <c r="A23" s="2" t="s">
        <v>71</v>
      </c>
      <c r="B23" s="2">
        <v>2016.0</v>
      </c>
      <c r="C23" s="2">
        <v>104.8649979</v>
      </c>
      <c r="D23" s="2">
        <v>43.19199753</v>
      </c>
      <c r="E23" s="2">
        <v>97.86902338</v>
      </c>
      <c r="F23" s="2">
        <v>0.0</v>
      </c>
      <c r="G23" s="2">
        <v>1.95993621</v>
      </c>
      <c r="H23" s="2">
        <v>0.1710404089</v>
      </c>
      <c r="I23" s="2" t="s">
        <v>64</v>
      </c>
      <c r="J23" s="2" t="s">
        <v>64</v>
      </c>
      <c r="K23" s="2" t="s">
        <v>64</v>
      </c>
      <c r="L23" s="2" t="s">
        <v>64</v>
      </c>
      <c r="M23" s="2" t="s">
        <v>64</v>
      </c>
      <c r="N23" s="2" t="s">
        <v>64</v>
      </c>
      <c r="O23" s="2" t="s">
        <v>64</v>
      </c>
      <c r="P23" s="2" t="s">
        <v>64</v>
      </c>
      <c r="Q23" s="13" t="str">
        <f t="shared" si="1"/>
        <v>Aruba|2016</v>
      </c>
      <c r="R23" s="14" t="str">
        <f t="shared" si="2"/>
        <v> </v>
      </c>
      <c r="T23" s="14" t="b">
        <f t="shared" si="3"/>
        <v>0</v>
      </c>
      <c r="U23" s="14" t="b">
        <f t="shared" si="29"/>
        <v>0</v>
      </c>
      <c r="V23" s="14" t="b">
        <f t="shared" si="4"/>
        <v>0</v>
      </c>
      <c r="W23" s="14">
        <f t="shared" si="5"/>
        <v>98</v>
      </c>
      <c r="X23" s="14" t="b">
        <f t="shared" si="6"/>
        <v>0</v>
      </c>
      <c r="Y23" s="14" t="b">
        <f t="shared" si="7"/>
        <v>0</v>
      </c>
      <c r="Z23" s="14" t="str">
        <f t="shared" si="8"/>
        <v/>
      </c>
      <c r="AA23" s="14" t="str">
        <f t="shared" si="9"/>
        <v/>
      </c>
      <c r="AB23" s="14" t="str">
        <f t="shared" si="10"/>
        <v/>
      </c>
      <c r="AC23" s="14">
        <f t="shared" si="11"/>
        <v>0</v>
      </c>
      <c r="AE23" s="15" t="s">
        <v>83</v>
      </c>
      <c r="AF23" s="16" t="s">
        <v>63</v>
      </c>
      <c r="AH23" s="17" t="str">
        <f t="shared" si="12"/>
        <v>Sub-Saharan Africa</v>
      </c>
      <c r="AI23" s="21"/>
      <c r="AJ23" s="21"/>
      <c r="AK23" s="15">
        <f t="shared" si="13"/>
        <v>0.125460138</v>
      </c>
      <c r="AL23" s="24"/>
      <c r="AM23" s="21"/>
      <c r="AN23" s="21"/>
      <c r="AO23" s="15">
        <f t="shared" si="16"/>
        <v>0.253583104</v>
      </c>
      <c r="AP23" s="24"/>
      <c r="AQ23" s="21"/>
      <c r="AR23" s="21"/>
      <c r="AS23" s="15">
        <f t="shared" si="19"/>
        <v>-0.207828504</v>
      </c>
      <c r="AT23" s="24"/>
      <c r="AU23" s="21"/>
      <c r="AX23" s="14" t="str">
        <f t="shared" si="22"/>
        <v>null</v>
      </c>
      <c r="AY23" s="14" t="str">
        <f t="shared" si="23"/>
        <v>null</v>
      </c>
      <c r="AZ23" s="14" t="str">
        <f t="shared" si="24"/>
        <v>null</v>
      </c>
      <c r="BA23" s="17"/>
    </row>
    <row r="24">
      <c r="A24" s="2" t="s">
        <v>73</v>
      </c>
      <c r="B24" s="2">
        <v>2015.0</v>
      </c>
      <c r="C24" s="2">
        <v>23932.49805</v>
      </c>
      <c r="D24" s="2">
        <v>85.70100403</v>
      </c>
      <c r="E24" s="2">
        <v>99.97000567</v>
      </c>
      <c r="F24" s="2">
        <v>0.0</v>
      </c>
      <c r="G24" s="2">
        <v>0.02999433057</v>
      </c>
      <c r="H24" s="2">
        <v>0.0</v>
      </c>
      <c r="I24" s="2">
        <v>100.0</v>
      </c>
      <c r="J24" s="2">
        <v>0.0</v>
      </c>
      <c r="K24" s="2">
        <v>0.0</v>
      </c>
      <c r="L24" s="2">
        <v>0.0</v>
      </c>
      <c r="M24" s="2">
        <v>99.965</v>
      </c>
      <c r="N24" s="2">
        <v>0.0</v>
      </c>
      <c r="O24" s="2">
        <v>0.035</v>
      </c>
      <c r="P24" s="2">
        <v>0.0</v>
      </c>
      <c r="Q24" s="13" t="str">
        <f t="shared" si="1"/>
        <v>Australia|2015</v>
      </c>
      <c r="R24" s="14">
        <f t="shared" si="2"/>
        <v>5</v>
      </c>
      <c r="T24" s="14">
        <f t="shared" si="3"/>
        <v>-0.00003877</v>
      </c>
      <c r="U24" s="14">
        <f t="shared" si="29"/>
        <v>0</v>
      </c>
      <c r="V24" s="14">
        <f t="shared" si="4"/>
        <v>0</v>
      </c>
      <c r="W24" s="14">
        <f t="shared" si="5"/>
        <v>100</v>
      </c>
      <c r="X24" s="14">
        <f t="shared" si="6"/>
        <v>100</v>
      </c>
      <c r="Y24" s="14">
        <f t="shared" si="7"/>
        <v>100</v>
      </c>
      <c r="Z24" s="14" t="str">
        <f t="shared" si="8"/>
        <v/>
      </c>
      <c r="AA24" s="14" t="str">
        <f t="shared" si="9"/>
        <v/>
      </c>
      <c r="AB24" s="14" t="str">
        <f t="shared" si="10"/>
        <v>Fully Accessible</v>
      </c>
      <c r="AC24" s="14">
        <f t="shared" si="11"/>
        <v>0</v>
      </c>
      <c r="AE24" s="15" t="s">
        <v>84</v>
      </c>
      <c r="AF24" s="16" t="s">
        <v>61</v>
      </c>
      <c r="AH24" s="17" t="str">
        <f t="shared" si="12"/>
        <v>North America</v>
      </c>
      <c r="AI24" s="21"/>
      <c r="AJ24" s="21"/>
      <c r="AK24" s="15">
        <f t="shared" si="13"/>
        <v>0</v>
      </c>
      <c r="AL24" s="24"/>
      <c r="AM24" s="21"/>
      <c r="AN24" s="21"/>
      <c r="AO24" s="15">
        <f t="shared" si="16"/>
        <v>0</v>
      </c>
      <c r="AP24" s="24"/>
      <c r="AQ24" s="21"/>
      <c r="AR24" s="21"/>
      <c r="AS24" s="15">
        <f t="shared" si="19"/>
        <v>0</v>
      </c>
      <c r="AT24" s="24"/>
      <c r="AU24" s="21"/>
      <c r="AX24" s="14">
        <f t="shared" si="22"/>
        <v>49432.37891</v>
      </c>
      <c r="AY24" s="14">
        <f t="shared" si="23"/>
        <v>171.9420013</v>
      </c>
      <c r="AZ24" s="14">
        <f t="shared" si="24"/>
        <v>49260.43691</v>
      </c>
      <c r="BA24" s="17"/>
    </row>
    <row r="25">
      <c r="A25" s="2" t="s">
        <v>73</v>
      </c>
      <c r="B25" s="2">
        <v>2020.0</v>
      </c>
      <c r="C25" s="2">
        <v>25499.88086</v>
      </c>
      <c r="D25" s="2">
        <v>86.24099731</v>
      </c>
      <c r="E25" s="2">
        <v>99.96981182</v>
      </c>
      <c r="F25" s="2">
        <v>0.0</v>
      </c>
      <c r="G25" s="2">
        <v>0.03018817873</v>
      </c>
      <c r="H25" s="2">
        <v>0.0</v>
      </c>
      <c r="I25" s="2">
        <v>100.0</v>
      </c>
      <c r="J25" s="2">
        <v>0.0</v>
      </c>
      <c r="K25" s="2">
        <v>0.0</v>
      </c>
      <c r="L25" s="2">
        <v>0.0</v>
      </c>
      <c r="M25" s="2">
        <v>99.965</v>
      </c>
      <c r="N25" s="2">
        <v>0.0</v>
      </c>
      <c r="O25" s="2">
        <v>0.035</v>
      </c>
      <c r="P25" s="2">
        <v>0.0</v>
      </c>
      <c r="Q25" s="13" t="str">
        <f t="shared" si="1"/>
        <v>Australia|2020</v>
      </c>
      <c r="R25" s="14" t="str">
        <f t="shared" si="2"/>
        <v> </v>
      </c>
      <c r="T25" s="14" t="b">
        <f t="shared" si="3"/>
        <v>0</v>
      </c>
      <c r="U25" s="14" t="b">
        <f t="shared" si="29"/>
        <v>0</v>
      </c>
      <c r="V25" s="14" t="b">
        <f t="shared" si="4"/>
        <v>0</v>
      </c>
      <c r="W25" s="14">
        <f t="shared" si="5"/>
        <v>100</v>
      </c>
      <c r="X25" s="14">
        <f t="shared" si="6"/>
        <v>100</v>
      </c>
      <c r="Y25" s="14">
        <f t="shared" si="7"/>
        <v>100</v>
      </c>
      <c r="Z25" s="14" t="str">
        <f t="shared" si="8"/>
        <v/>
      </c>
      <c r="AA25" s="14" t="str">
        <f t="shared" si="9"/>
        <v/>
      </c>
      <c r="AB25" s="14" t="str">
        <f t="shared" si="10"/>
        <v/>
      </c>
      <c r="AC25" s="14">
        <f t="shared" si="11"/>
        <v>0</v>
      </c>
      <c r="AE25" s="15" t="s">
        <v>85</v>
      </c>
      <c r="AF25" s="16" t="s">
        <v>50</v>
      </c>
      <c r="AH25" s="17" t="str">
        <f t="shared" si="12"/>
        <v>South Asia</v>
      </c>
      <c r="AI25" s="21"/>
      <c r="AJ25" s="21"/>
      <c r="AK25" s="15">
        <f t="shared" si="13"/>
        <v>0.218360008</v>
      </c>
      <c r="AL25" s="24"/>
      <c r="AM25" s="21"/>
      <c r="AN25" s="21"/>
      <c r="AO25" s="15">
        <f t="shared" si="16"/>
        <v>0.31336614</v>
      </c>
      <c r="AP25" s="24"/>
      <c r="AQ25" s="21"/>
      <c r="AR25" s="21"/>
      <c r="AS25" s="15">
        <f t="shared" si="19"/>
        <v>0.041858342</v>
      </c>
      <c r="AT25" s="24"/>
      <c r="AU25" s="21"/>
      <c r="AX25" s="14" t="str">
        <f t="shared" si="22"/>
        <v>null</v>
      </c>
      <c r="AY25" s="14" t="str">
        <f t="shared" si="23"/>
        <v>null</v>
      </c>
      <c r="AZ25" s="14" t="str">
        <f t="shared" si="24"/>
        <v>null</v>
      </c>
      <c r="BA25" s="8"/>
    </row>
    <row r="26">
      <c r="A26" s="2" t="s">
        <v>74</v>
      </c>
      <c r="B26" s="2">
        <v>2015.0</v>
      </c>
      <c r="C26" s="2">
        <v>8678.666992</v>
      </c>
      <c r="D26" s="2">
        <v>57.71500015</v>
      </c>
      <c r="E26" s="2">
        <v>100.0</v>
      </c>
      <c r="F26" s="2">
        <v>0.0</v>
      </c>
      <c r="G26" s="2">
        <v>0.0</v>
      </c>
      <c r="H26" s="2">
        <v>0.0</v>
      </c>
      <c r="I26" s="2">
        <v>100.0</v>
      </c>
      <c r="J26" s="2">
        <v>0.0</v>
      </c>
      <c r="K26" s="2">
        <v>0.0</v>
      </c>
      <c r="L26" s="2">
        <v>0.0</v>
      </c>
      <c r="M26" s="2">
        <v>100.0</v>
      </c>
      <c r="N26" s="2">
        <v>0.0</v>
      </c>
      <c r="O26" s="2">
        <v>0.0</v>
      </c>
      <c r="P26" s="2">
        <v>0.0</v>
      </c>
      <c r="Q26" s="13" t="str">
        <f t="shared" si="1"/>
        <v>Austria|2015</v>
      </c>
      <c r="R26" s="14">
        <f t="shared" si="2"/>
        <v>5</v>
      </c>
      <c r="T26" s="14">
        <f t="shared" si="3"/>
        <v>0</v>
      </c>
      <c r="U26" s="14">
        <f t="shared" si="29"/>
        <v>0</v>
      </c>
      <c r="V26" s="14">
        <f t="shared" si="4"/>
        <v>0</v>
      </c>
      <c r="W26" s="14">
        <f t="shared" si="5"/>
        <v>100</v>
      </c>
      <c r="X26" s="14">
        <f t="shared" si="6"/>
        <v>100</v>
      </c>
      <c r="Y26" s="14">
        <f t="shared" si="7"/>
        <v>100</v>
      </c>
      <c r="Z26" s="14" t="str">
        <f t="shared" si="8"/>
        <v/>
      </c>
      <c r="AA26" s="14" t="str">
        <f t="shared" si="9"/>
        <v/>
      </c>
      <c r="AB26" s="14" t="str">
        <f t="shared" si="10"/>
        <v>Fully Accessible</v>
      </c>
      <c r="AC26" s="14">
        <f t="shared" si="11"/>
        <v>0</v>
      </c>
      <c r="AE26" s="15" t="s">
        <v>86</v>
      </c>
      <c r="AF26" s="16" t="s">
        <v>57</v>
      </c>
      <c r="AH26" s="17" t="str">
        <f t="shared" si="12"/>
        <v>Latin America &amp; Caribbean</v>
      </c>
      <c r="AI26" s="21"/>
      <c r="AJ26" s="21"/>
      <c r="AK26" s="15">
        <f t="shared" si="13"/>
        <v>0.585586124</v>
      </c>
      <c r="AL26" s="24"/>
      <c r="AM26" s="21"/>
      <c r="AN26" s="21"/>
      <c r="AO26" s="15">
        <f t="shared" si="16"/>
        <v>1.239292526</v>
      </c>
      <c r="AP26" s="24"/>
      <c r="AQ26" s="21"/>
      <c r="AR26" s="21"/>
      <c r="AS26" s="15">
        <f t="shared" si="19"/>
        <v>0.186424248</v>
      </c>
      <c r="AT26" s="24"/>
      <c r="AU26" s="21"/>
      <c r="AX26" s="14">
        <f t="shared" si="22"/>
        <v>17685.06738</v>
      </c>
      <c r="AY26" s="14">
        <f t="shared" si="23"/>
        <v>116.4630013</v>
      </c>
      <c r="AZ26" s="14">
        <f t="shared" si="24"/>
        <v>17568.60438</v>
      </c>
      <c r="BA26" s="27"/>
    </row>
    <row r="27">
      <c r="A27" s="2" t="s">
        <v>74</v>
      </c>
      <c r="B27" s="2">
        <v>2020.0</v>
      </c>
      <c r="C27" s="2">
        <v>9006.400391</v>
      </c>
      <c r="D27" s="2">
        <v>58.7480011</v>
      </c>
      <c r="E27" s="2">
        <v>100.0</v>
      </c>
      <c r="F27" s="2">
        <v>0.0</v>
      </c>
      <c r="G27" s="2">
        <v>0.0</v>
      </c>
      <c r="H27" s="2">
        <v>0.0</v>
      </c>
      <c r="I27" s="2">
        <v>100.0</v>
      </c>
      <c r="J27" s="2">
        <v>0.0</v>
      </c>
      <c r="K27" s="2">
        <v>0.0</v>
      </c>
      <c r="L27" s="2">
        <v>0.0</v>
      </c>
      <c r="M27" s="2">
        <v>100.0</v>
      </c>
      <c r="N27" s="2">
        <v>0.0</v>
      </c>
      <c r="O27" s="2">
        <v>0.0</v>
      </c>
      <c r="P27" s="2">
        <v>0.0</v>
      </c>
      <c r="Q27" s="13" t="str">
        <f t="shared" si="1"/>
        <v>Austria|2020</v>
      </c>
      <c r="R27" s="14" t="str">
        <f t="shared" si="2"/>
        <v> </v>
      </c>
      <c r="T27" s="14" t="b">
        <f t="shared" si="3"/>
        <v>0</v>
      </c>
      <c r="U27" s="14" t="b">
        <f t="shared" si="29"/>
        <v>0</v>
      </c>
      <c r="V27" s="14" t="b">
        <f t="shared" si="4"/>
        <v>0</v>
      </c>
      <c r="W27" s="14">
        <f t="shared" si="5"/>
        <v>100</v>
      </c>
      <c r="X27" s="14">
        <f t="shared" si="6"/>
        <v>100</v>
      </c>
      <c r="Y27" s="14">
        <f t="shared" si="7"/>
        <v>100</v>
      </c>
      <c r="Z27" s="14" t="str">
        <f t="shared" si="8"/>
        <v/>
      </c>
      <c r="AA27" s="14" t="str">
        <f t="shared" si="9"/>
        <v/>
      </c>
      <c r="AB27" s="14" t="str">
        <f t="shared" si="10"/>
        <v/>
      </c>
      <c r="AC27" s="14">
        <f t="shared" si="11"/>
        <v>0</v>
      </c>
      <c r="AE27" s="15" t="s">
        <v>87</v>
      </c>
      <c r="AF27" s="16" t="s">
        <v>53</v>
      </c>
      <c r="AH27" s="17" t="str">
        <f t="shared" si="12"/>
        <v>Europe &amp; Central Asia</v>
      </c>
      <c r="AI27" s="21"/>
      <c r="AJ27" s="21"/>
      <c r="AK27" s="15">
        <f t="shared" si="13"/>
        <v>-0.009189312</v>
      </c>
      <c r="AL27" s="24"/>
      <c r="AM27" s="21"/>
      <c r="AN27" s="21"/>
      <c r="AO27" s="15">
        <f t="shared" si="16"/>
        <v>0</v>
      </c>
      <c r="AP27" s="24"/>
      <c r="AQ27" s="21"/>
      <c r="AR27" s="21"/>
      <c r="AS27" s="15">
        <f t="shared" si="19"/>
        <v>0</v>
      </c>
      <c r="AT27" s="24"/>
      <c r="AU27" s="21"/>
      <c r="AX27" s="14" t="str">
        <f t="shared" si="22"/>
        <v>null</v>
      </c>
      <c r="AY27" s="14" t="str">
        <f t="shared" si="23"/>
        <v>null</v>
      </c>
      <c r="AZ27" s="14" t="str">
        <f t="shared" si="24"/>
        <v>null</v>
      </c>
      <c r="BA27" s="17"/>
    </row>
    <row r="28">
      <c r="A28" s="2" t="s">
        <v>75</v>
      </c>
      <c r="B28" s="2">
        <v>2015.0</v>
      </c>
      <c r="C28" s="2">
        <v>9622.741211</v>
      </c>
      <c r="D28" s="2">
        <v>54.7140007</v>
      </c>
      <c r="E28" s="2">
        <v>92.42031398</v>
      </c>
      <c r="F28" s="2">
        <v>1.002242415</v>
      </c>
      <c r="G28" s="2">
        <v>4.365089522</v>
      </c>
      <c r="H28" s="2">
        <v>2.21235408</v>
      </c>
      <c r="I28" s="2">
        <v>84.14321327</v>
      </c>
      <c r="J28" s="2">
        <v>2.213139731</v>
      </c>
      <c r="K28" s="2">
        <v>8.988206006</v>
      </c>
      <c r="L28" s="2">
        <v>4.655440992</v>
      </c>
      <c r="M28" s="2">
        <v>99.27115203</v>
      </c>
      <c r="N28" s="2">
        <v>0.0</v>
      </c>
      <c r="O28" s="2">
        <v>0.5386020345</v>
      </c>
      <c r="P28" s="2">
        <v>0.1902459339</v>
      </c>
      <c r="Q28" s="13" t="str">
        <f t="shared" si="1"/>
        <v>Azerbaijan|2015</v>
      </c>
      <c r="R28" s="14">
        <f t="shared" si="2"/>
        <v>5</v>
      </c>
      <c r="T28" s="14">
        <f t="shared" si="3"/>
        <v>0.72461243</v>
      </c>
      <c r="U28" s="14">
        <f t="shared" si="29"/>
        <v>1.356516936</v>
      </c>
      <c r="V28" s="14">
        <f t="shared" si="4"/>
        <v>0.145769594</v>
      </c>
      <c r="W28" s="14">
        <f t="shared" si="5"/>
        <v>92</v>
      </c>
      <c r="X28" s="14">
        <f t="shared" si="6"/>
        <v>84</v>
      </c>
      <c r="Y28" s="14">
        <f t="shared" si="7"/>
        <v>99</v>
      </c>
      <c r="Z28" s="14" t="str">
        <f t="shared" si="8"/>
        <v/>
      </c>
      <c r="AA28" s="14" t="str">
        <f t="shared" si="9"/>
        <v/>
      </c>
      <c r="AB28" s="14" t="str">
        <f t="shared" si="10"/>
        <v>Fully Accessible</v>
      </c>
      <c r="AC28" s="14">
        <f t="shared" si="11"/>
        <v>1.210747342</v>
      </c>
      <c r="AE28" s="15" t="s">
        <v>88</v>
      </c>
      <c r="AF28" s="16" t="s">
        <v>63</v>
      </c>
      <c r="AH28" s="17" t="str">
        <f t="shared" si="12"/>
        <v>Sub-Saharan Africa</v>
      </c>
      <c r="AI28" s="21"/>
      <c r="AJ28" s="21"/>
      <c r="AK28" s="15">
        <f t="shared" si="13"/>
        <v>0.753454708</v>
      </c>
      <c r="AL28" s="24"/>
      <c r="AM28" s="21"/>
      <c r="AN28" s="21"/>
      <c r="AO28" s="15">
        <f t="shared" si="16"/>
        <v>1.430238006</v>
      </c>
      <c r="AP28" s="24"/>
      <c r="AQ28" s="21"/>
      <c r="AR28" s="21"/>
      <c r="AS28" s="15">
        <f t="shared" si="19"/>
        <v>0.2164756</v>
      </c>
      <c r="AT28" s="24"/>
      <c r="AU28" s="21"/>
      <c r="AX28" s="14">
        <f t="shared" si="22"/>
        <v>19761.91601</v>
      </c>
      <c r="AY28" s="14">
        <f t="shared" si="23"/>
        <v>111.1110039</v>
      </c>
      <c r="AZ28" s="14">
        <f t="shared" si="24"/>
        <v>19650.80501</v>
      </c>
      <c r="BA28" s="27"/>
    </row>
    <row r="29">
      <c r="A29" s="2" t="s">
        <v>75</v>
      </c>
      <c r="B29" s="2">
        <v>2020.0</v>
      </c>
      <c r="C29" s="2">
        <v>10139.1748</v>
      </c>
      <c r="D29" s="2">
        <v>56.39700317</v>
      </c>
      <c r="E29" s="2">
        <v>96.04337613</v>
      </c>
      <c r="F29" s="2">
        <v>1.04278118</v>
      </c>
      <c r="G29" s="2">
        <v>2.913842688</v>
      </c>
      <c r="H29" s="2">
        <v>0.0</v>
      </c>
      <c r="I29" s="2">
        <v>90.92579795</v>
      </c>
      <c r="J29" s="2">
        <v>2.391535671</v>
      </c>
      <c r="K29" s="2">
        <v>6.682666377</v>
      </c>
      <c r="L29" s="2">
        <v>0.0</v>
      </c>
      <c r="M29" s="2">
        <v>100.0</v>
      </c>
      <c r="N29" s="2">
        <v>0.0</v>
      </c>
      <c r="O29" s="2">
        <v>0.0</v>
      </c>
      <c r="P29" s="2">
        <v>0.0</v>
      </c>
      <c r="Q29" s="13" t="str">
        <f t="shared" si="1"/>
        <v>Azerbaijan|2020</v>
      </c>
      <c r="R29" s="14" t="str">
        <f t="shared" si="2"/>
        <v> </v>
      </c>
      <c r="T29" s="14" t="b">
        <f t="shared" si="3"/>
        <v>0</v>
      </c>
      <c r="U29" s="14" t="b">
        <f t="shared" si="29"/>
        <v>0</v>
      </c>
      <c r="V29" s="14" t="b">
        <f t="shared" si="4"/>
        <v>0</v>
      </c>
      <c r="W29" s="14">
        <f t="shared" si="5"/>
        <v>96</v>
      </c>
      <c r="X29" s="14">
        <f t="shared" si="6"/>
        <v>91</v>
      </c>
      <c r="Y29" s="14">
        <f t="shared" si="7"/>
        <v>100</v>
      </c>
      <c r="Z29" s="14" t="str">
        <f t="shared" si="8"/>
        <v/>
      </c>
      <c r="AA29" s="14" t="str">
        <f t="shared" si="9"/>
        <v/>
      </c>
      <c r="AB29" s="14" t="str">
        <f t="shared" si="10"/>
        <v/>
      </c>
      <c r="AC29" s="14">
        <f t="shared" si="11"/>
        <v>0</v>
      </c>
      <c r="AE29" s="15" t="s">
        <v>89</v>
      </c>
      <c r="AF29" s="16" t="s">
        <v>57</v>
      </c>
      <c r="AH29" s="17" t="str">
        <f t="shared" si="12"/>
        <v>Latin America &amp; Caribbean</v>
      </c>
      <c r="AI29" s="21"/>
      <c r="AJ29" s="21"/>
      <c r="AK29" s="15">
        <f t="shared" si="13"/>
        <v>0.30345708</v>
      </c>
      <c r="AL29" s="24"/>
      <c r="AM29" s="21"/>
      <c r="AN29" s="21"/>
      <c r="AO29" s="15">
        <f t="shared" si="16"/>
        <v>1.43784627</v>
      </c>
      <c r="AP29" s="24"/>
      <c r="AQ29" s="21"/>
      <c r="AR29" s="21"/>
      <c r="AS29" s="15">
        <f t="shared" si="19"/>
        <v>0.103474058</v>
      </c>
      <c r="AT29" s="24"/>
      <c r="AU29" s="21"/>
      <c r="AX29" s="14" t="str">
        <f t="shared" si="22"/>
        <v>null</v>
      </c>
      <c r="AY29" s="14" t="str">
        <f t="shared" si="23"/>
        <v>null</v>
      </c>
      <c r="AZ29" s="14" t="str">
        <f t="shared" si="24"/>
        <v>null</v>
      </c>
      <c r="BA29" s="27"/>
    </row>
    <row r="30">
      <c r="A30" s="2" t="s">
        <v>76</v>
      </c>
      <c r="B30" s="2">
        <v>2015.0</v>
      </c>
      <c r="C30" s="2">
        <v>374.2000122</v>
      </c>
      <c r="D30" s="2">
        <v>82.74599457</v>
      </c>
      <c r="E30" s="2">
        <v>98.8869605</v>
      </c>
      <c r="F30" s="2">
        <v>0.0</v>
      </c>
      <c r="G30" s="2">
        <v>1.113039503</v>
      </c>
      <c r="H30" s="2">
        <v>0.0</v>
      </c>
      <c r="I30" s="2" t="s">
        <v>64</v>
      </c>
      <c r="J30" s="2" t="s">
        <v>64</v>
      </c>
      <c r="K30" s="2" t="s">
        <v>64</v>
      </c>
      <c r="L30" s="2" t="s">
        <v>64</v>
      </c>
      <c r="M30" s="2" t="s">
        <v>64</v>
      </c>
      <c r="N30" s="2" t="s">
        <v>64</v>
      </c>
      <c r="O30" s="2" t="s">
        <v>64</v>
      </c>
      <c r="P30" s="2" t="s">
        <v>64</v>
      </c>
      <c r="Q30" s="13" t="str">
        <f t="shared" si="1"/>
        <v>Bahamas|2015</v>
      </c>
      <c r="R30" s="14">
        <f t="shared" si="2"/>
        <v>4</v>
      </c>
      <c r="T30" s="14">
        <f t="shared" si="3"/>
        <v>0</v>
      </c>
      <c r="U30" s="14" t="str">
        <f t="shared" si="29"/>
        <v>null</v>
      </c>
      <c r="V30" s="14" t="str">
        <f t="shared" si="4"/>
        <v>null</v>
      </c>
      <c r="W30" s="14">
        <f t="shared" si="5"/>
        <v>99</v>
      </c>
      <c r="X30" s="14" t="b">
        <f t="shared" si="6"/>
        <v>0</v>
      </c>
      <c r="Y30" s="14" t="b">
        <f t="shared" si="7"/>
        <v>0</v>
      </c>
      <c r="Z30" s="14" t="str">
        <f t="shared" si="8"/>
        <v/>
      </c>
      <c r="AA30" s="14" t="str">
        <f t="shared" si="9"/>
        <v>Fully Accessible</v>
      </c>
      <c r="AB30" s="14" t="str">
        <f t="shared" si="10"/>
        <v>Fully Accessible</v>
      </c>
      <c r="AC30" s="14" t="b">
        <f t="shared" si="11"/>
        <v>0</v>
      </c>
      <c r="AE30" s="15" t="s">
        <v>90</v>
      </c>
      <c r="AF30" s="16" t="s">
        <v>57</v>
      </c>
      <c r="AH30" s="17" t="str">
        <f t="shared" si="12"/>
        <v>Latin America &amp; Caribbean</v>
      </c>
      <c r="AI30" s="21"/>
      <c r="AJ30" s="21"/>
      <c r="AK30" s="15">
        <f t="shared" si="13"/>
        <v>0</v>
      </c>
      <c r="AL30" s="24"/>
      <c r="AM30" s="21"/>
      <c r="AN30" s="21"/>
      <c r="AO30" s="15">
        <f t="shared" si="16"/>
        <v>0</v>
      </c>
      <c r="AP30" s="24"/>
      <c r="AQ30" s="21"/>
      <c r="AR30" s="21"/>
      <c r="AS30" s="15">
        <f t="shared" si="19"/>
        <v>0</v>
      </c>
      <c r="AT30" s="24"/>
      <c r="AU30" s="21"/>
      <c r="AX30" s="14">
        <f t="shared" si="22"/>
        <v>763.6860046</v>
      </c>
      <c r="AY30" s="14">
        <f t="shared" si="23"/>
        <v>165.8779907</v>
      </c>
      <c r="AZ30" s="14">
        <f t="shared" si="24"/>
        <v>597.8080139</v>
      </c>
      <c r="BA30" s="17"/>
    </row>
    <row r="31">
      <c r="A31" s="2" t="s">
        <v>76</v>
      </c>
      <c r="B31" s="2">
        <v>2019.0</v>
      </c>
      <c r="C31" s="2">
        <v>389.4859924</v>
      </c>
      <c r="D31" s="2">
        <v>83.13199615</v>
      </c>
      <c r="E31" s="2">
        <v>98.8869605</v>
      </c>
      <c r="F31" s="2">
        <v>0.0</v>
      </c>
      <c r="G31" s="2">
        <v>1.113039503</v>
      </c>
      <c r="H31" s="2">
        <v>0.0</v>
      </c>
      <c r="I31" s="2" t="s">
        <v>64</v>
      </c>
      <c r="J31" s="2" t="s">
        <v>64</v>
      </c>
      <c r="K31" s="2" t="s">
        <v>64</v>
      </c>
      <c r="L31" s="2" t="s">
        <v>64</v>
      </c>
      <c r="M31" s="2" t="s">
        <v>64</v>
      </c>
      <c r="N31" s="2" t="s">
        <v>64</v>
      </c>
      <c r="O31" s="2" t="s">
        <v>64</v>
      </c>
      <c r="P31" s="2" t="s">
        <v>64</v>
      </c>
      <c r="Q31" s="13" t="str">
        <f t="shared" si="1"/>
        <v>Bahamas|2019</v>
      </c>
      <c r="R31" s="14" t="str">
        <f t="shared" si="2"/>
        <v> </v>
      </c>
      <c r="T31" s="14" t="b">
        <f t="shared" si="3"/>
        <v>0</v>
      </c>
      <c r="U31" s="14" t="b">
        <f t="shared" si="29"/>
        <v>0</v>
      </c>
      <c r="V31" s="14" t="b">
        <f t="shared" si="4"/>
        <v>0</v>
      </c>
      <c r="W31" s="14">
        <f t="shared" si="5"/>
        <v>99</v>
      </c>
      <c r="X31" s="14" t="b">
        <f t="shared" si="6"/>
        <v>0</v>
      </c>
      <c r="Y31" s="14" t="b">
        <f t="shared" si="7"/>
        <v>0</v>
      </c>
      <c r="Z31" s="14" t="str">
        <f t="shared" si="8"/>
        <v/>
      </c>
      <c r="AA31" s="14" t="str">
        <f t="shared" si="9"/>
        <v/>
      </c>
      <c r="AB31" s="14" t="str">
        <f t="shared" si="10"/>
        <v/>
      </c>
      <c r="AC31" s="14">
        <f t="shared" si="11"/>
        <v>0</v>
      </c>
      <c r="AE31" s="15" t="s">
        <v>91</v>
      </c>
      <c r="AF31" s="16" t="s">
        <v>51</v>
      </c>
      <c r="AH31" s="17" t="str">
        <f t="shared" si="12"/>
        <v>East Asia &amp; Pacific</v>
      </c>
      <c r="AI31" s="21"/>
      <c r="AJ31" s="21"/>
      <c r="AK31" s="15">
        <f t="shared" si="13"/>
        <v>0.078012128</v>
      </c>
      <c r="AL31" s="24"/>
      <c r="AM31" s="21"/>
      <c r="AN31" s="21"/>
      <c r="AO31" s="15">
        <f t="shared" si="16"/>
        <v>0</v>
      </c>
      <c r="AP31" s="24"/>
      <c r="AQ31" s="21"/>
      <c r="AR31" s="21"/>
      <c r="AS31" s="15">
        <f t="shared" si="19"/>
        <v>0</v>
      </c>
      <c r="AT31" s="24"/>
      <c r="AU31" s="21"/>
      <c r="AX31" s="14" t="str">
        <f t="shared" si="22"/>
        <v>null</v>
      </c>
      <c r="AY31" s="14" t="str">
        <f t="shared" si="23"/>
        <v>null</v>
      </c>
      <c r="AZ31" s="14" t="str">
        <f t="shared" si="24"/>
        <v>null</v>
      </c>
      <c r="BA31" s="17"/>
    </row>
    <row r="32">
      <c r="A32" s="2" t="s">
        <v>77</v>
      </c>
      <c r="B32" s="2">
        <v>2015.0</v>
      </c>
      <c r="C32" s="2">
        <v>1371.853027</v>
      </c>
      <c r="D32" s="2">
        <v>88.99899292</v>
      </c>
      <c r="E32" s="2">
        <v>100.0</v>
      </c>
      <c r="F32" s="2">
        <v>0.0</v>
      </c>
      <c r="G32" s="2">
        <v>0.0</v>
      </c>
      <c r="H32" s="2">
        <v>0.0</v>
      </c>
      <c r="I32" s="2" t="s">
        <v>64</v>
      </c>
      <c r="J32" s="2" t="s">
        <v>64</v>
      </c>
      <c r="K32" s="2" t="s">
        <v>64</v>
      </c>
      <c r="L32" s="2" t="s">
        <v>64</v>
      </c>
      <c r="M32" s="2" t="s">
        <v>64</v>
      </c>
      <c r="N32" s="2" t="s">
        <v>64</v>
      </c>
      <c r="O32" s="2" t="s">
        <v>64</v>
      </c>
      <c r="P32" s="2" t="s">
        <v>64</v>
      </c>
      <c r="Q32" s="13" t="str">
        <f t="shared" si="1"/>
        <v>Bahrain|2015</v>
      </c>
      <c r="R32" s="14">
        <f t="shared" si="2"/>
        <v>5</v>
      </c>
      <c r="T32" s="14">
        <f t="shared" si="3"/>
        <v>0</v>
      </c>
      <c r="U32" s="14" t="str">
        <f t="shared" si="29"/>
        <v>null</v>
      </c>
      <c r="V32" s="14" t="str">
        <f t="shared" si="4"/>
        <v>null</v>
      </c>
      <c r="W32" s="14">
        <f t="shared" si="5"/>
        <v>100</v>
      </c>
      <c r="X32" s="14" t="b">
        <f t="shared" si="6"/>
        <v>0</v>
      </c>
      <c r="Y32" s="14" t="b">
        <f t="shared" si="7"/>
        <v>0</v>
      </c>
      <c r="Z32" s="14" t="str">
        <f t="shared" si="8"/>
        <v/>
      </c>
      <c r="AA32" s="14" t="str">
        <f t="shared" si="9"/>
        <v>Fully Accessible</v>
      </c>
      <c r="AB32" s="14" t="str">
        <f t="shared" si="10"/>
        <v>Fully Accessible</v>
      </c>
      <c r="AC32" s="14" t="b">
        <f t="shared" si="11"/>
        <v>0</v>
      </c>
      <c r="AE32" s="15" t="s">
        <v>92</v>
      </c>
      <c r="AF32" s="16" t="s">
        <v>53</v>
      </c>
      <c r="AH32" s="17" t="str">
        <f t="shared" si="12"/>
        <v>Europe &amp; Central Asia</v>
      </c>
      <c r="AI32" s="21"/>
      <c r="AJ32" s="21"/>
      <c r="AK32" s="15">
        <f t="shared" si="13"/>
        <v>-0.036982074</v>
      </c>
      <c r="AL32" s="24"/>
      <c r="AM32" s="21"/>
      <c r="AN32" s="21"/>
      <c r="AO32" s="15">
        <f t="shared" si="16"/>
        <v>-0.122970474</v>
      </c>
      <c r="AP32" s="24"/>
      <c r="AQ32" s="21"/>
      <c r="AR32" s="21"/>
      <c r="AS32" s="15">
        <f t="shared" si="19"/>
        <v>-0.016507464</v>
      </c>
      <c r="AT32" s="24"/>
      <c r="AU32" s="21"/>
      <c r="AX32" s="14">
        <f t="shared" si="22"/>
        <v>3073.436035</v>
      </c>
      <c r="AY32" s="14">
        <f t="shared" si="23"/>
        <v>178.5049973</v>
      </c>
      <c r="AZ32" s="14">
        <f t="shared" si="24"/>
        <v>2894.931038</v>
      </c>
      <c r="BA32" s="17"/>
    </row>
    <row r="33">
      <c r="A33" s="2" t="s">
        <v>77</v>
      </c>
      <c r="B33" s="2">
        <v>2020.0</v>
      </c>
      <c r="C33" s="2">
        <v>1701.583008</v>
      </c>
      <c r="D33" s="2">
        <v>89.50600433</v>
      </c>
      <c r="E33" s="2">
        <v>100.0</v>
      </c>
      <c r="F33" s="2">
        <v>0.0</v>
      </c>
      <c r="G33" s="2">
        <v>0.0</v>
      </c>
      <c r="H33" s="2">
        <v>0.0</v>
      </c>
      <c r="I33" s="2" t="s">
        <v>64</v>
      </c>
      <c r="J33" s="2" t="s">
        <v>64</v>
      </c>
      <c r="K33" s="2" t="s">
        <v>64</v>
      </c>
      <c r="L33" s="2" t="s">
        <v>64</v>
      </c>
      <c r="M33" s="2" t="s">
        <v>64</v>
      </c>
      <c r="N33" s="2" t="s">
        <v>64</v>
      </c>
      <c r="O33" s="2" t="s">
        <v>64</v>
      </c>
      <c r="P33" s="2" t="s">
        <v>64</v>
      </c>
      <c r="Q33" s="13" t="str">
        <f t="shared" si="1"/>
        <v>Bahrain|2020</v>
      </c>
      <c r="R33" s="14" t="str">
        <f t="shared" si="2"/>
        <v> </v>
      </c>
      <c r="T33" s="14" t="b">
        <f t="shared" si="3"/>
        <v>0</v>
      </c>
      <c r="U33" s="14" t="b">
        <f t="shared" si="29"/>
        <v>0</v>
      </c>
      <c r="V33" s="14" t="b">
        <f t="shared" si="4"/>
        <v>0</v>
      </c>
      <c r="W33" s="14">
        <f t="shared" si="5"/>
        <v>100</v>
      </c>
      <c r="X33" s="14" t="b">
        <f t="shared" si="6"/>
        <v>0</v>
      </c>
      <c r="Y33" s="14" t="b">
        <f t="shared" si="7"/>
        <v>0</v>
      </c>
      <c r="Z33" s="14" t="str">
        <f t="shared" si="8"/>
        <v/>
      </c>
      <c r="AA33" s="14" t="str">
        <f t="shared" si="9"/>
        <v/>
      </c>
      <c r="AB33" s="14" t="str">
        <f t="shared" si="10"/>
        <v/>
      </c>
      <c r="AC33" s="14">
        <f t="shared" si="11"/>
        <v>0</v>
      </c>
      <c r="AE33" s="15" t="s">
        <v>93</v>
      </c>
      <c r="AF33" s="16" t="s">
        <v>63</v>
      </c>
      <c r="AH33" s="17" t="str">
        <f t="shared" si="12"/>
        <v>Sub-Saharan Africa</v>
      </c>
      <c r="AI33" s="21"/>
      <c r="AJ33" s="21"/>
      <c r="AK33" s="15">
        <f t="shared" si="13"/>
        <v>-0.584455326</v>
      </c>
      <c r="AL33" s="24"/>
      <c r="AM33" s="21"/>
      <c r="AN33" s="21"/>
      <c r="AO33" s="15">
        <f t="shared" si="16"/>
        <v>-1.22738096</v>
      </c>
      <c r="AP33" s="24"/>
      <c r="AQ33" s="21"/>
      <c r="AR33" s="21"/>
      <c r="AS33" s="15">
        <f t="shared" si="19"/>
        <v>0.049225276</v>
      </c>
      <c r="AT33" s="24"/>
      <c r="AU33" s="21"/>
      <c r="AX33" s="14" t="str">
        <f t="shared" si="22"/>
        <v>null</v>
      </c>
      <c r="AY33" s="14" t="str">
        <f t="shared" si="23"/>
        <v>null</v>
      </c>
      <c r="AZ33" s="14" t="str">
        <f t="shared" si="24"/>
        <v>null</v>
      </c>
      <c r="BA33" s="8"/>
    </row>
    <row r="34">
      <c r="A34" s="2" t="s">
        <v>78</v>
      </c>
      <c r="B34" s="2">
        <v>2015.0</v>
      </c>
      <c r="C34" s="2">
        <v>156256.2813</v>
      </c>
      <c r="D34" s="2">
        <v>34.30800247</v>
      </c>
      <c r="E34" s="2">
        <v>97.10160247</v>
      </c>
      <c r="F34" s="2">
        <v>1.087988961</v>
      </c>
      <c r="G34" s="2">
        <v>0.7215616582</v>
      </c>
      <c r="H34" s="2">
        <v>1.08884691</v>
      </c>
      <c r="I34" s="2">
        <v>96.77301128</v>
      </c>
      <c r="J34" s="2">
        <v>1.046214162</v>
      </c>
      <c r="K34" s="2">
        <v>0.7317473217</v>
      </c>
      <c r="L34" s="2">
        <v>1.449027237</v>
      </c>
      <c r="M34" s="2">
        <v>97.73077968</v>
      </c>
      <c r="N34" s="2">
        <v>1.167978177</v>
      </c>
      <c r="O34" s="2">
        <v>0.702058435</v>
      </c>
      <c r="P34" s="2">
        <v>0.3991837074</v>
      </c>
      <c r="Q34" s="13" t="str">
        <f t="shared" si="1"/>
        <v>Bangladesh|2015</v>
      </c>
      <c r="R34" s="14">
        <f t="shared" si="2"/>
        <v>5</v>
      </c>
      <c r="T34" s="14">
        <f t="shared" si="3"/>
        <v>0.119271556</v>
      </c>
      <c r="U34" s="14">
        <f t="shared" si="29"/>
        <v>0.221445296</v>
      </c>
      <c r="V34" s="14">
        <f t="shared" si="4"/>
        <v>-0.065600342</v>
      </c>
      <c r="W34" s="14">
        <f t="shared" si="5"/>
        <v>97</v>
      </c>
      <c r="X34" s="14">
        <f t="shared" si="6"/>
        <v>97</v>
      </c>
      <c r="Y34" s="14">
        <f t="shared" si="7"/>
        <v>98</v>
      </c>
      <c r="Z34" s="14" t="str">
        <f t="shared" si="8"/>
        <v/>
      </c>
      <c r="AA34" s="14" t="str">
        <f t="shared" si="9"/>
        <v/>
      </c>
      <c r="AB34" s="14" t="str">
        <f t="shared" si="10"/>
        <v>Fully Accessible</v>
      </c>
      <c r="AC34" s="14">
        <f t="shared" si="11"/>
        <v>0.287045638</v>
      </c>
      <c r="AE34" s="15" t="s">
        <v>94</v>
      </c>
      <c r="AF34" s="16" t="s">
        <v>63</v>
      </c>
      <c r="AH34" s="17" t="str">
        <f t="shared" si="12"/>
        <v>Sub-Saharan Africa</v>
      </c>
      <c r="AI34" s="21"/>
      <c r="AJ34" s="21"/>
      <c r="AK34" s="15">
        <f t="shared" si="13"/>
        <v>0.5251306</v>
      </c>
      <c r="AL34" s="24"/>
      <c r="AM34" s="21"/>
      <c r="AN34" s="21"/>
      <c r="AO34" s="15">
        <f t="shared" si="16"/>
        <v>0.425499672</v>
      </c>
      <c r="AP34" s="24"/>
      <c r="AQ34" s="21"/>
      <c r="AR34" s="21"/>
      <c r="AS34" s="15">
        <f t="shared" si="19"/>
        <v>0.360134654</v>
      </c>
      <c r="AT34" s="24"/>
      <c r="AU34" s="21"/>
      <c r="AX34" s="14">
        <f t="shared" si="22"/>
        <v>320945.6719</v>
      </c>
      <c r="AY34" s="14">
        <f t="shared" si="23"/>
        <v>72.48500442</v>
      </c>
      <c r="AZ34" s="14">
        <f t="shared" si="24"/>
        <v>320873.1869</v>
      </c>
      <c r="BA34" s="27"/>
    </row>
    <row r="35">
      <c r="A35" s="2" t="s">
        <v>78</v>
      </c>
      <c r="B35" s="2">
        <v>2020.0</v>
      </c>
      <c r="C35" s="2">
        <v>164689.3906</v>
      </c>
      <c r="D35" s="2">
        <v>38.17700195</v>
      </c>
      <c r="E35" s="2">
        <v>97.69796025</v>
      </c>
      <c r="F35" s="2">
        <v>1.156425878</v>
      </c>
      <c r="G35" s="2">
        <v>0.4626557002</v>
      </c>
      <c r="H35" s="2">
        <v>0.6829581735</v>
      </c>
      <c r="I35" s="2">
        <v>97.88023776</v>
      </c>
      <c r="J35" s="2">
        <v>0.8581049804</v>
      </c>
      <c r="K35" s="2">
        <v>0.3164802414</v>
      </c>
      <c r="L35" s="2">
        <v>0.9451770151</v>
      </c>
      <c r="M35" s="2">
        <v>97.40277797</v>
      </c>
      <c r="N35" s="2">
        <v>1.639520121</v>
      </c>
      <c r="O35" s="2">
        <v>0.6993752147</v>
      </c>
      <c r="P35" s="2">
        <v>0.2583266934</v>
      </c>
      <c r="Q35" s="13" t="str">
        <f t="shared" si="1"/>
        <v>Bangladesh|2020</v>
      </c>
      <c r="R35" s="14" t="str">
        <f t="shared" si="2"/>
        <v> </v>
      </c>
      <c r="T35" s="14" t="b">
        <f t="shared" si="3"/>
        <v>0</v>
      </c>
      <c r="U35" s="14" t="b">
        <f t="shared" si="29"/>
        <v>0</v>
      </c>
      <c r="V35" s="14" t="b">
        <f t="shared" si="4"/>
        <v>0</v>
      </c>
      <c r="W35" s="14">
        <f t="shared" si="5"/>
        <v>98</v>
      </c>
      <c r="X35" s="14">
        <f t="shared" si="6"/>
        <v>98</v>
      </c>
      <c r="Y35" s="14">
        <f t="shared" si="7"/>
        <v>97</v>
      </c>
      <c r="Z35" s="14" t="str">
        <f t="shared" si="8"/>
        <v/>
      </c>
      <c r="AA35" s="14" t="str">
        <f t="shared" si="9"/>
        <v/>
      </c>
      <c r="AB35" s="14" t="str">
        <f t="shared" si="10"/>
        <v/>
      </c>
      <c r="AC35" s="14">
        <f t="shared" si="11"/>
        <v>0</v>
      </c>
      <c r="AE35" s="15" t="s">
        <v>95</v>
      </c>
      <c r="AF35" s="16" t="s">
        <v>63</v>
      </c>
      <c r="AH35" s="17" t="str">
        <f t="shared" si="12"/>
        <v>Sub-Saharan Africa</v>
      </c>
      <c r="AI35" s="21"/>
      <c r="AJ35" s="21"/>
      <c r="AK35" s="15">
        <f t="shared" si="13"/>
        <v>0.66525281</v>
      </c>
      <c r="AL35" s="24"/>
      <c r="AM35" s="21"/>
      <c r="AN35" s="21"/>
      <c r="AO35" s="15">
        <f t="shared" si="16"/>
        <v>1.456442266</v>
      </c>
      <c r="AP35" s="24"/>
      <c r="AQ35" s="21"/>
      <c r="AR35" s="21"/>
      <c r="AS35" s="15">
        <f t="shared" si="19"/>
        <v>0.130977098</v>
      </c>
      <c r="AT35" s="24"/>
      <c r="AU35" s="21"/>
      <c r="AX35" s="14" t="str">
        <f t="shared" si="22"/>
        <v>null</v>
      </c>
      <c r="AY35" s="14" t="str">
        <f t="shared" si="23"/>
        <v>null</v>
      </c>
      <c r="AZ35" s="14" t="str">
        <f t="shared" si="24"/>
        <v>null</v>
      </c>
      <c r="BA35" s="17"/>
    </row>
    <row r="36">
      <c r="A36" s="2" t="s">
        <v>79</v>
      </c>
      <c r="B36" s="2">
        <v>2015.0</v>
      </c>
      <c r="C36" s="2">
        <v>285.3269958</v>
      </c>
      <c r="D36" s="2">
        <v>31.24899864</v>
      </c>
      <c r="E36" s="2">
        <v>98.47444474</v>
      </c>
      <c r="F36" s="2">
        <v>0.2674919064</v>
      </c>
      <c r="G36" s="2">
        <v>1.258063351</v>
      </c>
      <c r="H36" s="2">
        <v>0.0</v>
      </c>
      <c r="I36" s="2" t="s">
        <v>64</v>
      </c>
      <c r="J36" s="2" t="s">
        <v>64</v>
      </c>
      <c r="K36" s="2" t="s">
        <v>64</v>
      </c>
      <c r="L36" s="2" t="s">
        <v>64</v>
      </c>
      <c r="M36" s="2" t="s">
        <v>64</v>
      </c>
      <c r="N36" s="2" t="s">
        <v>64</v>
      </c>
      <c r="O36" s="2" t="s">
        <v>64</v>
      </c>
      <c r="P36" s="2" t="s">
        <v>64</v>
      </c>
      <c r="Q36" s="13" t="str">
        <f t="shared" si="1"/>
        <v>Barbados|2015</v>
      </c>
      <c r="R36" s="14">
        <f t="shared" si="2"/>
        <v>5</v>
      </c>
      <c r="T36" s="14">
        <f t="shared" si="3"/>
        <v>0.008001136</v>
      </c>
      <c r="U36" s="14" t="str">
        <f t="shared" si="29"/>
        <v>null</v>
      </c>
      <c r="V36" s="14" t="str">
        <f t="shared" si="4"/>
        <v>null</v>
      </c>
      <c r="W36" s="14">
        <f t="shared" si="5"/>
        <v>98</v>
      </c>
      <c r="X36" s="14" t="b">
        <f t="shared" si="6"/>
        <v>0</v>
      </c>
      <c r="Y36" s="14" t="b">
        <f t="shared" si="7"/>
        <v>0</v>
      </c>
      <c r="Z36" s="14" t="str">
        <f t="shared" si="8"/>
        <v/>
      </c>
      <c r="AA36" s="14" t="str">
        <f t="shared" si="9"/>
        <v>Fully Accessible</v>
      </c>
      <c r="AB36" s="14" t="str">
        <f t="shared" si="10"/>
        <v>Fully Accessible</v>
      </c>
      <c r="AC36" s="14" t="b">
        <f t="shared" si="11"/>
        <v>0</v>
      </c>
      <c r="AE36" s="15" t="s">
        <v>96</v>
      </c>
      <c r="AF36" s="16" t="s">
        <v>51</v>
      </c>
      <c r="AH36" s="17" t="str">
        <f t="shared" si="12"/>
        <v>East Asia &amp; Pacific</v>
      </c>
      <c r="AI36" s="21"/>
      <c r="AJ36" s="21"/>
      <c r="AK36" s="15">
        <f t="shared" si="13"/>
        <v>0.555207202</v>
      </c>
      <c r="AL36" s="24"/>
      <c r="AM36" s="21"/>
      <c r="AN36" s="21"/>
      <c r="AO36" s="15">
        <f t="shared" si="16"/>
        <v>0.47120783</v>
      </c>
      <c r="AP36" s="24"/>
      <c r="AQ36" s="21"/>
      <c r="AR36" s="21"/>
      <c r="AS36" s="15">
        <f t="shared" si="19"/>
        <v>0.381977146</v>
      </c>
      <c r="AT36" s="24"/>
      <c r="AU36" s="21"/>
      <c r="AX36" s="14">
        <f t="shared" si="22"/>
        <v>572.697998</v>
      </c>
      <c r="AY36" s="14">
        <f t="shared" si="23"/>
        <v>62.43999862</v>
      </c>
      <c r="AZ36" s="14">
        <f t="shared" si="24"/>
        <v>510.2579994</v>
      </c>
      <c r="BA36" s="27"/>
    </row>
    <row r="37">
      <c r="A37" s="2" t="s">
        <v>79</v>
      </c>
      <c r="B37" s="2">
        <v>2020.0</v>
      </c>
      <c r="C37" s="2">
        <v>287.3710022</v>
      </c>
      <c r="D37" s="2">
        <v>31.19099998</v>
      </c>
      <c r="E37" s="2">
        <v>98.51445042</v>
      </c>
      <c r="F37" s="2">
        <v>0.2676005761</v>
      </c>
      <c r="G37" s="2">
        <v>1.217949005</v>
      </c>
      <c r="H37" s="2">
        <v>0.0</v>
      </c>
      <c r="I37" s="2" t="s">
        <v>64</v>
      </c>
      <c r="J37" s="2" t="s">
        <v>64</v>
      </c>
      <c r="K37" s="2" t="s">
        <v>64</v>
      </c>
      <c r="L37" s="2" t="s">
        <v>64</v>
      </c>
      <c r="M37" s="2" t="s">
        <v>64</v>
      </c>
      <c r="N37" s="2" t="s">
        <v>64</v>
      </c>
      <c r="O37" s="2" t="s">
        <v>64</v>
      </c>
      <c r="P37" s="2" t="s">
        <v>64</v>
      </c>
      <c r="Q37" s="13" t="str">
        <f t="shared" si="1"/>
        <v>Barbados|2020</v>
      </c>
      <c r="R37" s="14" t="str">
        <f t="shared" si="2"/>
        <v> </v>
      </c>
      <c r="T37" s="14" t="b">
        <f t="shared" si="3"/>
        <v>0</v>
      </c>
      <c r="U37" s="14" t="b">
        <f t="shared" si="29"/>
        <v>0</v>
      </c>
      <c r="V37" s="14" t="b">
        <f t="shared" si="4"/>
        <v>0</v>
      </c>
      <c r="W37" s="14">
        <f t="shared" si="5"/>
        <v>99</v>
      </c>
      <c r="X37" s="14" t="b">
        <f t="shared" si="6"/>
        <v>0</v>
      </c>
      <c r="Y37" s="14" t="b">
        <f t="shared" si="7"/>
        <v>0</v>
      </c>
      <c r="Z37" s="14" t="str">
        <f t="shared" si="8"/>
        <v/>
      </c>
      <c r="AA37" s="14" t="str">
        <f t="shared" si="9"/>
        <v/>
      </c>
      <c r="AB37" s="14" t="str">
        <f t="shared" si="10"/>
        <v/>
      </c>
      <c r="AC37" s="14">
        <f t="shared" si="11"/>
        <v>0</v>
      </c>
      <c r="AE37" s="15" t="s">
        <v>97</v>
      </c>
      <c r="AF37" s="16" t="s">
        <v>63</v>
      </c>
      <c r="AH37" s="17" t="str">
        <f t="shared" si="12"/>
        <v>Sub-Saharan Africa</v>
      </c>
      <c r="AI37" s="21"/>
      <c r="AJ37" s="21"/>
      <c r="AK37" s="15">
        <f t="shared" si="13"/>
        <v>0.349285612</v>
      </c>
      <c r="AL37" s="24"/>
      <c r="AM37" s="21"/>
      <c r="AN37" s="21"/>
      <c r="AO37" s="15">
        <f t="shared" si="16"/>
        <v>0.304382382</v>
      </c>
      <c r="AP37" s="24"/>
      <c r="AQ37" s="21"/>
      <c r="AR37" s="21"/>
      <c r="AS37" s="15">
        <f t="shared" si="19"/>
        <v>-0.03466461</v>
      </c>
      <c r="AT37" s="24"/>
      <c r="AU37" s="21"/>
      <c r="AX37" s="14" t="str">
        <f t="shared" si="22"/>
        <v>null</v>
      </c>
      <c r="AY37" s="14" t="str">
        <f t="shared" si="23"/>
        <v>null</v>
      </c>
      <c r="AZ37" s="14" t="str">
        <f t="shared" si="24"/>
        <v>null</v>
      </c>
      <c r="BA37" s="27"/>
    </row>
    <row r="38">
      <c r="A38" s="2" t="s">
        <v>80</v>
      </c>
      <c r="B38" s="2">
        <v>2015.0</v>
      </c>
      <c r="C38" s="2">
        <v>9439.423828</v>
      </c>
      <c r="D38" s="2">
        <v>77.18099976</v>
      </c>
      <c r="E38" s="2">
        <v>96.47706709</v>
      </c>
      <c r="F38" s="2">
        <v>3.300130108</v>
      </c>
      <c r="G38" s="2">
        <v>0.2228027995</v>
      </c>
      <c r="H38" s="2">
        <v>0.0</v>
      </c>
      <c r="I38" s="2">
        <v>98.3306716</v>
      </c>
      <c r="J38" s="2">
        <v>0.9932391071</v>
      </c>
      <c r="K38" s="2">
        <v>0.6760892895</v>
      </c>
      <c r="L38" s="2">
        <v>0.0</v>
      </c>
      <c r="M38" s="2">
        <v>95.92903518</v>
      </c>
      <c r="N38" s="2">
        <v>3.982175393</v>
      </c>
      <c r="O38" s="2">
        <v>0.08878942383</v>
      </c>
      <c r="P38" s="2">
        <v>0.0</v>
      </c>
      <c r="Q38" s="13" t="str">
        <f t="shared" si="1"/>
        <v>Belarus|2015</v>
      </c>
      <c r="R38" s="14">
        <f t="shared" si="2"/>
        <v>5</v>
      </c>
      <c r="T38" s="14">
        <f t="shared" si="3"/>
        <v>0.011531798</v>
      </c>
      <c r="U38" s="14">
        <f t="shared" si="29"/>
        <v>0.046690142</v>
      </c>
      <c r="V38" s="14">
        <f t="shared" si="4"/>
        <v>0.016367688</v>
      </c>
      <c r="W38" s="14">
        <f t="shared" si="5"/>
        <v>96</v>
      </c>
      <c r="X38" s="14">
        <f t="shared" si="6"/>
        <v>98</v>
      </c>
      <c r="Y38" s="14">
        <f t="shared" si="7"/>
        <v>96</v>
      </c>
      <c r="Z38" s="14" t="str">
        <f t="shared" si="8"/>
        <v/>
      </c>
      <c r="AA38" s="14" t="str">
        <f t="shared" si="9"/>
        <v/>
      </c>
      <c r="AB38" s="14" t="str">
        <f t="shared" si="10"/>
        <v>Fully Accessible</v>
      </c>
      <c r="AC38" s="14">
        <f t="shared" si="11"/>
        <v>0.030322454</v>
      </c>
      <c r="AE38" s="15" t="s">
        <v>98</v>
      </c>
      <c r="AF38" s="16" t="s">
        <v>61</v>
      </c>
      <c r="AH38" s="17" t="str">
        <f t="shared" si="12"/>
        <v>North America</v>
      </c>
      <c r="AI38" s="21"/>
      <c r="AJ38" s="21"/>
      <c r="AK38" s="15">
        <f t="shared" si="13"/>
        <v>-0.001482146</v>
      </c>
      <c r="AL38" s="24"/>
      <c r="AM38" s="21"/>
      <c r="AN38" s="21"/>
      <c r="AO38" s="15">
        <f t="shared" si="16"/>
        <v>0.048860164</v>
      </c>
      <c r="AP38" s="24"/>
      <c r="AQ38" s="21"/>
      <c r="AR38" s="21"/>
      <c r="AS38" s="15">
        <f t="shared" si="19"/>
        <v>-0.013240238</v>
      </c>
      <c r="AT38" s="24"/>
      <c r="AU38" s="21"/>
      <c r="AX38" s="14">
        <f t="shared" si="22"/>
        <v>18888.74512</v>
      </c>
      <c r="AY38" s="14">
        <f t="shared" si="23"/>
        <v>156.6640015</v>
      </c>
      <c r="AZ38" s="14">
        <f t="shared" si="24"/>
        <v>18732.08112</v>
      </c>
      <c r="BA38" s="17"/>
    </row>
    <row r="39">
      <c r="A39" s="2" t="s">
        <v>80</v>
      </c>
      <c r="B39" s="2">
        <v>2020.0</v>
      </c>
      <c r="C39" s="2">
        <v>9449.321289</v>
      </c>
      <c r="D39" s="2">
        <v>79.48300171</v>
      </c>
      <c r="E39" s="2">
        <v>96.53472608</v>
      </c>
      <c r="F39" s="2">
        <v>3.37211955</v>
      </c>
      <c r="G39" s="2">
        <v>0.09315436837</v>
      </c>
      <c r="H39" s="2">
        <v>0.0</v>
      </c>
      <c r="I39" s="2">
        <v>98.56412231</v>
      </c>
      <c r="J39" s="2">
        <v>0.9955971951</v>
      </c>
      <c r="K39" s="2">
        <v>0.4402804931</v>
      </c>
      <c r="L39" s="2">
        <v>0.0</v>
      </c>
      <c r="M39" s="2">
        <v>96.01087362</v>
      </c>
      <c r="N39" s="2">
        <v>3.985572644</v>
      </c>
      <c r="O39" s="2">
        <v>0.003553731977</v>
      </c>
      <c r="P39" s="2">
        <v>0.0</v>
      </c>
      <c r="Q39" s="13" t="str">
        <f t="shared" si="1"/>
        <v>Belarus|2020</v>
      </c>
      <c r="R39" s="14" t="str">
        <f t="shared" si="2"/>
        <v> </v>
      </c>
      <c r="T39" s="14" t="b">
        <f t="shared" si="3"/>
        <v>0</v>
      </c>
      <c r="U39" s="14" t="b">
        <f t="shared" si="29"/>
        <v>0</v>
      </c>
      <c r="V39" s="14" t="b">
        <f t="shared" si="4"/>
        <v>0</v>
      </c>
      <c r="W39" s="14">
        <f t="shared" si="5"/>
        <v>97</v>
      </c>
      <c r="X39" s="14">
        <f t="shared" si="6"/>
        <v>99</v>
      </c>
      <c r="Y39" s="14">
        <f t="shared" si="7"/>
        <v>96</v>
      </c>
      <c r="Z39" s="14" t="str">
        <f t="shared" si="8"/>
        <v/>
      </c>
      <c r="AA39" s="14" t="str">
        <f t="shared" si="9"/>
        <v/>
      </c>
      <c r="AB39" s="14" t="str">
        <f t="shared" si="10"/>
        <v/>
      </c>
      <c r="AC39" s="14">
        <f t="shared" si="11"/>
        <v>0</v>
      </c>
      <c r="AE39" s="15" t="s">
        <v>99</v>
      </c>
      <c r="AF39" s="16" t="s">
        <v>57</v>
      </c>
      <c r="AH39" s="17" t="str">
        <f t="shared" si="12"/>
        <v>Latin America &amp; Caribbean</v>
      </c>
      <c r="AI39" s="21"/>
      <c r="AJ39" s="21"/>
      <c r="AK39" s="15">
        <f t="shared" si="13"/>
        <v>0</v>
      </c>
      <c r="AL39" s="24"/>
      <c r="AM39" s="21"/>
      <c r="AN39" s="21"/>
      <c r="AO39" s="15">
        <f t="shared" si="16"/>
        <v>0</v>
      </c>
      <c r="AP39" s="24"/>
      <c r="AQ39" s="21"/>
      <c r="AR39" s="21"/>
      <c r="AS39" s="15">
        <f t="shared" si="19"/>
        <v>0</v>
      </c>
      <c r="AT39" s="24"/>
      <c r="AU39" s="21"/>
      <c r="AX39" s="14" t="str">
        <f t="shared" si="22"/>
        <v>null</v>
      </c>
      <c r="AY39" s="14" t="str">
        <f t="shared" si="23"/>
        <v>null</v>
      </c>
      <c r="AZ39" s="14" t="str">
        <f t="shared" si="24"/>
        <v>null</v>
      </c>
      <c r="BA39" s="17"/>
    </row>
    <row r="40">
      <c r="A40" s="2" t="s">
        <v>81</v>
      </c>
      <c r="B40" s="2">
        <v>2015.0</v>
      </c>
      <c r="C40" s="2">
        <v>11287.93066</v>
      </c>
      <c r="D40" s="2">
        <v>97.87599945</v>
      </c>
      <c r="E40" s="2">
        <v>99.9999977</v>
      </c>
      <c r="F40" s="2">
        <v>0.0</v>
      </c>
      <c r="G40" s="2">
        <v>2.298024512E-6</v>
      </c>
      <c r="H40" s="2">
        <v>0.0</v>
      </c>
      <c r="I40" s="2">
        <v>100.0</v>
      </c>
      <c r="J40" s="2">
        <v>0.0</v>
      </c>
      <c r="K40" s="2">
        <v>0.0</v>
      </c>
      <c r="L40" s="2">
        <v>0.0</v>
      </c>
      <c r="M40" s="2">
        <v>100.0</v>
      </c>
      <c r="N40" s="2">
        <v>0.0</v>
      </c>
      <c r="O40" s="2">
        <v>0.0</v>
      </c>
      <c r="P40" s="2">
        <v>0.0</v>
      </c>
      <c r="Q40" s="13" t="str">
        <f t="shared" si="1"/>
        <v>Belgium|2015</v>
      </c>
      <c r="R40" s="14">
        <f t="shared" si="2"/>
        <v>5</v>
      </c>
      <c r="T40" s="14">
        <f t="shared" si="3"/>
        <v>-0.0000002499999994</v>
      </c>
      <c r="U40" s="14">
        <f t="shared" si="29"/>
        <v>0</v>
      </c>
      <c r="V40" s="14">
        <f t="shared" si="4"/>
        <v>0</v>
      </c>
      <c r="W40" s="14">
        <f t="shared" si="5"/>
        <v>100</v>
      </c>
      <c r="X40" s="14">
        <f t="shared" si="6"/>
        <v>100</v>
      </c>
      <c r="Y40" s="14">
        <f t="shared" si="7"/>
        <v>100</v>
      </c>
      <c r="Z40" s="14" t="str">
        <f t="shared" si="8"/>
        <v/>
      </c>
      <c r="AA40" s="14" t="str">
        <f t="shared" si="9"/>
        <v/>
      </c>
      <c r="AB40" s="14" t="str">
        <f t="shared" si="10"/>
        <v>Fully Accessible</v>
      </c>
      <c r="AC40" s="14">
        <f t="shared" si="11"/>
        <v>0</v>
      </c>
      <c r="AE40" s="15" t="s">
        <v>100</v>
      </c>
      <c r="AF40" s="16" t="s">
        <v>63</v>
      </c>
      <c r="AH40" s="17" t="str">
        <f t="shared" si="12"/>
        <v>Sub-Saharan Africa</v>
      </c>
      <c r="AI40" s="21"/>
      <c r="AJ40" s="21"/>
      <c r="AK40" s="15">
        <f t="shared" si="13"/>
        <v>-1.021788674</v>
      </c>
      <c r="AL40" s="24"/>
      <c r="AM40" s="21"/>
      <c r="AN40" s="21"/>
      <c r="AO40" s="15">
        <f t="shared" si="16"/>
        <v>-0.756962728</v>
      </c>
      <c r="AP40" s="24"/>
      <c r="AQ40" s="21"/>
      <c r="AR40" s="21"/>
      <c r="AS40" s="15">
        <f t="shared" si="19"/>
        <v>-1.620086812</v>
      </c>
      <c r="AT40" s="24"/>
      <c r="AU40" s="21"/>
      <c r="AX40" s="14">
        <f t="shared" si="22"/>
        <v>22877.54687</v>
      </c>
      <c r="AY40" s="14">
        <f t="shared" si="23"/>
        <v>195.9549942</v>
      </c>
      <c r="AZ40" s="14">
        <f t="shared" si="24"/>
        <v>22681.59188</v>
      </c>
      <c r="BA40" s="17"/>
    </row>
    <row r="41">
      <c r="A41" s="2" t="s">
        <v>81</v>
      </c>
      <c r="B41" s="2">
        <v>2020.0</v>
      </c>
      <c r="C41" s="2">
        <v>11589.61621</v>
      </c>
      <c r="D41" s="2">
        <v>98.07899475</v>
      </c>
      <c r="E41" s="2">
        <v>99.99999645</v>
      </c>
      <c r="F41" s="2">
        <v>0.0</v>
      </c>
      <c r="G41" s="2">
        <v>3.554796791E-6</v>
      </c>
      <c r="H41" s="2">
        <v>0.0</v>
      </c>
      <c r="I41" s="2">
        <v>100.0</v>
      </c>
      <c r="J41" s="2">
        <v>0.0</v>
      </c>
      <c r="K41" s="2">
        <v>0.0</v>
      </c>
      <c r="L41" s="2">
        <v>0.0</v>
      </c>
      <c r="M41" s="2">
        <v>100.0</v>
      </c>
      <c r="N41" s="2">
        <v>0.0</v>
      </c>
      <c r="O41" s="2">
        <v>0.0</v>
      </c>
      <c r="P41" s="2">
        <v>0.0</v>
      </c>
      <c r="Q41" s="13" t="str">
        <f t="shared" si="1"/>
        <v>Belgium|2020</v>
      </c>
      <c r="R41" s="14" t="str">
        <f t="shared" si="2"/>
        <v> </v>
      </c>
      <c r="T41" s="14" t="b">
        <f t="shared" si="3"/>
        <v>0</v>
      </c>
      <c r="U41" s="14" t="b">
        <f t="shared" si="29"/>
        <v>0</v>
      </c>
      <c r="V41" s="14" t="b">
        <f t="shared" si="4"/>
        <v>0</v>
      </c>
      <c r="W41" s="14">
        <f t="shared" si="5"/>
        <v>100</v>
      </c>
      <c r="X41" s="14">
        <f t="shared" si="6"/>
        <v>100</v>
      </c>
      <c r="Y41" s="14">
        <f t="shared" si="7"/>
        <v>100</v>
      </c>
      <c r="Z41" s="14" t="str">
        <f t="shared" si="8"/>
        <v/>
      </c>
      <c r="AA41" s="14" t="str">
        <f t="shared" si="9"/>
        <v/>
      </c>
      <c r="AB41" s="14" t="str">
        <f t="shared" si="10"/>
        <v/>
      </c>
      <c r="AC41" s="14">
        <f t="shared" si="11"/>
        <v>0</v>
      </c>
      <c r="AE41" s="15" t="s">
        <v>101</v>
      </c>
      <c r="AF41" s="16" t="s">
        <v>63</v>
      </c>
      <c r="AH41" s="17" t="str">
        <f t="shared" si="12"/>
        <v>Sub-Saharan Africa</v>
      </c>
      <c r="AI41" s="21"/>
      <c r="AJ41" s="21"/>
      <c r="AK41" s="15">
        <f t="shared" si="13"/>
        <v>0.357687564</v>
      </c>
      <c r="AL41" s="24"/>
      <c r="AM41" s="21"/>
      <c r="AN41" s="21"/>
      <c r="AO41" s="15">
        <f t="shared" si="16"/>
        <v>0.399262902</v>
      </c>
      <c r="AP41" s="24"/>
      <c r="AQ41" s="21"/>
      <c r="AR41" s="21"/>
      <c r="AS41" s="15">
        <f t="shared" si="19"/>
        <v>-0.112285738</v>
      </c>
      <c r="AT41" s="24"/>
      <c r="AU41" s="21"/>
      <c r="AX41" s="14" t="str">
        <f t="shared" si="22"/>
        <v>null</v>
      </c>
      <c r="AY41" s="14" t="str">
        <f t="shared" si="23"/>
        <v>null</v>
      </c>
      <c r="AZ41" s="14" t="str">
        <f t="shared" si="24"/>
        <v>null</v>
      </c>
      <c r="BA41" s="8"/>
    </row>
    <row r="42">
      <c r="A42" s="2" t="s">
        <v>82</v>
      </c>
      <c r="B42" s="2">
        <v>2015.0</v>
      </c>
      <c r="C42" s="2">
        <v>360.9259949</v>
      </c>
      <c r="D42" s="2">
        <v>45.40599823</v>
      </c>
      <c r="E42" s="2">
        <v>97.17559498</v>
      </c>
      <c r="F42" s="2">
        <v>1.227940493</v>
      </c>
      <c r="G42" s="2">
        <v>1.568222535</v>
      </c>
      <c r="H42" s="2">
        <v>0.02824198817</v>
      </c>
      <c r="I42" s="2">
        <v>95.65383206</v>
      </c>
      <c r="J42" s="2">
        <v>1.421919005</v>
      </c>
      <c r="K42" s="2">
        <v>2.872517994</v>
      </c>
      <c r="L42" s="2">
        <v>0.05173093576</v>
      </c>
      <c r="M42" s="2">
        <v>99.00529</v>
      </c>
      <c r="N42" s="2">
        <v>0.99471</v>
      </c>
      <c r="O42" s="2">
        <v>0.0</v>
      </c>
      <c r="P42" s="2">
        <v>0.0</v>
      </c>
      <c r="Q42" s="13" t="str">
        <f t="shared" si="1"/>
        <v>Belize|2015</v>
      </c>
      <c r="R42" s="14">
        <f t="shared" si="2"/>
        <v>5</v>
      </c>
      <c r="T42" s="14">
        <f t="shared" si="3"/>
        <v>0.24527193</v>
      </c>
      <c r="U42" s="14">
        <f t="shared" si="29"/>
        <v>0.468275104</v>
      </c>
      <c r="V42" s="14">
        <f t="shared" si="4"/>
        <v>-0.025266</v>
      </c>
      <c r="W42" s="14">
        <f t="shared" si="5"/>
        <v>97</v>
      </c>
      <c r="X42" s="14">
        <f t="shared" si="6"/>
        <v>96</v>
      </c>
      <c r="Y42" s="14">
        <f t="shared" si="7"/>
        <v>99</v>
      </c>
      <c r="Z42" s="14" t="str">
        <f t="shared" si="8"/>
        <v/>
      </c>
      <c r="AA42" s="14" t="str">
        <f t="shared" si="9"/>
        <v/>
      </c>
      <c r="AB42" s="14" t="str">
        <f t="shared" si="10"/>
        <v>Fully Accessible</v>
      </c>
      <c r="AC42" s="14">
        <f t="shared" si="11"/>
        <v>0.493541104</v>
      </c>
      <c r="AE42" s="15" t="s">
        <v>102</v>
      </c>
      <c r="AF42" s="16" t="s">
        <v>53</v>
      </c>
      <c r="AH42" s="17" t="str">
        <f t="shared" si="12"/>
        <v>Europe &amp; Central Asia</v>
      </c>
      <c r="AI42" s="21"/>
      <c r="AJ42" s="21"/>
      <c r="AK42" s="15">
        <f t="shared" si="13"/>
        <v>0</v>
      </c>
      <c r="AL42" s="24"/>
      <c r="AM42" s="21"/>
      <c r="AN42" s="21"/>
      <c r="AO42" s="15">
        <f t="shared" si="16"/>
        <v>0</v>
      </c>
      <c r="AP42" s="24"/>
      <c r="AQ42" s="21"/>
      <c r="AR42" s="21"/>
      <c r="AS42" s="15">
        <f t="shared" si="19"/>
        <v>0</v>
      </c>
      <c r="AT42" s="24"/>
      <c r="AU42" s="21"/>
      <c r="AX42" s="14">
        <f t="shared" si="22"/>
        <v>758.5469971</v>
      </c>
      <c r="AY42" s="14">
        <f t="shared" si="23"/>
        <v>91.43099976</v>
      </c>
      <c r="AZ42" s="14">
        <f t="shared" si="24"/>
        <v>667.1159973</v>
      </c>
      <c r="BA42" s="27"/>
    </row>
    <row r="43">
      <c r="A43" s="2" t="s">
        <v>82</v>
      </c>
      <c r="B43" s="2">
        <v>2020.0</v>
      </c>
      <c r="C43" s="2">
        <v>397.6210022</v>
      </c>
      <c r="D43" s="2">
        <v>46.02500153</v>
      </c>
      <c r="E43" s="2">
        <v>98.40195463</v>
      </c>
      <c r="F43" s="2">
        <v>1.249110629</v>
      </c>
      <c r="G43" s="2">
        <v>0.3489347411</v>
      </c>
      <c r="H43" s="2">
        <v>0.0</v>
      </c>
      <c r="I43" s="2">
        <v>97.99520758</v>
      </c>
      <c r="J43" s="2">
        <v>1.358317682</v>
      </c>
      <c r="K43" s="2">
        <v>0.6464747393</v>
      </c>
      <c r="L43" s="2">
        <v>0.0</v>
      </c>
      <c r="M43" s="2">
        <v>98.87896</v>
      </c>
      <c r="N43" s="2">
        <v>1.12104</v>
      </c>
      <c r="O43" s="2">
        <v>0.0</v>
      </c>
      <c r="P43" s="2">
        <v>0.0</v>
      </c>
      <c r="Q43" s="13" t="str">
        <f t="shared" si="1"/>
        <v>Belize|2020</v>
      </c>
      <c r="R43" s="14" t="str">
        <f t="shared" si="2"/>
        <v> </v>
      </c>
      <c r="T43" s="14" t="b">
        <f t="shared" si="3"/>
        <v>0</v>
      </c>
      <c r="U43" s="14" t="b">
        <f t="shared" si="29"/>
        <v>0</v>
      </c>
      <c r="V43" s="14" t="b">
        <f t="shared" si="4"/>
        <v>0</v>
      </c>
      <c r="W43" s="14">
        <f t="shared" si="5"/>
        <v>98</v>
      </c>
      <c r="X43" s="14">
        <f t="shared" si="6"/>
        <v>98</v>
      </c>
      <c r="Y43" s="14">
        <f t="shared" si="7"/>
        <v>99</v>
      </c>
      <c r="Z43" s="14" t="str">
        <f t="shared" si="8"/>
        <v/>
      </c>
      <c r="AA43" s="14" t="str">
        <f t="shared" si="9"/>
        <v/>
      </c>
      <c r="AB43" s="14" t="str">
        <f t="shared" si="10"/>
        <v/>
      </c>
      <c r="AC43" s="14">
        <f t="shared" si="11"/>
        <v>0</v>
      </c>
      <c r="AE43" s="15" t="s">
        <v>103</v>
      </c>
      <c r="AF43" s="16" t="s">
        <v>57</v>
      </c>
      <c r="AH43" s="17" t="str">
        <f t="shared" si="12"/>
        <v>Latin America &amp; Caribbean</v>
      </c>
      <c r="AI43" s="21"/>
      <c r="AJ43" s="21"/>
      <c r="AK43" s="15">
        <f t="shared" si="13"/>
        <v>0.0987012</v>
      </c>
      <c r="AL43" s="24"/>
      <c r="AM43" s="21"/>
      <c r="AN43" s="21"/>
      <c r="AO43" s="15">
        <f t="shared" si="16"/>
        <v>0.5864603</v>
      </c>
      <c r="AP43" s="24"/>
      <c r="AQ43" s="21"/>
      <c r="AR43" s="21"/>
      <c r="AS43" s="15">
        <f t="shared" si="19"/>
        <v>0.028128604</v>
      </c>
      <c r="AT43" s="24"/>
      <c r="AU43" s="21"/>
      <c r="AX43" s="14" t="str">
        <f t="shared" si="22"/>
        <v>null</v>
      </c>
      <c r="AY43" s="14" t="str">
        <f t="shared" si="23"/>
        <v>null</v>
      </c>
      <c r="AZ43" s="14" t="str">
        <f t="shared" si="24"/>
        <v>null</v>
      </c>
      <c r="BA43" s="17"/>
    </row>
    <row r="44">
      <c r="A44" s="2" t="s">
        <v>83</v>
      </c>
      <c r="B44" s="2">
        <v>2015.0</v>
      </c>
      <c r="C44" s="2">
        <v>10575.96191</v>
      </c>
      <c r="D44" s="2">
        <v>45.69500351</v>
      </c>
      <c r="E44" s="2">
        <v>64.7868223</v>
      </c>
      <c r="F44" s="2">
        <v>8.715470654</v>
      </c>
      <c r="G44" s="2">
        <v>21.29846434</v>
      </c>
      <c r="H44" s="2">
        <v>5.199242713</v>
      </c>
      <c r="I44" s="2">
        <v>56.78435247</v>
      </c>
      <c r="J44" s="2">
        <v>11.70337067</v>
      </c>
      <c r="K44" s="2">
        <v>23.77497857</v>
      </c>
      <c r="L44" s="2">
        <v>7.737298286</v>
      </c>
      <c r="M44" s="2">
        <v>74.29714256</v>
      </c>
      <c r="N44" s="2">
        <v>5.164581154</v>
      </c>
      <c r="O44" s="2">
        <v>18.35531753</v>
      </c>
      <c r="P44" s="2">
        <v>2.182958756</v>
      </c>
      <c r="Q44" s="13" t="str">
        <f t="shared" si="1"/>
        <v>Benin|2015</v>
      </c>
      <c r="R44" s="14">
        <f t="shared" si="2"/>
        <v>5</v>
      </c>
      <c r="T44" s="14">
        <f t="shared" si="3"/>
        <v>0.125460138</v>
      </c>
      <c r="U44" s="14">
        <f t="shared" si="29"/>
        <v>0.253583104</v>
      </c>
      <c r="V44" s="14">
        <f t="shared" si="4"/>
        <v>-0.207828504</v>
      </c>
      <c r="W44" s="14">
        <f t="shared" si="5"/>
        <v>65</v>
      </c>
      <c r="X44" s="14">
        <f t="shared" si="6"/>
        <v>57</v>
      </c>
      <c r="Y44" s="14">
        <f t="shared" si="7"/>
        <v>74</v>
      </c>
      <c r="Z44" s="14" t="str">
        <f t="shared" si="8"/>
        <v/>
      </c>
      <c r="AA44" s="14" t="str">
        <f t="shared" si="9"/>
        <v/>
      </c>
      <c r="AB44" s="14" t="str">
        <f t="shared" si="10"/>
        <v>Fully Accessible</v>
      </c>
      <c r="AC44" s="14">
        <f t="shared" si="11"/>
        <v>0.461411608</v>
      </c>
      <c r="AE44" s="15" t="s">
        <v>104</v>
      </c>
      <c r="AF44" s="16" t="s">
        <v>51</v>
      </c>
      <c r="AH44" s="17" t="str">
        <f t="shared" si="12"/>
        <v>East Asia &amp; Pacific</v>
      </c>
      <c r="AI44" s="21"/>
      <c r="AJ44" s="21"/>
      <c r="AK44" s="15">
        <f t="shared" si="13"/>
        <v>0.499693872</v>
      </c>
      <c r="AL44" s="24"/>
      <c r="AM44" s="21"/>
      <c r="AN44" s="21"/>
      <c r="AO44" s="15">
        <f t="shared" si="16"/>
        <v>1.036409118</v>
      </c>
      <c r="AP44" s="24"/>
      <c r="AQ44" s="21"/>
      <c r="AR44" s="21"/>
      <c r="AS44" s="15">
        <f t="shared" si="19"/>
        <v>-0.08095426</v>
      </c>
      <c r="AT44" s="24"/>
      <c r="AU44" s="21"/>
      <c r="AX44" s="14">
        <f t="shared" si="22"/>
        <v>22699.16015</v>
      </c>
      <c r="AY44" s="14">
        <f t="shared" si="23"/>
        <v>94.11000061</v>
      </c>
      <c r="AZ44" s="14">
        <f t="shared" si="24"/>
        <v>22605.05015</v>
      </c>
      <c r="BA44" s="27"/>
    </row>
    <row r="45">
      <c r="A45" s="2" t="s">
        <v>83</v>
      </c>
      <c r="B45" s="2">
        <v>2020.0</v>
      </c>
      <c r="C45" s="2">
        <v>12123.19824</v>
      </c>
      <c r="D45" s="2">
        <v>48.4149971</v>
      </c>
      <c r="E45" s="2">
        <v>65.41412299</v>
      </c>
      <c r="F45" s="2">
        <v>9.317535586</v>
      </c>
      <c r="G45" s="2">
        <v>21.97254088</v>
      </c>
      <c r="H45" s="2">
        <v>3.295800547</v>
      </c>
      <c r="I45" s="2">
        <v>58.05226799</v>
      </c>
      <c r="J45" s="2">
        <v>12.70520504</v>
      </c>
      <c r="K45" s="2">
        <v>23.97796833</v>
      </c>
      <c r="L45" s="2">
        <v>5.264558634</v>
      </c>
      <c r="M45" s="2">
        <v>73.25800004</v>
      </c>
      <c r="N45" s="2">
        <v>5.708056353</v>
      </c>
      <c r="O45" s="2">
        <v>19.83580681</v>
      </c>
      <c r="P45" s="2">
        <v>1.198136794</v>
      </c>
      <c r="Q45" s="13" t="str">
        <f t="shared" si="1"/>
        <v>Benin|2020</v>
      </c>
      <c r="R45" s="14" t="str">
        <f t="shared" si="2"/>
        <v> </v>
      </c>
      <c r="T45" s="14" t="b">
        <f t="shared" si="3"/>
        <v>0</v>
      </c>
      <c r="U45" s="14" t="b">
        <f t="shared" si="29"/>
        <v>0</v>
      </c>
      <c r="V45" s="14" t="b">
        <f t="shared" si="4"/>
        <v>0</v>
      </c>
      <c r="W45" s="14">
        <f t="shared" si="5"/>
        <v>65</v>
      </c>
      <c r="X45" s="14">
        <f t="shared" si="6"/>
        <v>58</v>
      </c>
      <c r="Y45" s="14">
        <f t="shared" si="7"/>
        <v>73</v>
      </c>
      <c r="Z45" s="14" t="str">
        <f t="shared" si="8"/>
        <v/>
      </c>
      <c r="AA45" s="14" t="str">
        <f t="shared" si="9"/>
        <v/>
      </c>
      <c r="AB45" s="14" t="str">
        <f t="shared" si="10"/>
        <v/>
      </c>
      <c r="AC45" s="14">
        <f t="shared" si="11"/>
        <v>0</v>
      </c>
      <c r="AE45" s="15" t="s">
        <v>105</v>
      </c>
      <c r="AF45" s="16" t="s">
        <v>51</v>
      </c>
      <c r="AH45" s="17" t="str">
        <f t="shared" si="12"/>
        <v>East Asia &amp; Pacific</v>
      </c>
      <c r="AI45" s="21"/>
      <c r="AJ45" s="21"/>
      <c r="AK45" s="15">
        <f t="shared" si="13"/>
        <v>0</v>
      </c>
      <c r="AL45" s="24"/>
      <c r="AM45" s="21"/>
      <c r="AN45" s="21"/>
      <c r="AO45" s="15">
        <f t="shared" si="16"/>
        <v>0</v>
      </c>
      <c r="AP45" s="24"/>
      <c r="AQ45" s="21"/>
      <c r="AR45" s="21"/>
      <c r="AS45" s="15">
        <f t="shared" si="19"/>
        <v>0</v>
      </c>
      <c r="AT45" s="24"/>
      <c r="AU45" s="21"/>
      <c r="AX45" s="14" t="str">
        <f t="shared" si="22"/>
        <v>null</v>
      </c>
      <c r="AY45" s="14" t="str">
        <f t="shared" si="23"/>
        <v>null</v>
      </c>
      <c r="AZ45" s="14" t="str">
        <f t="shared" si="24"/>
        <v>null</v>
      </c>
      <c r="BA45" s="27"/>
    </row>
    <row r="46">
      <c r="A46" s="2" t="s">
        <v>84</v>
      </c>
      <c r="B46" s="2">
        <v>2015.0</v>
      </c>
      <c r="C46" s="2">
        <v>63.69499969</v>
      </c>
      <c r="D46" s="2">
        <v>100.0</v>
      </c>
      <c r="E46" s="2">
        <v>99.90314002</v>
      </c>
      <c r="F46" s="2">
        <v>0.0</v>
      </c>
      <c r="G46" s="2">
        <v>0.09685998294</v>
      </c>
      <c r="H46" s="2">
        <v>0.0</v>
      </c>
      <c r="I46" s="2" t="s">
        <v>64</v>
      </c>
      <c r="J46" s="2" t="s">
        <v>64</v>
      </c>
      <c r="K46" s="2" t="s">
        <v>64</v>
      </c>
      <c r="L46" s="2" t="s">
        <v>64</v>
      </c>
      <c r="M46" s="2">
        <v>99.90314002</v>
      </c>
      <c r="N46" s="2">
        <v>0.0</v>
      </c>
      <c r="O46" s="2">
        <v>0.09685998294</v>
      </c>
      <c r="P46" s="2">
        <v>0.0</v>
      </c>
      <c r="Q46" s="13" t="str">
        <f t="shared" si="1"/>
        <v>Bermuda|2015</v>
      </c>
      <c r="R46" s="14">
        <f t="shared" si="2"/>
        <v>5</v>
      </c>
      <c r="T46" s="14">
        <f t="shared" si="3"/>
        <v>0</v>
      </c>
      <c r="U46" s="14" t="str">
        <f t="shared" si="29"/>
        <v>null</v>
      </c>
      <c r="V46" s="14">
        <f t="shared" si="4"/>
        <v>0</v>
      </c>
      <c r="W46" s="14">
        <f t="shared" si="5"/>
        <v>100</v>
      </c>
      <c r="X46" s="14" t="b">
        <f t="shared" si="6"/>
        <v>0</v>
      </c>
      <c r="Y46" s="14">
        <f t="shared" si="7"/>
        <v>100</v>
      </c>
      <c r="Z46" s="14" t="str">
        <f t="shared" si="8"/>
        <v/>
      </c>
      <c r="AA46" s="14" t="str">
        <f t="shared" si="9"/>
        <v>Fully Accessible</v>
      </c>
      <c r="AB46" s="14" t="str">
        <f t="shared" si="10"/>
        <v>Fully Accessible</v>
      </c>
      <c r="AC46" s="14" t="b">
        <f t="shared" si="11"/>
        <v>0</v>
      </c>
      <c r="AE46" s="15" t="s">
        <v>106</v>
      </c>
      <c r="AF46" s="16" t="s">
        <v>51</v>
      </c>
      <c r="AH46" s="17" t="str">
        <f t="shared" si="12"/>
        <v>East Asia &amp; Pacific</v>
      </c>
      <c r="AI46" s="21"/>
      <c r="AJ46" s="21"/>
      <c r="AK46" s="15">
        <f t="shared" si="13"/>
        <v>0</v>
      </c>
      <c r="AL46" s="24"/>
      <c r="AM46" s="21"/>
      <c r="AN46" s="21"/>
      <c r="AO46" s="15">
        <f t="shared" si="16"/>
        <v>0</v>
      </c>
      <c r="AP46" s="24"/>
      <c r="AQ46" s="21"/>
      <c r="AR46" s="21"/>
      <c r="AS46" s="15">
        <f t="shared" si="19"/>
        <v>0</v>
      </c>
      <c r="AT46" s="24"/>
      <c r="AU46" s="21"/>
      <c r="AX46" s="14">
        <f t="shared" si="22"/>
        <v>125.9679985</v>
      </c>
      <c r="AY46" s="14">
        <f t="shared" si="23"/>
        <v>200</v>
      </c>
      <c r="AZ46" s="14">
        <f t="shared" si="24"/>
        <v>-74.0320015</v>
      </c>
      <c r="BA46" s="17"/>
    </row>
    <row r="47">
      <c r="A47" s="2" t="s">
        <v>84</v>
      </c>
      <c r="B47" s="2">
        <v>2020.0</v>
      </c>
      <c r="C47" s="2">
        <v>62.27299881</v>
      </c>
      <c r="D47" s="2">
        <v>100.0</v>
      </c>
      <c r="E47" s="2">
        <v>99.90314002</v>
      </c>
      <c r="F47" s="2">
        <v>0.0</v>
      </c>
      <c r="G47" s="2">
        <v>0.09685998294</v>
      </c>
      <c r="H47" s="2">
        <v>0.0</v>
      </c>
      <c r="I47" s="2" t="s">
        <v>64</v>
      </c>
      <c r="J47" s="2" t="s">
        <v>64</v>
      </c>
      <c r="K47" s="2" t="s">
        <v>64</v>
      </c>
      <c r="L47" s="2" t="s">
        <v>64</v>
      </c>
      <c r="M47" s="2">
        <v>99.90314002</v>
      </c>
      <c r="N47" s="2">
        <v>0.0</v>
      </c>
      <c r="O47" s="2">
        <v>0.09685998294</v>
      </c>
      <c r="P47" s="2">
        <v>0.0</v>
      </c>
      <c r="Q47" s="13" t="str">
        <f t="shared" si="1"/>
        <v>Bermuda|2020</v>
      </c>
      <c r="R47" s="14" t="str">
        <f t="shared" si="2"/>
        <v> </v>
      </c>
      <c r="T47" s="14" t="b">
        <f t="shared" si="3"/>
        <v>0</v>
      </c>
      <c r="U47" s="14" t="b">
        <f t="shared" si="29"/>
        <v>0</v>
      </c>
      <c r="V47" s="14" t="b">
        <f t="shared" si="4"/>
        <v>0</v>
      </c>
      <c r="W47" s="14">
        <f t="shared" si="5"/>
        <v>100</v>
      </c>
      <c r="X47" s="14" t="b">
        <f t="shared" si="6"/>
        <v>0</v>
      </c>
      <c r="Y47" s="14">
        <f t="shared" si="7"/>
        <v>100</v>
      </c>
      <c r="Z47" s="14" t="str">
        <f t="shared" si="8"/>
        <v/>
      </c>
      <c r="AA47" s="14" t="str">
        <f t="shared" si="9"/>
        <v/>
      </c>
      <c r="AB47" s="14" t="str">
        <f t="shared" si="10"/>
        <v/>
      </c>
      <c r="AC47" s="14">
        <f t="shared" si="11"/>
        <v>0</v>
      </c>
      <c r="AE47" s="15" t="s">
        <v>107</v>
      </c>
      <c r="AF47" s="16" t="s">
        <v>57</v>
      </c>
      <c r="AH47" s="17" t="str">
        <f t="shared" si="12"/>
        <v>Latin America &amp; Caribbean</v>
      </c>
      <c r="AI47" s="21"/>
      <c r="AJ47" s="21"/>
      <c r="AK47" s="15">
        <f t="shared" si="13"/>
        <v>0.231157798</v>
      </c>
      <c r="AL47" s="24"/>
      <c r="AM47" s="21"/>
      <c r="AN47" s="21"/>
      <c r="AO47" s="15">
        <f t="shared" si="16"/>
        <v>0.698669394</v>
      </c>
      <c r="AP47" s="24"/>
      <c r="AQ47" s="21"/>
      <c r="AR47" s="21"/>
      <c r="AS47" s="15">
        <f t="shared" si="19"/>
        <v>0.057696086</v>
      </c>
      <c r="AT47" s="24"/>
      <c r="AU47" s="21"/>
      <c r="AX47" s="14" t="str">
        <f t="shared" si="22"/>
        <v>null</v>
      </c>
      <c r="AY47" s="14" t="str">
        <f t="shared" si="23"/>
        <v>null</v>
      </c>
      <c r="AZ47" s="14" t="str">
        <f t="shared" si="24"/>
        <v>null</v>
      </c>
      <c r="BA47" s="17"/>
    </row>
    <row r="48">
      <c r="A48" s="2" t="s">
        <v>85</v>
      </c>
      <c r="B48" s="2">
        <v>2015.0</v>
      </c>
      <c r="C48" s="2">
        <v>727.8850098</v>
      </c>
      <c r="D48" s="2">
        <v>38.6780014</v>
      </c>
      <c r="E48" s="2">
        <v>96.22142259</v>
      </c>
      <c r="F48" s="2">
        <v>2.496596292</v>
      </c>
      <c r="G48" s="2">
        <v>0.2961873751</v>
      </c>
      <c r="H48" s="2">
        <v>0.9857937377</v>
      </c>
      <c r="I48" s="2">
        <v>95.16436295</v>
      </c>
      <c r="J48" s="2">
        <v>3.215858941</v>
      </c>
      <c r="K48" s="2">
        <v>0.1935987005</v>
      </c>
      <c r="L48" s="2">
        <v>1.426179411</v>
      </c>
      <c r="M48" s="2">
        <v>97.89733678</v>
      </c>
      <c r="N48" s="2">
        <v>1.356242032</v>
      </c>
      <c r="O48" s="2">
        <v>0.4588364885</v>
      </c>
      <c r="P48" s="2">
        <v>0.2875847035</v>
      </c>
      <c r="Q48" s="13" t="str">
        <f t="shared" si="1"/>
        <v>Bhutan|2015</v>
      </c>
      <c r="R48" s="14">
        <f t="shared" si="2"/>
        <v>5</v>
      </c>
      <c r="T48" s="14">
        <f t="shared" si="3"/>
        <v>0.218360008</v>
      </c>
      <c r="U48" s="14">
        <f t="shared" si="29"/>
        <v>0.31336614</v>
      </c>
      <c r="V48" s="14">
        <f t="shared" si="4"/>
        <v>0.041858342</v>
      </c>
      <c r="W48" s="14">
        <f t="shared" si="5"/>
        <v>96</v>
      </c>
      <c r="X48" s="14">
        <f t="shared" si="6"/>
        <v>95</v>
      </c>
      <c r="Y48" s="14">
        <f t="shared" si="7"/>
        <v>98</v>
      </c>
      <c r="Z48" s="14" t="str">
        <f t="shared" si="8"/>
        <v/>
      </c>
      <c r="AA48" s="14" t="str">
        <f t="shared" si="9"/>
        <v/>
      </c>
      <c r="AB48" s="14" t="str">
        <f t="shared" si="10"/>
        <v>Fully Accessible</v>
      </c>
      <c r="AC48" s="14">
        <f t="shared" si="11"/>
        <v>0.271507798</v>
      </c>
      <c r="AE48" s="15" t="s">
        <v>108</v>
      </c>
      <c r="AF48" s="16" t="s">
        <v>63</v>
      </c>
      <c r="AH48" s="17" t="str">
        <f t="shared" si="12"/>
        <v>Sub-Saharan Africa</v>
      </c>
      <c r="AI48" s="21"/>
      <c r="AJ48" s="21"/>
      <c r="AK48" s="15">
        <f t="shared" si="13"/>
        <v>0.0196244325</v>
      </c>
      <c r="AL48" s="24"/>
      <c r="AM48" s="21"/>
      <c r="AN48" s="21"/>
      <c r="AO48" s="15">
        <f t="shared" si="16"/>
        <v>0</v>
      </c>
      <c r="AP48" s="24"/>
      <c r="AQ48" s="21"/>
      <c r="AR48" s="21"/>
      <c r="AS48" s="15">
        <f t="shared" si="19"/>
        <v>0</v>
      </c>
      <c r="AT48" s="24"/>
      <c r="AU48" s="21"/>
      <c r="AX48" s="14">
        <f t="shared" si="22"/>
        <v>1499.497009</v>
      </c>
      <c r="AY48" s="14">
        <f t="shared" si="23"/>
        <v>80.99399948</v>
      </c>
      <c r="AZ48" s="14">
        <f t="shared" si="24"/>
        <v>1418.50301</v>
      </c>
      <c r="BA48" s="17"/>
    </row>
    <row r="49">
      <c r="A49" s="2" t="s">
        <v>85</v>
      </c>
      <c r="B49" s="2">
        <v>2020.0</v>
      </c>
      <c r="C49" s="2">
        <v>771.6119995</v>
      </c>
      <c r="D49" s="2">
        <v>42.31599808</v>
      </c>
      <c r="E49" s="2">
        <v>97.31322263</v>
      </c>
      <c r="F49" s="2">
        <v>2.460712607</v>
      </c>
      <c r="G49" s="2">
        <v>0.1764242183</v>
      </c>
      <c r="H49" s="2">
        <v>0.04964054142</v>
      </c>
      <c r="I49" s="2">
        <v>96.73119365</v>
      </c>
      <c r="J49" s="2">
        <v>3.268806351</v>
      </c>
      <c r="K49" s="2">
        <v>0.0</v>
      </c>
      <c r="L49" s="2">
        <v>0.0</v>
      </c>
      <c r="M49" s="2">
        <v>98.10662849</v>
      </c>
      <c r="N49" s="2">
        <v>1.3591415</v>
      </c>
      <c r="O49" s="2">
        <v>0.4169208475</v>
      </c>
      <c r="P49" s="2">
        <v>0.1173091586</v>
      </c>
      <c r="Q49" s="13" t="str">
        <f t="shared" si="1"/>
        <v>Bhutan|2020</v>
      </c>
      <c r="R49" s="14" t="str">
        <f t="shared" si="2"/>
        <v> </v>
      </c>
      <c r="T49" s="14" t="b">
        <f t="shared" si="3"/>
        <v>0</v>
      </c>
      <c r="U49" s="14" t="b">
        <f t="shared" si="29"/>
        <v>0</v>
      </c>
      <c r="V49" s="14" t="b">
        <f t="shared" si="4"/>
        <v>0</v>
      </c>
      <c r="W49" s="14">
        <f t="shared" si="5"/>
        <v>97</v>
      </c>
      <c r="X49" s="14">
        <f t="shared" si="6"/>
        <v>97</v>
      </c>
      <c r="Y49" s="14">
        <f t="shared" si="7"/>
        <v>98</v>
      </c>
      <c r="Z49" s="14" t="str">
        <f t="shared" si="8"/>
        <v/>
      </c>
      <c r="AA49" s="14" t="str">
        <f t="shared" si="9"/>
        <v/>
      </c>
      <c r="AB49" s="14" t="str">
        <f t="shared" si="10"/>
        <v/>
      </c>
      <c r="AC49" s="14">
        <f t="shared" si="11"/>
        <v>0</v>
      </c>
      <c r="AE49" s="15" t="s">
        <v>109</v>
      </c>
      <c r="AF49" s="16" t="s">
        <v>63</v>
      </c>
      <c r="AH49" s="17" t="str">
        <f t="shared" si="12"/>
        <v>Sub-Saharan Africa</v>
      </c>
      <c r="AI49" s="21"/>
      <c r="AJ49" s="21"/>
      <c r="AK49" s="15">
        <f t="shared" si="13"/>
        <v>0.526985962</v>
      </c>
      <c r="AL49" s="24"/>
      <c r="AM49" s="21"/>
      <c r="AN49" s="21"/>
      <c r="AO49" s="15">
        <f t="shared" si="16"/>
        <v>0.866515448</v>
      </c>
      <c r="AP49" s="24"/>
      <c r="AQ49" s="21"/>
      <c r="AR49" s="21"/>
      <c r="AS49" s="15">
        <f t="shared" si="19"/>
        <v>0.0599182</v>
      </c>
      <c r="AT49" s="24"/>
      <c r="AU49" s="21"/>
      <c r="AX49" s="14" t="str">
        <f t="shared" si="22"/>
        <v>null</v>
      </c>
      <c r="AY49" s="14" t="str">
        <f t="shared" si="23"/>
        <v>null</v>
      </c>
      <c r="AZ49" s="14" t="str">
        <f t="shared" si="24"/>
        <v>null</v>
      </c>
      <c r="BA49" s="8"/>
    </row>
    <row r="50">
      <c r="A50" s="2" t="s">
        <v>86</v>
      </c>
      <c r="B50" s="2">
        <v>2015.0</v>
      </c>
      <c r="C50" s="2">
        <v>10869.73242</v>
      </c>
      <c r="D50" s="2">
        <v>68.39299774</v>
      </c>
      <c r="E50" s="2">
        <v>90.46214101</v>
      </c>
      <c r="F50" s="2">
        <v>0.1728983981</v>
      </c>
      <c r="G50" s="2">
        <v>2.832457169</v>
      </c>
      <c r="H50" s="2">
        <v>6.532503425</v>
      </c>
      <c r="I50" s="2">
        <v>73.7401802</v>
      </c>
      <c r="J50" s="2">
        <v>0.3399687838</v>
      </c>
      <c r="K50" s="2">
        <v>5.911800536</v>
      </c>
      <c r="L50" s="2">
        <v>20.00805048</v>
      </c>
      <c r="M50" s="2">
        <v>98.18999708</v>
      </c>
      <c r="N50" s="2">
        <v>0.0956888341</v>
      </c>
      <c r="O50" s="2">
        <v>1.40937247</v>
      </c>
      <c r="P50" s="2">
        <v>0.304941615</v>
      </c>
      <c r="Q50" s="13" t="str">
        <f t="shared" si="1"/>
        <v>Bolivia (Plurinational State of)|2015</v>
      </c>
      <c r="R50" s="14">
        <f t="shared" si="2"/>
        <v>5</v>
      </c>
      <c r="T50" s="14">
        <f t="shared" si="3"/>
        <v>0.585586124</v>
      </c>
      <c r="U50" s="14">
        <f t="shared" si="29"/>
        <v>1.239292526</v>
      </c>
      <c r="V50" s="14">
        <f t="shared" si="4"/>
        <v>0.186424248</v>
      </c>
      <c r="W50" s="14">
        <f t="shared" si="5"/>
        <v>90</v>
      </c>
      <c r="X50" s="14">
        <f t="shared" si="6"/>
        <v>74</v>
      </c>
      <c r="Y50" s="14">
        <f t="shared" si="7"/>
        <v>98</v>
      </c>
      <c r="Z50" s="14" t="str">
        <f t="shared" si="8"/>
        <v/>
      </c>
      <c r="AA50" s="14" t="str">
        <f t="shared" si="9"/>
        <v/>
      </c>
      <c r="AB50" s="14" t="str">
        <f t="shared" si="10"/>
        <v>Fully Accessible</v>
      </c>
      <c r="AC50" s="14">
        <f t="shared" si="11"/>
        <v>1.052868278</v>
      </c>
      <c r="AE50" s="15" t="s">
        <v>110</v>
      </c>
      <c r="AF50" s="16" t="s">
        <v>51</v>
      </c>
      <c r="AH50" s="17" t="str">
        <f t="shared" si="12"/>
        <v>East Asia &amp; Pacific</v>
      </c>
      <c r="AI50" s="21"/>
      <c r="AJ50" s="21"/>
      <c r="AK50" s="15">
        <f t="shared" si="13"/>
        <v>0.00358784</v>
      </c>
      <c r="AL50" s="24"/>
      <c r="AM50" s="21"/>
      <c r="AN50" s="21"/>
      <c r="AO50" s="15">
        <f t="shared" si="16"/>
        <v>0</v>
      </c>
      <c r="AP50" s="24"/>
      <c r="AQ50" s="21"/>
      <c r="AR50" s="21"/>
      <c r="AS50" s="15">
        <f t="shared" si="19"/>
        <v>0</v>
      </c>
      <c r="AT50" s="24"/>
      <c r="AU50" s="21"/>
      <c r="AX50" s="14">
        <f t="shared" si="22"/>
        <v>22542.76172</v>
      </c>
      <c r="AY50" s="14">
        <f t="shared" si="23"/>
        <v>138.5159988</v>
      </c>
      <c r="AZ50" s="14">
        <f t="shared" si="24"/>
        <v>22404.24572</v>
      </c>
      <c r="BA50" s="27"/>
    </row>
    <row r="51">
      <c r="A51" s="2" t="s">
        <v>86</v>
      </c>
      <c r="B51" s="2">
        <v>2020.0</v>
      </c>
      <c r="C51" s="2">
        <v>11673.0293</v>
      </c>
      <c r="D51" s="2">
        <v>70.1230011</v>
      </c>
      <c r="E51" s="2">
        <v>93.39007163</v>
      </c>
      <c r="F51" s="2">
        <v>0.1365905296</v>
      </c>
      <c r="G51" s="2">
        <v>1.575010843</v>
      </c>
      <c r="H51" s="2">
        <v>4.898326997</v>
      </c>
      <c r="I51" s="2">
        <v>79.93664283</v>
      </c>
      <c r="J51" s="2">
        <v>0.2447364082</v>
      </c>
      <c r="K51" s="2">
        <v>3.954133693</v>
      </c>
      <c r="L51" s="2">
        <v>15.86448707</v>
      </c>
      <c r="M51" s="2">
        <v>99.12211832</v>
      </c>
      <c r="N51" s="2">
        <v>0.09051328947</v>
      </c>
      <c r="O51" s="2">
        <v>0.5613453808</v>
      </c>
      <c r="P51" s="2">
        <v>0.2260230112</v>
      </c>
      <c r="Q51" s="13" t="str">
        <f t="shared" si="1"/>
        <v>Bolivia (Plurinational State of)|2020</v>
      </c>
      <c r="R51" s="14" t="str">
        <f t="shared" si="2"/>
        <v> </v>
      </c>
      <c r="T51" s="14" t="b">
        <f t="shared" si="3"/>
        <v>0</v>
      </c>
      <c r="U51" s="14" t="b">
        <f t="shared" si="29"/>
        <v>0</v>
      </c>
      <c r="V51" s="14" t="b">
        <f t="shared" si="4"/>
        <v>0</v>
      </c>
      <c r="W51" s="14">
        <f t="shared" si="5"/>
        <v>93</v>
      </c>
      <c r="X51" s="14">
        <f t="shared" si="6"/>
        <v>80</v>
      </c>
      <c r="Y51" s="14">
        <f t="shared" si="7"/>
        <v>99</v>
      </c>
      <c r="Z51" s="14" t="str">
        <f t="shared" si="8"/>
        <v/>
      </c>
      <c r="AA51" s="14" t="str">
        <f t="shared" si="9"/>
        <v/>
      </c>
      <c r="AB51" s="14" t="str">
        <f t="shared" si="10"/>
        <v/>
      </c>
      <c r="AC51" s="14">
        <f t="shared" si="11"/>
        <v>0</v>
      </c>
      <c r="AE51" s="15" t="s">
        <v>111</v>
      </c>
      <c r="AF51" s="16" t="s">
        <v>57</v>
      </c>
      <c r="AH51" s="17" t="str">
        <f t="shared" si="12"/>
        <v>Latin America &amp; Caribbean</v>
      </c>
      <c r="AI51" s="21"/>
      <c r="AJ51" s="21"/>
      <c r="AK51" s="15">
        <f t="shared" si="13"/>
        <v>0.086370022</v>
      </c>
      <c r="AL51" s="24"/>
      <c r="AM51" s="21"/>
      <c r="AN51" s="21"/>
      <c r="AO51" s="15">
        <f t="shared" si="16"/>
        <v>0.292043502</v>
      </c>
      <c r="AP51" s="24"/>
      <c r="AQ51" s="21"/>
      <c r="AR51" s="21"/>
      <c r="AS51" s="15">
        <f t="shared" si="19"/>
        <v>0.02238755</v>
      </c>
      <c r="AT51" s="24"/>
      <c r="AU51" s="21"/>
      <c r="AX51" s="14" t="str">
        <f t="shared" si="22"/>
        <v>null</v>
      </c>
      <c r="AY51" s="14" t="str">
        <f t="shared" si="23"/>
        <v>null</v>
      </c>
      <c r="AZ51" s="14" t="str">
        <f t="shared" si="24"/>
        <v>null</v>
      </c>
      <c r="BA51" s="17"/>
    </row>
    <row r="52">
      <c r="A52" s="2" t="s">
        <v>87</v>
      </c>
      <c r="B52" s="2">
        <v>2015.0</v>
      </c>
      <c r="C52" s="2">
        <v>3429.362061</v>
      </c>
      <c r="D52" s="2">
        <v>47.17299652</v>
      </c>
      <c r="E52" s="2">
        <v>96.15984418</v>
      </c>
      <c r="F52" s="2">
        <v>3.780069975</v>
      </c>
      <c r="G52" s="2">
        <v>0.06008584857</v>
      </c>
      <c r="H52" s="2">
        <v>0.0</v>
      </c>
      <c r="I52" s="2">
        <v>97.33333333</v>
      </c>
      <c r="J52" s="2">
        <v>2.666666667</v>
      </c>
      <c r="K52" s="2">
        <v>0.0</v>
      </c>
      <c r="L52" s="2">
        <v>0.0</v>
      </c>
      <c r="M52" s="2">
        <v>94.8457044</v>
      </c>
      <c r="N52" s="2">
        <v>5.026922206</v>
      </c>
      <c r="O52" s="2">
        <v>0.1273733928</v>
      </c>
      <c r="P52" s="2">
        <v>0.0</v>
      </c>
      <c r="Q52" s="13" t="str">
        <f t="shared" si="1"/>
        <v>Bosnia and Herzegovina|2015</v>
      </c>
      <c r="R52" s="14">
        <f t="shared" si="2"/>
        <v>5</v>
      </c>
      <c r="T52" s="14">
        <f t="shared" si="3"/>
        <v>-0.009189312</v>
      </c>
      <c r="U52" s="14">
        <f t="shared" si="29"/>
        <v>0</v>
      </c>
      <c r="V52" s="14">
        <f t="shared" si="4"/>
        <v>0</v>
      </c>
      <c r="W52" s="14">
        <f t="shared" si="5"/>
        <v>96</v>
      </c>
      <c r="X52" s="14">
        <f t="shared" si="6"/>
        <v>97</v>
      </c>
      <c r="Y52" s="14">
        <f t="shared" si="7"/>
        <v>95</v>
      </c>
      <c r="Z52" s="14" t="str">
        <f t="shared" si="8"/>
        <v/>
      </c>
      <c r="AA52" s="14" t="str">
        <f t="shared" si="9"/>
        <v/>
      </c>
      <c r="AB52" s="14" t="str">
        <f t="shared" si="10"/>
        <v>Fully Accessible</v>
      </c>
      <c r="AC52" s="14">
        <f t="shared" si="11"/>
        <v>0</v>
      </c>
      <c r="AE52" s="15" t="s">
        <v>112</v>
      </c>
      <c r="AF52" s="16" t="s">
        <v>63</v>
      </c>
      <c r="AH52" s="17" t="str">
        <f t="shared" si="12"/>
        <v>Sub-Saharan Africa</v>
      </c>
      <c r="AI52" s="21"/>
      <c r="AJ52" s="21"/>
      <c r="AK52" s="15">
        <f t="shared" si="13"/>
        <v>-0.033339302</v>
      </c>
      <c r="AL52" s="24"/>
      <c r="AM52" s="21"/>
      <c r="AN52" s="21"/>
      <c r="AO52" s="15">
        <f t="shared" si="16"/>
        <v>-0.024144972</v>
      </c>
      <c r="AP52" s="24"/>
      <c r="AQ52" s="21"/>
      <c r="AR52" s="21"/>
      <c r="AS52" s="15">
        <f t="shared" si="19"/>
        <v>-0.311478412</v>
      </c>
      <c r="AT52" s="24"/>
      <c r="AU52" s="21"/>
      <c r="AX52" s="14">
        <f t="shared" si="22"/>
        <v>6710.177002</v>
      </c>
      <c r="AY52" s="14">
        <f t="shared" si="23"/>
        <v>96.19299698</v>
      </c>
      <c r="AZ52" s="14">
        <f t="shared" si="24"/>
        <v>6613.984005</v>
      </c>
      <c r="BA52" s="27"/>
    </row>
    <row r="53">
      <c r="A53" s="2" t="s">
        <v>87</v>
      </c>
      <c r="B53" s="2">
        <v>2020.0</v>
      </c>
      <c r="C53" s="2">
        <v>3280.814941</v>
      </c>
      <c r="D53" s="2">
        <v>49.02000046</v>
      </c>
      <c r="E53" s="2">
        <v>96.11389762</v>
      </c>
      <c r="F53" s="2">
        <v>3.823663938</v>
      </c>
      <c r="G53" s="2">
        <v>0.06243843752</v>
      </c>
      <c r="H53" s="2">
        <v>0.0</v>
      </c>
      <c r="I53" s="2">
        <v>97.33333333</v>
      </c>
      <c r="J53" s="2">
        <v>2.666666667</v>
      </c>
      <c r="K53" s="2">
        <v>0.0</v>
      </c>
      <c r="L53" s="2">
        <v>0.0</v>
      </c>
      <c r="M53" s="2">
        <v>94.8457044</v>
      </c>
      <c r="N53" s="2">
        <v>5.026922206</v>
      </c>
      <c r="O53" s="2">
        <v>0.1273733928</v>
      </c>
      <c r="P53" s="2">
        <v>0.0</v>
      </c>
      <c r="Q53" s="13" t="str">
        <f t="shared" si="1"/>
        <v>Bosnia and Herzegovina|2020</v>
      </c>
      <c r="R53" s="14" t="str">
        <f t="shared" si="2"/>
        <v> </v>
      </c>
      <c r="T53" s="14" t="b">
        <f t="shared" si="3"/>
        <v>0</v>
      </c>
      <c r="U53" s="14" t="b">
        <f t="shared" si="29"/>
        <v>0</v>
      </c>
      <c r="V53" s="14" t="b">
        <f t="shared" si="4"/>
        <v>0</v>
      </c>
      <c r="W53" s="14">
        <f t="shared" si="5"/>
        <v>96</v>
      </c>
      <c r="X53" s="14">
        <f t="shared" si="6"/>
        <v>97</v>
      </c>
      <c r="Y53" s="14">
        <f t="shared" si="7"/>
        <v>95</v>
      </c>
      <c r="Z53" s="14" t="str">
        <f t="shared" si="8"/>
        <v/>
      </c>
      <c r="AA53" s="14" t="str">
        <f t="shared" si="9"/>
        <v/>
      </c>
      <c r="AB53" s="14" t="str">
        <f t="shared" si="10"/>
        <v/>
      </c>
      <c r="AC53" s="14">
        <f t="shared" si="11"/>
        <v>0</v>
      </c>
      <c r="AE53" s="15" t="s">
        <v>113</v>
      </c>
      <c r="AF53" s="16" t="s">
        <v>53</v>
      </c>
      <c r="AH53" s="17" t="str">
        <f t="shared" si="12"/>
        <v>Europe &amp; Central Asia</v>
      </c>
      <c r="AI53" s="21"/>
      <c r="AJ53" s="21"/>
      <c r="AK53" s="15">
        <f t="shared" si="13"/>
        <v>0</v>
      </c>
      <c r="AL53" s="24"/>
      <c r="AM53" s="21"/>
      <c r="AN53" s="21"/>
      <c r="AO53" s="15">
        <f t="shared" si="16"/>
        <v>0</v>
      </c>
      <c r="AP53" s="24"/>
      <c r="AQ53" s="21"/>
      <c r="AR53" s="21"/>
      <c r="AS53" s="15">
        <f t="shared" si="19"/>
        <v>0</v>
      </c>
      <c r="AT53" s="24"/>
      <c r="AU53" s="21"/>
      <c r="AX53" s="14" t="str">
        <f t="shared" si="22"/>
        <v>null</v>
      </c>
      <c r="AY53" s="14" t="str">
        <f t="shared" si="23"/>
        <v>null</v>
      </c>
      <c r="AZ53" s="14" t="str">
        <f t="shared" si="24"/>
        <v>null</v>
      </c>
      <c r="BA53" s="27"/>
    </row>
    <row r="54">
      <c r="A54" s="2" t="s">
        <v>88</v>
      </c>
      <c r="B54" s="2">
        <v>2015.0</v>
      </c>
      <c r="C54" s="2">
        <v>2120.716064</v>
      </c>
      <c r="D54" s="2">
        <v>67.15499878</v>
      </c>
      <c r="E54" s="2">
        <v>88.44628953</v>
      </c>
      <c r="F54" s="2">
        <v>8.41061416</v>
      </c>
      <c r="G54" s="2">
        <v>1.578349601</v>
      </c>
      <c r="H54" s="2">
        <v>1.564746708</v>
      </c>
      <c r="I54" s="2">
        <v>71.89253383</v>
      </c>
      <c r="J54" s="2">
        <v>21.78932755</v>
      </c>
      <c r="K54" s="2">
        <v>1.854197906</v>
      </c>
      <c r="L54" s="2">
        <v>4.463940709</v>
      </c>
      <c r="M54" s="2">
        <v>96.54260258</v>
      </c>
      <c r="N54" s="2">
        <v>1.867186166</v>
      </c>
      <c r="O54" s="2">
        <v>1.443438497</v>
      </c>
      <c r="P54" s="2">
        <v>0.1467727616</v>
      </c>
      <c r="Q54" s="13" t="str">
        <f t="shared" si="1"/>
        <v>Botswana|2015</v>
      </c>
      <c r="R54" s="14">
        <f t="shared" si="2"/>
        <v>5</v>
      </c>
      <c r="T54" s="14">
        <f t="shared" si="3"/>
        <v>0.753454708</v>
      </c>
      <c r="U54" s="14">
        <f t="shared" si="29"/>
        <v>1.430238006</v>
      </c>
      <c r="V54" s="14">
        <f t="shared" si="4"/>
        <v>0.2164756</v>
      </c>
      <c r="W54" s="14">
        <f t="shared" si="5"/>
        <v>88</v>
      </c>
      <c r="X54" s="14">
        <f t="shared" si="6"/>
        <v>72</v>
      </c>
      <c r="Y54" s="14">
        <f t="shared" si="7"/>
        <v>97</v>
      </c>
      <c r="Z54" s="14" t="str">
        <f t="shared" si="8"/>
        <v/>
      </c>
      <c r="AA54" s="14" t="str">
        <f t="shared" si="9"/>
        <v/>
      </c>
      <c r="AB54" s="14" t="str">
        <f t="shared" si="10"/>
        <v>Fully Accessible</v>
      </c>
      <c r="AC54" s="14">
        <f t="shared" si="11"/>
        <v>1.213762406</v>
      </c>
      <c r="AE54" s="15" t="s">
        <v>114</v>
      </c>
      <c r="AF54" s="16" t="s">
        <v>57</v>
      </c>
      <c r="AH54" s="17" t="str">
        <f t="shared" si="12"/>
        <v>Latin America &amp; Caribbean</v>
      </c>
      <c r="AI54" s="21"/>
      <c r="AJ54" s="21"/>
      <c r="AK54" s="15">
        <f t="shared" si="13"/>
        <v>0.226179938</v>
      </c>
      <c r="AL54" s="24"/>
      <c r="AM54" s="21"/>
      <c r="AN54" s="21"/>
      <c r="AO54" s="15">
        <f t="shared" si="16"/>
        <v>0.788318096</v>
      </c>
      <c r="AP54" s="24"/>
      <c r="AQ54" s="21"/>
      <c r="AR54" s="21"/>
      <c r="AS54" s="15">
        <f t="shared" si="19"/>
        <v>0.054655054</v>
      </c>
      <c r="AT54" s="24"/>
      <c r="AU54" s="21"/>
      <c r="AX54" s="14">
        <f t="shared" si="22"/>
        <v>4472.341064</v>
      </c>
      <c r="AY54" s="14">
        <f t="shared" si="23"/>
        <v>138.0319977</v>
      </c>
      <c r="AZ54" s="14">
        <f t="shared" si="24"/>
        <v>4334.309066</v>
      </c>
      <c r="BA54" s="17"/>
    </row>
    <row r="55">
      <c r="A55" s="2" t="s">
        <v>88</v>
      </c>
      <c r="B55" s="2">
        <v>2020.0</v>
      </c>
      <c r="C55" s="2">
        <v>2351.625</v>
      </c>
      <c r="D55" s="2">
        <v>70.8769989</v>
      </c>
      <c r="E55" s="2">
        <v>92.21356307</v>
      </c>
      <c r="F55" s="2">
        <v>4.72303897</v>
      </c>
      <c r="G55" s="2">
        <v>1.732526476</v>
      </c>
      <c r="H55" s="2">
        <v>1.330871481</v>
      </c>
      <c r="I55" s="2">
        <v>79.04372386</v>
      </c>
      <c r="J55" s="2">
        <v>15.15494718</v>
      </c>
      <c r="K55" s="2">
        <v>1.596119156</v>
      </c>
      <c r="L55" s="2">
        <v>4.20520981</v>
      </c>
      <c r="M55" s="2">
        <v>97.62498058</v>
      </c>
      <c r="N55" s="2">
        <v>0.4366200322</v>
      </c>
      <c r="O55" s="2">
        <v>1.788579159</v>
      </c>
      <c r="P55" s="2">
        <v>0.1498202281</v>
      </c>
      <c r="Q55" s="13" t="str">
        <f t="shared" si="1"/>
        <v>Botswana|2020</v>
      </c>
      <c r="R55" s="14" t="str">
        <f t="shared" si="2"/>
        <v> </v>
      </c>
      <c r="T55" s="14" t="b">
        <f t="shared" si="3"/>
        <v>0</v>
      </c>
      <c r="U55" s="14" t="b">
        <f t="shared" si="29"/>
        <v>0</v>
      </c>
      <c r="V55" s="14" t="b">
        <f t="shared" si="4"/>
        <v>0</v>
      </c>
      <c r="W55" s="14">
        <f t="shared" si="5"/>
        <v>92</v>
      </c>
      <c r="X55" s="14">
        <f t="shared" si="6"/>
        <v>79</v>
      </c>
      <c r="Y55" s="14">
        <f t="shared" si="7"/>
        <v>98</v>
      </c>
      <c r="Z55" s="14" t="str">
        <f t="shared" si="8"/>
        <v/>
      </c>
      <c r="AA55" s="14" t="str">
        <f t="shared" si="9"/>
        <v/>
      </c>
      <c r="AB55" s="14" t="str">
        <f t="shared" si="10"/>
        <v/>
      </c>
      <c r="AC55" s="14">
        <f t="shared" si="11"/>
        <v>0</v>
      </c>
      <c r="AE55" s="15" t="s">
        <v>115</v>
      </c>
      <c r="AF55" s="16" t="s">
        <v>57</v>
      </c>
      <c r="AH55" s="17" t="str">
        <f t="shared" si="12"/>
        <v>Latin America &amp; Caribbean</v>
      </c>
      <c r="AI55" s="21"/>
      <c r="AJ55" s="21"/>
      <c r="AK55" s="15">
        <f t="shared" si="13"/>
        <v>0</v>
      </c>
      <c r="AL55" s="24"/>
      <c r="AM55" s="21"/>
      <c r="AN55" s="21"/>
      <c r="AO55" s="15">
        <f t="shared" si="16"/>
        <v>0</v>
      </c>
      <c r="AP55" s="24"/>
      <c r="AQ55" s="21"/>
      <c r="AR55" s="21"/>
      <c r="AS55" s="15">
        <f t="shared" si="19"/>
        <v>0</v>
      </c>
      <c r="AT55" s="24"/>
      <c r="AU55" s="21"/>
      <c r="AX55" s="14" t="str">
        <f t="shared" si="22"/>
        <v>null</v>
      </c>
      <c r="AY55" s="14" t="str">
        <f t="shared" si="23"/>
        <v>null</v>
      </c>
      <c r="AZ55" s="14" t="str">
        <f t="shared" si="24"/>
        <v>null</v>
      </c>
      <c r="BA55" s="17"/>
    </row>
    <row r="56">
      <c r="A56" s="2" t="s">
        <v>89</v>
      </c>
      <c r="B56" s="2">
        <v>2015.0</v>
      </c>
      <c r="C56" s="2">
        <v>204471.7656</v>
      </c>
      <c r="D56" s="2">
        <v>85.77000427</v>
      </c>
      <c r="E56" s="2">
        <v>97.80356759</v>
      </c>
      <c r="F56" s="2">
        <v>0.5795000229</v>
      </c>
      <c r="G56" s="2">
        <v>0.4749657091</v>
      </c>
      <c r="H56" s="2">
        <v>1.141966676</v>
      </c>
      <c r="I56" s="2">
        <v>88.75602818</v>
      </c>
      <c r="J56" s="2">
        <v>2.853773578</v>
      </c>
      <c r="K56" s="2">
        <v>0.3651342381</v>
      </c>
      <c r="L56" s="2">
        <v>8.025064008</v>
      </c>
      <c r="M56" s="2">
        <v>99.30463102</v>
      </c>
      <c r="N56" s="2">
        <v>0.2021779344</v>
      </c>
      <c r="O56" s="2">
        <v>0.4931910454</v>
      </c>
      <c r="P56" s="2">
        <v>0.0</v>
      </c>
      <c r="Q56" s="13" t="str">
        <f t="shared" si="1"/>
        <v>Brazil|2015</v>
      </c>
      <c r="R56" s="14">
        <f t="shared" si="2"/>
        <v>5</v>
      </c>
      <c r="T56" s="14">
        <f t="shared" si="3"/>
        <v>0.30345708</v>
      </c>
      <c r="U56" s="14">
        <f t="shared" si="29"/>
        <v>1.43784627</v>
      </c>
      <c r="V56" s="14">
        <f t="shared" si="4"/>
        <v>0.103474058</v>
      </c>
      <c r="W56" s="14">
        <f t="shared" si="5"/>
        <v>98</v>
      </c>
      <c r="X56" s="14">
        <f t="shared" si="6"/>
        <v>89</v>
      </c>
      <c r="Y56" s="14">
        <f t="shared" si="7"/>
        <v>99</v>
      </c>
      <c r="Z56" s="14" t="str">
        <f t="shared" si="8"/>
        <v/>
      </c>
      <c r="AA56" s="14" t="str">
        <f t="shared" si="9"/>
        <v/>
      </c>
      <c r="AB56" s="14" t="str">
        <f t="shared" si="10"/>
        <v>Fully Accessible</v>
      </c>
      <c r="AC56" s="14">
        <f t="shared" si="11"/>
        <v>1.334372212</v>
      </c>
      <c r="AE56" s="15" t="s">
        <v>116</v>
      </c>
      <c r="AF56" s="16" t="s">
        <v>53</v>
      </c>
      <c r="AH56" s="17" t="str">
        <f t="shared" si="12"/>
        <v>Europe &amp; Central Asia</v>
      </c>
      <c r="AI56" s="21"/>
      <c r="AJ56" s="21"/>
      <c r="AK56" s="15">
        <f t="shared" si="13"/>
        <v>-0.004668878</v>
      </c>
      <c r="AL56" s="24"/>
      <c r="AM56" s="21"/>
      <c r="AN56" s="21"/>
      <c r="AO56" s="15">
        <f t="shared" si="16"/>
        <v>-0.003084764</v>
      </c>
      <c r="AP56" s="24"/>
      <c r="AQ56" s="21"/>
      <c r="AR56" s="21"/>
      <c r="AS56" s="15">
        <f t="shared" si="19"/>
        <v>-0.005496838</v>
      </c>
      <c r="AT56" s="24"/>
      <c r="AU56" s="21"/>
      <c r="AX56" s="14">
        <f t="shared" si="22"/>
        <v>417031.1719</v>
      </c>
      <c r="AY56" s="14">
        <f t="shared" si="23"/>
        <v>172.8430023</v>
      </c>
      <c r="AZ56" s="14">
        <f t="shared" si="24"/>
        <v>416858.3289</v>
      </c>
      <c r="BA56" s="17"/>
    </row>
    <row r="57">
      <c r="A57" s="2" t="s">
        <v>89</v>
      </c>
      <c r="B57" s="2">
        <v>2020.0</v>
      </c>
      <c r="C57" s="2">
        <v>212559.4063</v>
      </c>
      <c r="D57" s="2">
        <v>87.07299805</v>
      </c>
      <c r="E57" s="2">
        <v>99.32085299</v>
      </c>
      <c r="F57" s="2">
        <v>0.1265490039</v>
      </c>
      <c r="G57" s="2">
        <v>0.5525980099</v>
      </c>
      <c r="H57" s="2" t="s">
        <v>64</v>
      </c>
      <c r="I57" s="2">
        <v>95.94525953</v>
      </c>
      <c r="J57" s="2">
        <v>0.9789509154</v>
      </c>
      <c r="K57" s="2">
        <v>3.075789551</v>
      </c>
      <c r="L57" s="2" t="s">
        <v>64</v>
      </c>
      <c r="M57" s="2">
        <v>99.82200131</v>
      </c>
      <c r="N57" s="2">
        <v>0.0</v>
      </c>
      <c r="O57" s="2">
        <v>0.1779986949</v>
      </c>
      <c r="P57" s="2">
        <v>0.0</v>
      </c>
      <c r="Q57" s="13" t="str">
        <f t="shared" si="1"/>
        <v>Brazil|2020</v>
      </c>
      <c r="R57" s="14" t="str">
        <f t="shared" si="2"/>
        <v> </v>
      </c>
      <c r="T57" s="14" t="b">
        <f t="shared" si="3"/>
        <v>0</v>
      </c>
      <c r="U57" s="14" t="b">
        <f t="shared" si="29"/>
        <v>0</v>
      </c>
      <c r="V57" s="14" t="b">
        <f t="shared" si="4"/>
        <v>0</v>
      </c>
      <c r="W57" s="14">
        <f t="shared" si="5"/>
        <v>99</v>
      </c>
      <c r="X57" s="14">
        <f t="shared" si="6"/>
        <v>96</v>
      </c>
      <c r="Y57" s="14">
        <f t="shared" si="7"/>
        <v>100</v>
      </c>
      <c r="Z57" s="14" t="str">
        <f t="shared" si="8"/>
        <v/>
      </c>
      <c r="AA57" s="14" t="str">
        <f t="shared" si="9"/>
        <v/>
      </c>
      <c r="AB57" s="14" t="str">
        <f t="shared" si="10"/>
        <v/>
      </c>
      <c r="AC57" s="14">
        <f t="shared" si="11"/>
        <v>0</v>
      </c>
      <c r="AE57" s="15" t="s">
        <v>117</v>
      </c>
      <c r="AF57" s="16" t="s">
        <v>53</v>
      </c>
      <c r="AH57" s="17" t="str">
        <f t="shared" si="12"/>
        <v>Europe &amp; Central Asia</v>
      </c>
      <c r="AI57" s="21"/>
      <c r="AJ57" s="21"/>
      <c r="AK57" s="15">
        <f t="shared" si="13"/>
        <v>0.000099796</v>
      </c>
      <c r="AL57" s="24"/>
      <c r="AM57" s="21"/>
      <c r="AN57" s="21"/>
      <c r="AO57" s="15">
        <f t="shared" si="16"/>
        <v>0</v>
      </c>
      <c r="AP57" s="24"/>
      <c r="AQ57" s="21"/>
      <c r="AR57" s="21"/>
      <c r="AS57" s="15">
        <f t="shared" si="19"/>
        <v>0</v>
      </c>
      <c r="AT57" s="24"/>
      <c r="AU57" s="21"/>
      <c r="AX57" s="14" t="str">
        <f t="shared" si="22"/>
        <v>null</v>
      </c>
      <c r="AY57" s="14" t="str">
        <f t="shared" si="23"/>
        <v>null</v>
      </c>
      <c r="AZ57" s="14" t="str">
        <f t="shared" si="24"/>
        <v>null</v>
      </c>
      <c r="BA57" s="8"/>
    </row>
    <row r="58">
      <c r="A58" s="2" t="s">
        <v>90</v>
      </c>
      <c r="B58" s="2">
        <v>2015.0</v>
      </c>
      <c r="C58" s="2">
        <v>29.14800072</v>
      </c>
      <c r="D58" s="2">
        <v>46.58300018</v>
      </c>
      <c r="E58" s="2">
        <v>99.86438356</v>
      </c>
      <c r="F58" s="2">
        <v>0.0</v>
      </c>
      <c r="G58" s="2">
        <v>0.1356164384</v>
      </c>
      <c r="H58" s="2">
        <v>0.0</v>
      </c>
      <c r="I58" s="2" t="s">
        <v>64</v>
      </c>
      <c r="J58" s="2" t="s">
        <v>64</v>
      </c>
      <c r="K58" s="2" t="s">
        <v>64</v>
      </c>
      <c r="L58" s="2" t="s">
        <v>64</v>
      </c>
      <c r="M58" s="2" t="s">
        <v>64</v>
      </c>
      <c r="N58" s="2" t="s">
        <v>64</v>
      </c>
      <c r="O58" s="2" t="s">
        <v>64</v>
      </c>
      <c r="P58" s="2" t="s">
        <v>64</v>
      </c>
      <c r="Q58" s="13" t="str">
        <f t="shared" si="1"/>
        <v>British Virgin Islands|2015</v>
      </c>
      <c r="R58" s="14">
        <f t="shared" si="2"/>
        <v>5</v>
      </c>
      <c r="T58" s="14">
        <f t="shared" si="3"/>
        <v>0</v>
      </c>
      <c r="U58" s="14" t="str">
        <f t="shared" si="29"/>
        <v>null</v>
      </c>
      <c r="V58" s="14" t="str">
        <f t="shared" si="4"/>
        <v>null</v>
      </c>
      <c r="W58" s="14">
        <f t="shared" si="5"/>
        <v>100</v>
      </c>
      <c r="X58" s="14" t="b">
        <f t="shared" si="6"/>
        <v>0</v>
      </c>
      <c r="Y58" s="14" t="b">
        <f t="shared" si="7"/>
        <v>0</v>
      </c>
      <c r="Z58" s="14" t="str">
        <f t="shared" si="8"/>
        <v/>
      </c>
      <c r="AA58" s="14" t="str">
        <f t="shared" si="9"/>
        <v>Fully Accessible</v>
      </c>
      <c r="AB58" s="14" t="str">
        <f t="shared" si="10"/>
        <v>Fully Accessible</v>
      </c>
      <c r="AC58" s="14" t="b">
        <f t="shared" si="11"/>
        <v>0</v>
      </c>
      <c r="AE58" s="15" t="s">
        <v>118</v>
      </c>
      <c r="AF58" s="16" t="s">
        <v>51</v>
      </c>
      <c r="AH58" s="17" t="str">
        <f t="shared" si="12"/>
        <v>East Asia &amp; Pacific</v>
      </c>
      <c r="AI58" s="21"/>
      <c r="AJ58" s="21"/>
      <c r="AK58" s="15">
        <f t="shared" si="13"/>
        <v>-0.274207736</v>
      </c>
      <c r="AL58" s="24"/>
      <c r="AM58" s="21"/>
      <c r="AN58" s="21"/>
      <c r="AO58" s="15">
        <f t="shared" si="16"/>
        <v>-0.572668708</v>
      </c>
      <c r="AP58" s="24"/>
      <c r="AQ58" s="21"/>
      <c r="AR58" s="21"/>
      <c r="AS58" s="15">
        <f t="shared" si="19"/>
        <v>-0.115002716</v>
      </c>
      <c r="AT58" s="24"/>
      <c r="AU58" s="21"/>
      <c r="AX58" s="14">
        <f t="shared" si="22"/>
        <v>59.38500023</v>
      </c>
      <c r="AY58" s="14">
        <f t="shared" si="23"/>
        <v>95.09799957</v>
      </c>
      <c r="AZ58" s="14">
        <f t="shared" si="24"/>
        <v>-35.71299934</v>
      </c>
      <c r="BA58" s="27"/>
    </row>
    <row r="59">
      <c r="A59" s="2" t="s">
        <v>90</v>
      </c>
      <c r="B59" s="2">
        <v>2020.0</v>
      </c>
      <c r="C59" s="2">
        <v>30.23699951</v>
      </c>
      <c r="D59" s="2">
        <v>48.51499939</v>
      </c>
      <c r="E59" s="2">
        <v>99.86438356</v>
      </c>
      <c r="F59" s="2">
        <v>0.0</v>
      </c>
      <c r="G59" s="2">
        <v>0.1356164384</v>
      </c>
      <c r="H59" s="2">
        <v>0.0</v>
      </c>
      <c r="I59" s="2" t="s">
        <v>64</v>
      </c>
      <c r="J59" s="2" t="s">
        <v>64</v>
      </c>
      <c r="K59" s="2" t="s">
        <v>64</v>
      </c>
      <c r="L59" s="2" t="s">
        <v>64</v>
      </c>
      <c r="M59" s="2" t="s">
        <v>64</v>
      </c>
      <c r="N59" s="2" t="s">
        <v>64</v>
      </c>
      <c r="O59" s="2" t="s">
        <v>64</v>
      </c>
      <c r="P59" s="2" t="s">
        <v>64</v>
      </c>
      <c r="Q59" s="13" t="str">
        <f t="shared" si="1"/>
        <v>British Virgin Islands|2020</v>
      </c>
      <c r="R59" s="14" t="str">
        <f t="shared" si="2"/>
        <v> </v>
      </c>
      <c r="T59" s="14" t="b">
        <f t="shared" si="3"/>
        <v>0</v>
      </c>
      <c r="U59" s="14" t="b">
        <f t="shared" si="29"/>
        <v>0</v>
      </c>
      <c r="V59" s="14" t="b">
        <f t="shared" si="4"/>
        <v>0</v>
      </c>
      <c r="W59" s="14">
        <f t="shared" si="5"/>
        <v>100</v>
      </c>
      <c r="X59" s="14" t="b">
        <f t="shared" si="6"/>
        <v>0</v>
      </c>
      <c r="Y59" s="14" t="b">
        <f t="shared" si="7"/>
        <v>0</v>
      </c>
      <c r="Z59" s="14" t="str">
        <f t="shared" si="8"/>
        <v/>
      </c>
      <c r="AA59" s="14" t="str">
        <f t="shared" si="9"/>
        <v/>
      </c>
      <c r="AB59" s="14" t="str">
        <f t="shared" si="10"/>
        <v/>
      </c>
      <c r="AC59" s="14">
        <f t="shared" si="11"/>
        <v>0</v>
      </c>
      <c r="AE59" s="15" t="s">
        <v>119</v>
      </c>
      <c r="AF59" s="16" t="s">
        <v>63</v>
      </c>
      <c r="AH59" s="17" t="str">
        <f t="shared" si="12"/>
        <v>Sub-Saharan Africa</v>
      </c>
      <c r="AI59" s="21"/>
      <c r="AJ59" s="21"/>
      <c r="AK59" s="15">
        <f t="shared" si="13"/>
        <v>0.646789398</v>
      </c>
      <c r="AL59" s="24"/>
      <c r="AM59" s="21"/>
      <c r="AN59" s="21"/>
      <c r="AO59" s="15">
        <f t="shared" si="16"/>
        <v>0.272055708</v>
      </c>
      <c r="AP59" s="24"/>
      <c r="AQ59" s="21"/>
      <c r="AR59" s="21"/>
      <c r="AS59" s="15">
        <f t="shared" si="19"/>
        <v>0.436595398</v>
      </c>
      <c r="AT59" s="24"/>
      <c r="AU59" s="21"/>
      <c r="AX59" s="14" t="str">
        <f t="shared" si="22"/>
        <v>null</v>
      </c>
      <c r="AY59" s="14" t="str">
        <f t="shared" si="23"/>
        <v>null</v>
      </c>
      <c r="AZ59" s="14" t="str">
        <f t="shared" si="24"/>
        <v>null</v>
      </c>
      <c r="BA59" s="17"/>
    </row>
    <row r="60">
      <c r="A60" s="2" t="s">
        <v>91</v>
      </c>
      <c r="B60" s="2">
        <v>2015.0</v>
      </c>
      <c r="C60" s="2">
        <v>414.9140015</v>
      </c>
      <c r="D60" s="2">
        <v>76.66299438</v>
      </c>
      <c r="E60" s="2">
        <v>99.50997616</v>
      </c>
      <c r="F60" s="2">
        <v>0.0</v>
      </c>
      <c r="G60" s="2">
        <v>0.3966758338</v>
      </c>
      <c r="H60" s="2">
        <v>0.09334800295</v>
      </c>
      <c r="I60" s="2">
        <v>99.05</v>
      </c>
      <c r="J60" s="2">
        <v>0.0</v>
      </c>
      <c r="K60" s="2">
        <v>0.55</v>
      </c>
      <c r="L60" s="2">
        <v>0.4</v>
      </c>
      <c r="M60" s="2">
        <v>99.65</v>
      </c>
      <c r="N60" s="2">
        <v>0.0</v>
      </c>
      <c r="O60" s="2">
        <v>0.35</v>
      </c>
      <c r="P60" s="2">
        <v>0.0</v>
      </c>
      <c r="Q60" s="13" t="str">
        <f t="shared" si="1"/>
        <v>Brunei Darussalam|2015</v>
      </c>
      <c r="R60" s="14">
        <f t="shared" si="2"/>
        <v>5</v>
      </c>
      <c r="T60" s="14">
        <f t="shared" si="3"/>
        <v>0.078012128</v>
      </c>
      <c r="U60" s="14" t="str">
        <f t="shared" si="29"/>
        <v>null</v>
      </c>
      <c r="V60" s="14">
        <f t="shared" si="4"/>
        <v>0</v>
      </c>
      <c r="W60" s="14">
        <f t="shared" si="5"/>
        <v>100</v>
      </c>
      <c r="X60" s="14">
        <f t="shared" si="6"/>
        <v>99</v>
      </c>
      <c r="Y60" s="14">
        <f t="shared" si="7"/>
        <v>100</v>
      </c>
      <c r="Z60" s="14" t="str">
        <f t="shared" si="8"/>
        <v/>
      </c>
      <c r="AA60" s="14" t="str">
        <f t="shared" si="9"/>
        <v/>
      </c>
      <c r="AB60" s="14" t="str">
        <f t="shared" si="10"/>
        <v>Fully Accessible</v>
      </c>
      <c r="AC60" s="14" t="b">
        <f t="shared" si="11"/>
        <v>0</v>
      </c>
      <c r="AE60" s="15" t="s">
        <v>120</v>
      </c>
      <c r="AF60" s="16" t="s">
        <v>53</v>
      </c>
      <c r="AH60" s="17" t="str">
        <f t="shared" si="12"/>
        <v>Europe &amp; Central Asia</v>
      </c>
      <c r="AI60" s="21"/>
      <c r="AJ60" s="21"/>
      <c r="AK60" s="15">
        <f t="shared" si="13"/>
        <v>0.0000006500000012</v>
      </c>
      <c r="AL60" s="24"/>
      <c r="AM60" s="21"/>
      <c r="AN60" s="21"/>
      <c r="AO60" s="15">
        <f t="shared" si="16"/>
        <v>0</v>
      </c>
      <c r="AP60" s="24"/>
      <c r="AQ60" s="21"/>
      <c r="AR60" s="21"/>
      <c r="AS60" s="15">
        <f t="shared" si="19"/>
        <v>0</v>
      </c>
      <c r="AT60" s="24"/>
      <c r="AU60" s="21"/>
      <c r="AX60" s="14">
        <f t="shared" si="22"/>
        <v>852.3970032</v>
      </c>
      <c r="AY60" s="14">
        <f t="shared" si="23"/>
        <v>154.913002</v>
      </c>
      <c r="AZ60" s="14">
        <f t="shared" si="24"/>
        <v>697.4840012</v>
      </c>
      <c r="BA60" s="27"/>
    </row>
    <row r="61">
      <c r="A61" s="2" t="s">
        <v>91</v>
      </c>
      <c r="B61" s="2">
        <v>2020.0</v>
      </c>
      <c r="C61" s="2">
        <v>437.4830017</v>
      </c>
      <c r="D61" s="2">
        <v>78.25000763</v>
      </c>
      <c r="E61" s="2">
        <v>99.9000368</v>
      </c>
      <c r="F61" s="2">
        <v>0.0</v>
      </c>
      <c r="G61" s="2">
        <v>0.09996320036</v>
      </c>
      <c r="H61" s="2">
        <v>0.0</v>
      </c>
      <c r="I61" s="2" t="s">
        <v>64</v>
      </c>
      <c r="J61" s="2" t="s">
        <v>64</v>
      </c>
      <c r="K61" s="2" t="s">
        <v>64</v>
      </c>
      <c r="L61" s="2" t="s">
        <v>64</v>
      </c>
      <c r="M61" s="2">
        <v>99.65</v>
      </c>
      <c r="N61" s="2">
        <v>0.0</v>
      </c>
      <c r="O61" s="2">
        <v>0.35</v>
      </c>
      <c r="P61" s="2">
        <v>0.0</v>
      </c>
      <c r="Q61" s="13" t="str">
        <f t="shared" si="1"/>
        <v>Brunei Darussalam|2020</v>
      </c>
      <c r="R61" s="14" t="str">
        <f t="shared" si="2"/>
        <v> </v>
      </c>
      <c r="T61" s="14" t="b">
        <f t="shared" si="3"/>
        <v>0</v>
      </c>
      <c r="U61" s="14" t="b">
        <f t="shared" si="29"/>
        <v>0</v>
      </c>
      <c r="V61" s="14" t="b">
        <f t="shared" si="4"/>
        <v>0</v>
      </c>
      <c r="W61" s="14">
        <f t="shared" si="5"/>
        <v>100</v>
      </c>
      <c r="X61" s="14" t="b">
        <f t="shared" si="6"/>
        <v>0</v>
      </c>
      <c r="Y61" s="14">
        <f t="shared" si="7"/>
        <v>100</v>
      </c>
      <c r="Z61" s="14" t="str">
        <f t="shared" si="8"/>
        <v/>
      </c>
      <c r="AA61" s="14" t="str">
        <f t="shared" si="9"/>
        <v/>
      </c>
      <c r="AB61" s="14" t="str">
        <f t="shared" si="10"/>
        <v/>
      </c>
      <c r="AC61" s="14">
        <f t="shared" si="11"/>
        <v>0</v>
      </c>
      <c r="AE61" s="15" t="s">
        <v>121</v>
      </c>
      <c r="AF61" s="16" t="s">
        <v>63</v>
      </c>
      <c r="AH61" s="17" t="str">
        <f t="shared" si="12"/>
        <v>Sub-Saharan Africa</v>
      </c>
      <c r="AI61" s="21"/>
      <c r="AJ61" s="21"/>
      <c r="AK61" s="15">
        <f t="shared" si="13"/>
        <v>0.052575036</v>
      </c>
      <c r="AL61" s="24"/>
      <c r="AM61" s="21"/>
      <c r="AN61" s="21"/>
      <c r="AO61" s="15">
        <f t="shared" si="16"/>
        <v>-0.295694432</v>
      </c>
      <c r="AP61" s="24"/>
      <c r="AQ61" s="21"/>
      <c r="AR61" s="21"/>
      <c r="AS61" s="15">
        <f t="shared" si="19"/>
        <v>0.092757016</v>
      </c>
      <c r="AT61" s="24"/>
      <c r="AU61" s="21"/>
      <c r="AX61" s="14" t="str">
        <f t="shared" si="22"/>
        <v>null</v>
      </c>
      <c r="AY61" s="14" t="str">
        <f t="shared" si="23"/>
        <v>null</v>
      </c>
      <c r="AZ61" s="14" t="str">
        <f t="shared" si="24"/>
        <v>null</v>
      </c>
      <c r="BA61" s="27"/>
    </row>
    <row r="62">
      <c r="A62" s="2" t="s">
        <v>92</v>
      </c>
      <c r="B62" s="2">
        <v>2015.0</v>
      </c>
      <c r="C62" s="2">
        <v>7199.73877</v>
      </c>
      <c r="D62" s="2">
        <v>73.98999786</v>
      </c>
      <c r="E62" s="2">
        <v>99.19632731</v>
      </c>
      <c r="F62" s="2">
        <v>0.0</v>
      </c>
      <c r="G62" s="2">
        <v>0.8036726905</v>
      </c>
      <c r="H62" s="2">
        <v>0.0</v>
      </c>
      <c r="I62" s="2">
        <v>98.01614034</v>
      </c>
      <c r="J62" s="2">
        <v>0.0</v>
      </c>
      <c r="K62" s="2">
        <v>1.98385966</v>
      </c>
      <c r="L62" s="2">
        <v>0.0</v>
      </c>
      <c r="M62" s="2">
        <v>99.61120772</v>
      </c>
      <c r="N62" s="2">
        <v>0.0</v>
      </c>
      <c r="O62" s="2">
        <v>0.3887922761</v>
      </c>
      <c r="P62" s="2">
        <v>0.0</v>
      </c>
      <c r="Q62" s="13" t="str">
        <f t="shared" si="1"/>
        <v>Bulgaria|2015</v>
      </c>
      <c r="R62" s="14">
        <f t="shared" si="2"/>
        <v>5</v>
      </c>
      <c r="T62" s="14">
        <f t="shared" si="3"/>
        <v>-0.036982074</v>
      </c>
      <c r="U62" s="14">
        <f t="shared" si="29"/>
        <v>-0.122970474</v>
      </c>
      <c r="V62" s="14">
        <f t="shared" si="4"/>
        <v>-0.016507464</v>
      </c>
      <c r="W62" s="14">
        <f t="shared" si="5"/>
        <v>99</v>
      </c>
      <c r="X62" s="14">
        <f t="shared" si="6"/>
        <v>98</v>
      </c>
      <c r="Y62" s="14">
        <f t="shared" si="7"/>
        <v>100</v>
      </c>
      <c r="Z62" s="14" t="str">
        <f t="shared" si="8"/>
        <v/>
      </c>
      <c r="AA62" s="14" t="str">
        <f t="shared" si="9"/>
        <v/>
      </c>
      <c r="AB62" s="14" t="str">
        <f t="shared" si="10"/>
        <v>Fully Accessible</v>
      </c>
      <c r="AC62" s="14">
        <f t="shared" si="11"/>
        <v>-0.10646301</v>
      </c>
      <c r="AE62" s="15" t="s">
        <v>122</v>
      </c>
      <c r="AF62" s="16" t="s">
        <v>57</v>
      </c>
      <c r="AH62" s="17" t="str">
        <f t="shared" si="12"/>
        <v>Latin America &amp; Caribbean</v>
      </c>
      <c r="AI62" s="21"/>
      <c r="AJ62" s="21"/>
      <c r="AK62" s="15">
        <f t="shared" si="13"/>
        <v>0</v>
      </c>
      <c r="AL62" s="24"/>
      <c r="AM62" s="21"/>
      <c r="AN62" s="21"/>
      <c r="AO62" s="15">
        <f t="shared" si="16"/>
        <v>0</v>
      </c>
      <c r="AP62" s="24"/>
      <c r="AQ62" s="21"/>
      <c r="AR62" s="21"/>
      <c r="AS62" s="15">
        <f t="shared" si="19"/>
        <v>0</v>
      </c>
      <c r="AT62" s="24"/>
      <c r="AU62" s="21"/>
      <c r="AX62" s="14">
        <f t="shared" si="22"/>
        <v>14148.18359</v>
      </c>
      <c r="AY62" s="14">
        <f t="shared" si="23"/>
        <v>149.6759949</v>
      </c>
      <c r="AZ62" s="14">
        <f t="shared" si="24"/>
        <v>13998.5076</v>
      </c>
      <c r="BA62" s="17"/>
    </row>
    <row r="63">
      <c r="A63" s="2" t="s">
        <v>92</v>
      </c>
      <c r="B63" s="2">
        <v>2020.0</v>
      </c>
      <c r="C63" s="2">
        <v>6948.444824</v>
      </c>
      <c r="D63" s="2">
        <v>75.68599701</v>
      </c>
      <c r="E63" s="2">
        <v>99.01141694</v>
      </c>
      <c r="F63" s="2">
        <v>0.0</v>
      </c>
      <c r="G63" s="2">
        <v>0.9885830607</v>
      </c>
      <c r="H63" s="2">
        <v>0.0</v>
      </c>
      <c r="I63" s="2">
        <v>97.40128797</v>
      </c>
      <c r="J63" s="2">
        <v>0.0</v>
      </c>
      <c r="K63" s="2">
        <v>2.598712031</v>
      </c>
      <c r="L63" s="2">
        <v>0.0</v>
      </c>
      <c r="M63" s="2">
        <v>99.5286704</v>
      </c>
      <c r="N63" s="2">
        <v>0.0</v>
      </c>
      <c r="O63" s="2">
        <v>0.4713296007</v>
      </c>
      <c r="P63" s="2">
        <v>0.0</v>
      </c>
      <c r="Q63" s="13" t="str">
        <f t="shared" si="1"/>
        <v>Bulgaria|2020</v>
      </c>
      <c r="R63" s="14" t="str">
        <f t="shared" si="2"/>
        <v> </v>
      </c>
      <c r="T63" s="14" t="b">
        <f t="shared" si="3"/>
        <v>0</v>
      </c>
      <c r="U63" s="14" t="b">
        <f t="shared" si="29"/>
        <v>0</v>
      </c>
      <c r="V63" s="14" t="b">
        <f t="shared" si="4"/>
        <v>0</v>
      </c>
      <c r="W63" s="14">
        <f t="shared" si="5"/>
        <v>99</v>
      </c>
      <c r="X63" s="14">
        <f t="shared" si="6"/>
        <v>97</v>
      </c>
      <c r="Y63" s="14">
        <f t="shared" si="7"/>
        <v>100</v>
      </c>
      <c r="Z63" s="14" t="str">
        <f t="shared" si="8"/>
        <v/>
      </c>
      <c r="AA63" s="14" t="str">
        <f t="shared" si="9"/>
        <v/>
      </c>
      <c r="AB63" s="14" t="str">
        <f t="shared" si="10"/>
        <v/>
      </c>
      <c r="AC63" s="14">
        <f t="shared" si="11"/>
        <v>0</v>
      </c>
      <c r="AE63" s="15" t="s">
        <v>123</v>
      </c>
      <c r="AF63" s="16" t="s">
        <v>57</v>
      </c>
      <c r="AH63" s="17" t="str">
        <f t="shared" si="12"/>
        <v>Latin America &amp; Caribbean</v>
      </c>
      <c r="AI63" s="21"/>
      <c r="AJ63" s="21"/>
      <c r="AK63" s="15">
        <f t="shared" si="13"/>
        <v>0.117494684</v>
      </c>
      <c r="AL63" s="24"/>
      <c r="AM63" s="21"/>
      <c r="AN63" s="21"/>
      <c r="AO63" s="15">
        <f t="shared" si="16"/>
        <v>0.218684118</v>
      </c>
      <c r="AP63" s="24"/>
      <c r="AQ63" s="21"/>
      <c r="AR63" s="21"/>
      <c r="AS63" s="15">
        <f t="shared" si="19"/>
        <v>0.011664354</v>
      </c>
      <c r="AT63" s="24"/>
      <c r="AU63" s="21"/>
      <c r="AX63" s="14" t="str">
        <f t="shared" si="22"/>
        <v>null</v>
      </c>
      <c r="AY63" s="14" t="str">
        <f t="shared" si="23"/>
        <v>null</v>
      </c>
      <c r="AZ63" s="14" t="str">
        <f t="shared" si="24"/>
        <v>null</v>
      </c>
      <c r="BA63" s="17"/>
    </row>
    <row r="64">
      <c r="A64" s="2" t="s">
        <v>93</v>
      </c>
      <c r="B64" s="2">
        <v>2015.0</v>
      </c>
      <c r="C64" s="2">
        <v>18110.61523</v>
      </c>
      <c r="D64" s="2">
        <v>27.53000069</v>
      </c>
      <c r="E64" s="2">
        <v>50.13713109</v>
      </c>
      <c r="F64" s="2">
        <v>25.67354095</v>
      </c>
      <c r="G64" s="2">
        <v>22.43017891</v>
      </c>
      <c r="H64" s="2">
        <v>1.759149043</v>
      </c>
      <c r="I64" s="2">
        <v>38.8551637</v>
      </c>
      <c r="J64" s="2">
        <v>30.20218489</v>
      </c>
      <c r="K64" s="2">
        <v>28.6486943</v>
      </c>
      <c r="L64" s="2">
        <v>2.293957106</v>
      </c>
      <c r="M64" s="2">
        <v>79.83579216</v>
      </c>
      <c r="N64" s="2">
        <v>13.75233459</v>
      </c>
      <c r="O64" s="2">
        <v>6.060553432</v>
      </c>
      <c r="P64" s="2">
        <v>0.3513198178</v>
      </c>
      <c r="Q64" s="13" t="str">
        <f t="shared" si="1"/>
        <v>Burkina Faso|2015</v>
      </c>
      <c r="R64" s="14">
        <f t="shared" si="2"/>
        <v>5</v>
      </c>
      <c r="T64" s="14">
        <f t="shared" si="3"/>
        <v>-0.584455326</v>
      </c>
      <c r="U64" s="14">
        <f t="shared" si="29"/>
        <v>-1.22738096</v>
      </c>
      <c r="V64" s="14">
        <f t="shared" si="4"/>
        <v>0.049225276</v>
      </c>
      <c r="W64" s="14">
        <f t="shared" si="5"/>
        <v>50</v>
      </c>
      <c r="X64" s="14">
        <f t="shared" si="6"/>
        <v>39</v>
      </c>
      <c r="Y64" s="14">
        <f t="shared" si="7"/>
        <v>80</v>
      </c>
      <c r="Z64" s="14" t="str">
        <f t="shared" si="8"/>
        <v/>
      </c>
      <c r="AA64" s="14" t="str">
        <f t="shared" si="9"/>
        <v/>
      </c>
      <c r="AB64" s="14" t="str">
        <f t="shared" si="10"/>
        <v>Fully Accessible</v>
      </c>
      <c r="AC64" s="14">
        <f t="shared" si="11"/>
        <v>-1.276606236</v>
      </c>
      <c r="AE64" s="15" t="s">
        <v>124</v>
      </c>
      <c r="AF64" s="16" t="s">
        <v>57</v>
      </c>
      <c r="AH64" s="17" t="str">
        <f t="shared" si="12"/>
        <v>Latin America &amp; Caribbean</v>
      </c>
      <c r="AI64" s="21"/>
      <c r="AJ64" s="21"/>
      <c r="AK64" s="15">
        <f t="shared" si="13"/>
        <v>0.459196812</v>
      </c>
      <c r="AL64" s="24"/>
      <c r="AM64" s="21"/>
      <c r="AN64" s="21"/>
      <c r="AO64" s="15">
        <f t="shared" si="16"/>
        <v>0.8996526</v>
      </c>
      <c r="AP64" s="24"/>
      <c r="AQ64" s="21"/>
      <c r="AR64" s="21"/>
      <c r="AS64" s="15">
        <f t="shared" si="19"/>
        <v>0.17353216</v>
      </c>
      <c r="AT64" s="24"/>
      <c r="AU64" s="21"/>
      <c r="AX64" s="14">
        <f t="shared" si="22"/>
        <v>39013.89257</v>
      </c>
      <c r="AY64" s="14">
        <f t="shared" si="23"/>
        <v>58.13700104</v>
      </c>
      <c r="AZ64" s="14">
        <f t="shared" si="24"/>
        <v>38955.75557</v>
      </c>
      <c r="BA64" s="17"/>
    </row>
    <row r="65">
      <c r="A65" s="2" t="s">
        <v>93</v>
      </c>
      <c r="B65" s="2">
        <v>2020.0</v>
      </c>
      <c r="C65" s="2">
        <v>20903.27734</v>
      </c>
      <c r="D65" s="2">
        <v>30.60700035</v>
      </c>
      <c r="E65" s="2">
        <v>47.21485446</v>
      </c>
      <c r="F65" s="2">
        <v>31.2730034</v>
      </c>
      <c r="G65" s="2">
        <v>21.15863263</v>
      </c>
      <c r="H65" s="2">
        <v>0.3535095024</v>
      </c>
      <c r="I65" s="2">
        <v>32.7182589</v>
      </c>
      <c r="J65" s="2">
        <v>38.62690254</v>
      </c>
      <c r="K65" s="2">
        <v>28.3404457</v>
      </c>
      <c r="L65" s="2">
        <v>0.3143928626</v>
      </c>
      <c r="M65" s="2">
        <v>80.08191854</v>
      </c>
      <c r="N65" s="2">
        <v>14.60004919</v>
      </c>
      <c r="O65" s="2">
        <v>4.875836487</v>
      </c>
      <c r="P65" s="2">
        <v>0.4421957805</v>
      </c>
      <c r="Q65" s="13" t="str">
        <f t="shared" si="1"/>
        <v>Burkina Faso|2020</v>
      </c>
      <c r="R65" s="14" t="str">
        <f t="shared" si="2"/>
        <v> </v>
      </c>
      <c r="T65" s="14" t="b">
        <f t="shared" si="3"/>
        <v>0</v>
      </c>
      <c r="U65" s="14" t="b">
        <f t="shared" si="29"/>
        <v>0</v>
      </c>
      <c r="V65" s="14" t="b">
        <f t="shared" si="4"/>
        <v>0</v>
      </c>
      <c r="W65" s="14">
        <f t="shared" si="5"/>
        <v>47</v>
      </c>
      <c r="X65" s="14">
        <f t="shared" si="6"/>
        <v>33</v>
      </c>
      <c r="Y65" s="14">
        <f t="shared" si="7"/>
        <v>80</v>
      </c>
      <c r="Z65" s="14" t="str">
        <f t="shared" si="8"/>
        <v/>
      </c>
      <c r="AA65" s="14" t="str">
        <f t="shared" si="9"/>
        <v/>
      </c>
      <c r="AB65" s="14" t="str">
        <f t="shared" si="10"/>
        <v/>
      </c>
      <c r="AC65" s="14">
        <f t="shared" si="11"/>
        <v>0</v>
      </c>
      <c r="AE65" s="15" t="s">
        <v>125</v>
      </c>
      <c r="AF65" s="16" t="s">
        <v>56</v>
      </c>
      <c r="AH65" s="17" t="str">
        <f t="shared" si="12"/>
        <v>Middle East &amp; North Africa</v>
      </c>
      <c r="AI65" s="21"/>
      <c r="AJ65" s="21"/>
      <c r="AK65" s="15">
        <f t="shared" si="13"/>
        <v>0.066691684</v>
      </c>
      <c r="AL65" s="24"/>
      <c r="AM65" s="21"/>
      <c r="AN65" s="21"/>
      <c r="AO65" s="15">
        <f t="shared" si="16"/>
        <v>0.106191446</v>
      </c>
      <c r="AP65" s="24"/>
      <c r="AQ65" s="21"/>
      <c r="AR65" s="21"/>
      <c r="AS65" s="15">
        <f t="shared" si="19"/>
        <v>0.013872274</v>
      </c>
      <c r="AT65" s="24"/>
      <c r="AU65" s="21"/>
      <c r="AX65" s="14" t="str">
        <f t="shared" si="22"/>
        <v>null</v>
      </c>
      <c r="AY65" s="14" t="str">
        <f t="shared" si="23"/>
        <v>null</v>
      </c>
      <c r="AZ65" s="14" t="str">
        <f t="shared" si="24"/>
        <v>null</v>
      </c>
      <c r="BA65" s="8"/>
    </row>
    <row r="66">
      <c r="A66" s="2" t="s">
        <v>94</v>
      </c>
      <c r="B66" s="2">
        <v>2015.0</v>
      </c>
      <c r="C66" s="2">
        <v>10160.03418</v>
      </c>
      <c r="D66" s="2">
        <v>12.07800007</v>
      </c>
      <c r="E66" s="2">
        <v>59.58146925</v>
      </c>
      <c r="F66" s="2">
        <v>19.53889184</v>
      </c>
      <c r="G66" s="2">
        <v>14.86499258</v>
      </c>
      <c r="H66" s="2">
        <v>6.01464634</v>
      </c>
      <c r="I66" s="2">
        <v>55.55826691</v>
      </c>
      <c r="J66" s="2">
        <v>21.16679557</v>
      </c>
      <c r="K66" s="2">
        <v>16.59414457</v>
      </c>
      <c r="L66" s="2">
        <v>6.680792951</v>
      </c>
      <c r="M66" s="2">
        <v>88.86843759</v>
      </c>
      <c r="N66" s="2">
        <v>7.688539534</v>
      </c>
      <c r="O66" s="2">
        <v>2.277601866</v>
      </c>
      <c r="P66" s="2">
        <v>1.165421012</v>
      </c>
      <c r="Q66" s="13" t="str">
        <f t="shared" si="1"/>
        <v>Burundi|2015</v>
      </c>
      <c r="R66" s="14">
        <f t="shared" si="2"/>
        <v>5</v>
      </c>
      <c r="T66" s="14">
        <f t="shared" si="3"/>
        <v>0.5251306</v>
      </c>
      <c r="U66" s="14">
        <f t="shared" si="29"/>
        <v>0.425499672</v>
      </c>
      <c r="V66" s="14">
        <f t="shared" si="4"/>
        <v>0.360134654</v>
      </c>
      <c r="W66" s="14">
        <f t="shared" si="5"/>
        <v>60</v>
      </c>
      <c r="X66" s="14">
        <f t="shared" si="6"/>
        <v>56</v>
      </c>
      <c r="Y66" s="14">
        <f t="shared" si="7"/>
        <v>89</v>
      </c>
      <c r="Z66" s="14" t="str">
        <f t="shared" si="8"/>
        <v/>
      </c>
      <c r="AA66" s="14" t="str">
        <f t="shared" si="9"/>
        <v/>
      </c>
      <c r="AB66" s="14" t="str">
        <f t="shared" si="10"/>
        <v>Fully Accessible</v>
      </c>
      <c r="AC66" s="14">
        <f t="shared" si="11"/>
        <v>0.065365018</v>
      </c>
      <c r="AE66" s="15" t="s">
        <v>126</v>
      </c>
      <c r="AF66" s="16" t="s">
        <v>57</v>
      </c>
      <c r="AH66" s="17" t="str">
        <f t="shared" si="12"/>
        <v>Latin America &amp; Caribbean</v>
      </c>
      <c r="AI66" s="21"/>
      <c r="AJ66" s="21"/>
      <c r="AK66" s="15">
        <f t="shared" si="13"/>
        <v>0.476887534</v>
      </c>
      <c r="AL66" s="24"/>
      <c r="AM66" s="21"/>
      <c r="AN66" s="21"/>
      <c r="AO66" s="15">
        <f t="shared" si="16"/>
        <v>1.098636152</v>
      </c>
      <c r="AP66" s="24"/>
      <c r="AQ66" s="21"/>
      <c r="AR66" s="21"/>
      <c r="AS66" s="15">
        <f t="shared" si="19"/>
        <v>0.140890432</v>
      </c>
      <c r="AT66" s="24"/>
      <c r="AU66" s="21"/>
      <c r="AX66" s="14">
        <f t="shared" si="22"/>
        <v>22050.81543</v>
      </c>
      <c r="AY66" s="14">
        <f t="shared" si="23"/>
        <v>25.78600025</v>
      </c>
      <c r="AZ66" s="14">
        <f t="shared" si="24"/>
        <v>22025.02943</v>
      </c>
      <c r="BA66" s="27"/>
    </row>
    <row r="67">
      <c r="A67" s="2" t="s">
        <v>94</v>
      </c>
      <c r="B67" s="2">
        <v>2020.0</v>
      </c>
      <c r="C67" s="2">
        <v>11890.78125</v>
      </c>
      <c r="D67" s="2">
        <v>13.70800018</v>
      </c>
      <c r="E67" s="2">
        <v>62.20712225</v>
      </c>
      <c r="F67" s="2">
        <v>19.43969314</v>
      </c>
      <c r="G67" s="2">
        <v>14.75825969</v>
      </c>
      <c r="H67" s="2">
        <v>3.594924913</v>
      </c>
      <c r="I67" s="2">
        <v>57.68576527</v>
      </c>
      <c r="J67" s="2">
        <v>21.25148213</v>
      </c>
      <c r="K67" s="2">
        <v>16.89675238</v>
      </c>
      <c r="L67" s="2">
        <v>4.166000219</v>
      </c>
      <c r="M67" s="2">
        <v>90.66911086</v>
      </c>
      <c r="N67" s="2">
        <v>8.034462869</v>
      </c>
      <c r="O67" s="2">
        <v>1.296426269</v>
      </c>
      <c r="P67" s="2">
        <v>0.0</v>
      </c>
      <c r="Q67" s="13" t="str">
        <f t="shared" si="1"/>
        <v>Burundi|2020</v>
      </c>
      <c r="R67" s="14" t="str">
        <f t="shared" si="2"/>
        <v> </v>
      </c>
      <c r="T67" s="14" t="b">
        <f t="shared" si="3"/>
        <v>0</v>
      </c>
      <c r="U67" s="14" t="b">
        <f t="shared" si="29"/>
        <v>0</v>
      </c>
      <c r="V67" s="14" t="b">
        <f t="shared" si="4"/>
        <v>0</v>
      </c>
      <c r="W67" s="14">
        <f t="shared" si="5"/>
        <v>62</v>
      </c>
      <c r="X67" s="14">
        <f t="shared" si="6"/>
        <v>58</v>
      </c>
      <c r="Y67" s="14">
        <f t="shared" si="7"/>
        <v>91</v>
      </c>
      <c r="Z67" s="14" t="str">
        <f t="shared" si="8"/>
        <v/>
      </c>
      <c r="AA67" s="14" t="str">
        <f t="shared" si="9"/>
        <v/>
      </c>
      <c r="AB67" s="14" t="str">
        <f t="shared" si="10"/>
        <v/>
      </c>
      <c r="AC67" s="14">
        <f t="shared" si="11"/>
        <v>0</v>
      </c>
      <c r="AE67" s="15" t="s">
        <v>127</v>
      </c>
      <c r="AF67" s="16" t="s">
        <v>63</v>
      </c>
      <c r="AH67" s="17" t="str">
        <f t="shared" si="12"/>
        <v>Sub-Saharan Africa</v>
      </c>
      <c r="AI67" s="21"/>
      <c r="AJ67" s="21"/>
      <c r="AK67" s="15">
        <f t="shared" si="13"/>
        <v>0.243607205</v>
      </c>
      <c r="AL67" s="24"/>
      <c r="AM67" s="21"/>
      <c r="AN67" s="21"/>
      <c r="AO67" s="15">
        <f t="shared" si="16"/>
        <v>0</v>
      </c>
      <c r="AP67" s="24"/>
      <c r="AQ67" s="21"/>
      <c r="AR67" s="21"/>
      <c r="AS67" s="15">
        <f t="shared" si="19"/>
        <v>0</v>
      </c>
      <c r="AT67" s="24"/>
      <c r="AU67" s="21"/>
      <c r="AX67" s="14" t="str">
        <f t="shared" si="22"/>
        <v>null</v>
      </c>
      <c r="AY67" s="14" t="str">
        <f t="shared" si="23"/>
        <v>null</v>
      </c>
      <c r="AZ67" s="14" t="str">
        <f t="shared" si="24"/>
        <v>null</v>
      </c>
      <c r="BA67" s="17"/>
    </row>
    <row r="68">
      <c r="A68" s="2" t="s">
        <v>95</v>
      </c>
      <c r="B68" s="2">
        <v>2015.0</v>
      </c>
      <c r="C68" s="2">
        <v>524.7399902</v>
      </c>
      <c r="D68" s="2">
        <v>64.29999542</v>
      </c>
      <c r="E68" s="2">
        <v>85.44334237</v>
      </c>
      <c r="F68" s="2">
        <v>10.25307762</v>
      </c>
      <c r="G68" s="2">
        <v>4.151948319</v>
      </c>
      <c r="H68" s="2">
        <v>0.1516316911</v>
      </c>
      <c r="I68" s="2">
        <v>72.83231411</v>
      </c>
      <c r="J68" s="2">
        <v>16.37979458</v>
      </c>
      <c r="K68" s="2">
        <v>10.43676077</v>
      </c>
      <c r="L68" s="2">
        <v>0.3511305397</v>
      </c>
      <c r="M68" s="2">
        <v>92.44511451</v>
      </c>
      <c r="N68" s="2">
        <v>6.851463911</v>
      </c>
      <c r="O68" s="2">
        <v>0.6625536281</v>
      </c>
      <c r="P68" s="2">
        <v>0.0408679538</v>
      </c>
      <c r="Q68" s="13" t="str">
        <f t="shared" si="1"/>
        <v>Cabo Verde|2015</v>
      </c>
      <c r="R68" s="14">
        <f t="shared" si="2"/>
        <v>5</v>
      </c>
      <c r="T68" s="14">
        <f t="shared" si="3"/>
        <v>0.66525281</v>
      </c>
      <c r="U68" s="14">
        <f t="shared" si="29"/>
        <v>1.456442266</v>
      </c>
      <c r="V68" s="14">
        <f t="shared" si="4"/>
        <v>0.130977098</v>
      </c>
      <c r="W68" s="14">
        <f t="shared" si="5"/>
        <v>85</v>
      </c>
      <c r="X68" s="14">
        <f t="shared" si="6"/>
        <v>73</v>
      </c>
      <c r="Y68" s="14">
        <f t="shared" si="7"/>
        <v>92</v>
      </c>
      <c r="Z68" s="14" t="str">
        <f t="shared" si="8"/>
        <v/>
      </c>
      <c r="AA68" s="14" t="str">
        <f t="shared" si="9"/>
        <v/>
      </c>
      <c r="AB68" s="14" t="str">
        <f t="shared" si="10"/>
        <v>Fully Accessible</v>
      </c>
      <c r="AC68" s="14">
        <f t="shared" si="11"/>
        <v>1.325465168</v>
      </c>
      <c r="AE68" s="15" t="s">
        <v>128</v>
      </c>
      <c r="AF68" s="16" t="s">
        <v>63</v>
      </c>
      <c r="AH68" s="17" t="str">
        <f t="shared" si="12"/>
        <v>Sub-Saharan Africa</v>
      </c>
      <c r="AI68" s="21"/>
      <c r="AJ68" s="21"/>
      <c r="AK68" s="15">
        <f t="shared" si="13"/>
        <v>0.38462665</v>
      </c>
      <c r="AL68" s="24"/>
      <c r="AM68" s="21"/>
      <c r="AN68" s="21"/>
      <c r="AO68" s="15">
        <f t="shared" si="16"/>
        <v>0</v>
      </c>
      <c r="AP68" s="24"/>
      <c r="AQ68" s="21"/>
      <c r="AR68" s="21"/>
      <c r="AS68" s="15">
        <f t="shared" si="19"/>
        <v>0</v>
      </c>
      <c r="AT68" s="24"/>
      <c r="AU68" s="21"/>
      <c r="AX68" s="14">
        <f t="shared" si="22"/>
        <v>1080.727966</v>
      </c>
      <c r="AY68" s="14">
        <f t="shared" si="23"/>
        <v>130.9519959</v>
      </c>
      <c r="AZ68" s="14">
        <f t="shared" si="24"/>
        <v>949.7759705</v>
      </c>
      <c r="BA68" s="27"/>
    </row>
    <row r="69">
      <c r="A69" s="2" t="s">
        <v>95</v>
      </c>
      <c r="B69" s="2">
        <v>2020.0</v>
      </c>
      <c r="C69" s="2">
        <v>555.9879761</v>
      </c>
      <c r="D69" s="2">
        <v>66.65200043</v>
      </c>
      <c r="E69" s="2">
        <v>88.76960642</v>
      </c>
      <c r="F69" s="2">
        <v>7.904150846</v>
      </c>
      <c r="G69" s="2">
        <v>3.209147716</v>
      </c>
      <c r="H69" s="2">
        <v>0.1170950144</v>
      </c>
      <c r="I69" s="2">
        <v>80.11452544</v>
      </c>
      <c r="J69" s="2">
        <v>9.911127022</v>
      </c>
      <c r="K69" s="2">
        <v>9.623217003</v>
      </c>
      <c r="L69" s="2">
        <v>0.3511305397</v>
      </c>
      <c r="M69" s="2">
        <v>93.1</v>
      </c>
      <c r="N69" s="2">
        <v>6.9</v>
      </c>
      <c r="O69" s="2">
        <v>0.0</v>
      </c>
      <c r="P69" s="2">
        <v>0.0</v>
      </c>
      <c r="Q69" s="13" t="str">
        <f t="shared" si="1"/>
        <v>Cabo Verde|2020</v>
      </c>
      <c r="R69" s="14" t="str">
        <f t="shared" si="2"/>
        <v> </v>
      </c>
      <c r="T69" s="14" t="b">
        <f t="shared" si="3"/>
        <v>0</v>
      </c>
      <c r="U69" s="14" t="b">
        <f t="shared" si="29"/>
        <v>0</v>
      </c>
      <c r="V69" s="14" t="b">
        <f t="shared" si="4"/>
        <v>0</v>
      </c>
      <c r="W69" s="14">
        <f t="shared" si="5"/>
        <v>89</v>
      </c>
      <c r="X69" s="14">
        <f t="shared" si="6"/>
        <v>80</v>
      </c>
      <c r="Y69" s="14">
        <f t="shared" si="7"/>
        <v>93</v>
      </c>
      <c r="Z69" s="14" t="str">
        <f t="shared" si="8"/>
        <v/>
      </c>
      <c r="AA69" s="14" t="str">
        <f t="shared" si="9"/>
        <v/>
      </c>
      <c r="AB69" s="14" t="str">
        <f t="shared" si="10"/>
        <v/>
      </c>
      <c r="AC69" s="14">
        <f t="shared" si="11"/>
        <v>0</v>
      </c>
      <c r="AE69" s="15" t="s">
        <v>129</v>
      </c>
      <c r="AF69" s="16" t="s">
        <v>53</v>
      </c>
      <c r="AH69" s="17" t="str">
        <f t="shared" si="12"/>
        <v>Europe &amp; Central Asia</v>
      </c>
      <c r="AI69" s="21"/>
      <c r="AJ69" s="21"/>
      <c r="AK69" s="15">
        <f t="shared" si="13"/>
        <v>-0.032105158</v>
      </c>
      <c r="AL69" s="24"/>
      <c r="AM69" s="21"/>
      <c r="AN69" s="21"/>
      <c r="AO69" s="15">
        <f t="shared" si="16"/>
        <v>0</v>
      </c>
      <c r="AP69" s="24"/>
      <c r="AQ69" s="21"/>
      <c r="AR69" s="21"/>
      <c r="AS69" s="15">
        <f t="shared" si="19"/>
        <v>0</v>
      </c>
      <c r="AT69" s="24"/>
      <c r="AU69" s="21"/>
      <c r="AX69" s="14" t="str">
        <f t="shared" si="22"/>
        <v>null</v>
      </c>
      <c r="AY69" s="14" t="str">
        <f t="shared" si="23"/>
        <v>null</v>
      </c>
      <c r="AZ69" s="14" t="str">
        <f t="shared" si="24"/>
        <v>null</v>
      </c>
      <c r="BA69" s="27"/>
    </row>
    <row r="70">
      <c r="A70" s="2" t="s">
        <v>96</v>
      </c>
      <c r="B70" s="2">
        <v>2015.0</v>
      </c>
      <c r="C70" s="2">
        <v>15521.43457</v>
      </c>
      <c r="D70" s="2">
        <v>22.18799973</v>
      </c>
      <c r="E70" s="2">
        <v>68.44384896</v>
      </c>
      <c r="F70" s="2">
        <v>8.603248193</v>
      </c>
      <c r="G70" s="2">
        <v>9.602994817</v>
      </c>
      <c r="H70" s="2">
        <v>13.34990803</v>
      </c>
      <c r="I70" s="2">
        <v>62.71111668</v>
      </c>
      <c r="J70" s="2">
        <v>9.432045638</v>
      </c>
      <c r="K70" s="2">
        <v>11.75089596</v>
      </c>
      <c r="L70" s="2">
        <v>16.10594172</v>
      </c>
      <c r="M70" s="2">
        <v>88.54819144</v>
      </c>
      <c r="N70" s="2">
        <v>5.696703472</v>
      </c>
      <c r="O70" s="2">
        <v>2.070445687</v>
      </c>
      <c r="P70" s="2">
        <v>3.6846594</v>
      </c>
      <c r="Q70" s="13" t="str">
        <f t="shared" si="1"/>
        <v>Cambodia|2015</v>
      </c>
      <c r="R70" s="14">
        <f t="shared" si="2"/>
        <v>5</v>
      </c>
      <c r="T70" s="14">
        <f t="shared" si="3"/>
        <v>0.555207202</v>
      </c>
      <c r="U70" s="14">
        <f t="shared" si="29"/>
        <v>0.47120783</v>
      </c>
      <c r="V70" s="14">
        <f t="shared" si="4"/>
        <v>0.381977146</v>
      </c>
      <c r="W70" s="14">
        <f t="shared" si="5"/>
        <v>68</v>
      </c>
      <c r="X70" s="14">
        <f t="shared" si="6"/>
        <v>63</v>
      </c>
      <c r="Y70" s="14">
        <f t="shared" si="7"/>
        <v>89</v>
      </c>
      <c r="Z70" s="14" t="str">
        <f t="shared" si="8"/>
        <v/>
      </c>
      <c r="AA70" s="14" t="str">
        <f t="shared" si="9"/>
        <v/>
      </c>
      <c r="AB70" s="14" t="str">
        <f t="shared" si="10"/>
        <v>Fully Accessible</v>
      </c>
      <c r="AC70" s="14">
        <f t="shared" si="11"/>
        <v>0.089230684</v>
      </c>
      <c r="AE70" s="15" t="s">
        <v>130</v>
      </c>
      <c r="AF70" s="16" t="s">
        <v>63</v>
      </c>
      <c r="AH70" s="17" t="str">
        <f t="shared" si="12"/>
        <v>Sub-Saharan Africa</v>
      </c>
      <c r="AI70" s="21"/>
      <c r="AJ70" s="21"/>
      <c r="AK70" s="15">
        <f t="shared" si="13"/>
        <v>0.809823146</v>
      </c>
      <c r="AL70" s="24"/>
      <c r="AM70" s="21"/>
      <c r="AN70" s="21"/>
      <c r="AO70" s="15">
        <f t="shared" si="16"/>
        <v>0.868292768</v>
      </c>
      <c r="AP70" s="24"/>
      <c r="AQ70" s="21"/>
      <c r="AR70" s="21"/>
      <c r="AS70" s="15">
        <f t="shared" si="19"/>
        <v>0.361032584</v>
      </c>
      <c r="AT70" s="24"/>
      <c r="AU70" s="21"/>
      <c r="AX70" s="14">
        <f t="shared" si="22"/>
        <v>32240.40527</v>
      </c>
      <c r="AY70" s="14">
        <f t="shared" si="23"/>
        <v>46.42000008</v>
      </c>
      <c r="AZ70" s="14">
        <f t="shared" si="24"/>
        <v>32193.98527</v>
      </c>
      <c r="BA70" s="17"/>
    </row>
    <row r="71">
      <c r="A71" s="2" t="s">
        <v>96</v>
      </c>
      <c r="B71" s="2">
        <v>2020.0</v>
      </c>
      <c r="C71" s="2">
        <v>16718.9707</v>
      </c>
      <c r="D71" s="2">
        <v>24.23200035</v>
      </c>
      <c r="E71" s="2">
        <v>71.21988497</v>
      </c>
      <c r="F71" s="2">
        <v>13.90222204</v>
      </c>
      <c r="G71" s="2">
        <v>5.677218558</v>
      </c>
      <c r="H71" s="2">
        <v>9.200674434</v>
      </c>
      <c r="I71" s="2">
        <v>65.06715583</v>
      </c>
      <c r="J71" s="2">
        <v>15.51772278</v>
      </c>
      <c r="K71" s="2">
        <v>7.492899307</v>
      </c>
      <c r="L71" s="2">
        <v>11.92222209</v>
      </c>
      <c r="M71" s="2">
        <v>90.45807717</v>
      </c>
      <c r="N71" s="2">
        <v>8.85091472</v>
      </c>
      <c r="O71" s="2">
        <v>0.0</v>
      </c>
      <c r="P71" s="2">
        <v>0.6910081144</v>
      </c>
      <c r="Q71" s="13" t="str">
        <f t="shared" si="1"/>
        <v>Cambodia|2020</v>
      </c>
      <c r="R71" s="14" t="str">
        <f t="shared" si="2"/>
        <v> </v>
      </c>
      <c r="T71" s="14" t="b">
        <f t="shared" si="3"/>
        <v>0</v>
      </c>
      <c r="U71" s="14" t="b">
        <f t="shared" si="29"/>
        <v>0</v>
      </c>
      <c r="V71" s="14" t="b">
        <f t="shared" si="4"/>
        <v>0</v>
      </c>
      <c r="W71" s="14">
        <f t="shared" si="5"/>
        <v>71</v>
      </c>
      <c r="X71" s="14">
        <f t="shared" si="6"/>
        <v>65</v>
      </c>
      <c r="Y71" s="14">
        <f t="shared" si="7"/>
        <v>90</v>
      </c>
      <c r="Z71" s="14" t="str">
        <f t="shared" si="8"/>
        <v/>
      </c>
      <c r="AA71" s="14" t="str">
        <f t="shared" si="9"/>
        <v/>
      </c>
      <c r="AB71" s="14" t="str">
        <f t="shared" si="10"/>
        <v/>
      </c>
      <c r="AC71" s="14">
        <f t="shared" si="11"/>
        <v>0</v>
      </c>
      <c r="AE71" s="15" t="s">
        <v>131</v>
      </c>
      <c r="AF71" s="16" t="s">
        <v>63</v>
      </c>
      <c r="AH71" s="17" t="str">
        <f t="shared" si="12"/>
        <v>Sub-Saharan Africa</v>
      </c>
      <c r="AI71" s="21"/>
      <c r="AJ71" s="21"/>
      <c r="AK71" s="15">
        <f t="shared" si="13"/>
        <v>1.509101108</v>
      </c>
      <c r="AL71" s="24"/>
      <c r="AM71" s="21"/>
      <c r="AN71" s="21"/>
      <c r="AO71" s="15">
        <f t="shared" si="16"/>
        <v>1.515674352</v>
      </c>
      <c r="AP71" s="24"/>
      <c r="AQ71" s="21"/>
      <c r="AR71" s="21"/>
      <c r="AS71" s="15">
        <f t="shared" si="19"/>
        <v>0.450730324</v>
      </c>
      <c r="AT71" s="24"/>
      <c r="AU71" s="21"/>
      <c r="AX71" s="14" t="str">
        <f t="shared" si="22"/>
        <v>null</v>
      </c>
      <c r="AY71" s="14" t="str">
        <f t="shared" si="23"/>
        <v>null</v>
      </c>
      <c r="AZ71" s="14" t="str">
        <f t="shared" si="24"/>
        <v>null</v>
      </c>
      <c r="BA71" s="17"/>
    </row>
    <row r="72">
      <c r="A72" s="2" t="s">
        <v>97</v>
      </c>
      <c r="B72" s="2">
        <v>2015.0</v>
      </c>
      <c r="C72" s="2">
        <v>23298.37695</v>
      </c>
      <c r="D72" s="2">
        <v>54.57799911</v>
      </c>
      <c r="E72" s="2">
        <v>63.97399012</v>
      </c>
      <c r="F72" s="2">
        <v>11.23827056</v>
      </c>
      <c r="G72" s="2">
        <v>17.65135833</v>
      </c>
      <c r="H72" s="2">
        <v>7.136380984</v>
      </c>
      <c r="I72" s="2">
        <v>42.00566921</v>
      </c>
      <c r="J72" s="2">
        <v>11.07338641</v>
      </c>
      <c r="K72" s="2">
        <v>32.39404459</v>
      </c>
      <c r="L72" s="2">
        <v>14.52689979</v>
      </c>
      <c r="M72" s="2">
        <v>82.25690791</v>
      </c>
      <c r="N72" s="2">
        <v>11.37549377</v>
      </c>
      <c r="O72" s="2">
        <v>5.381903513</v>
      </c>
      <c r="P72" s="2">
        <v>0.9856948028</v>
      </c>
      <c r="Q72" s="13" t="str">
        <f t="shared" si="1"/>
        <v>Cameroon|2015</v>
      </c>
      <c r="R72" s="14">
        <f t="shared" si="2"/>
        <v>5</v>
      </c>
      <c r="T72" s="14">
        <f t="shared" si="3"/>
        <v>0.349285612</v>
      </c>
      <c r="U72" s="14">
        <f t="shared" si="29"/>
        <v>0.304382382</v>
      </c>
      <c r="V72" s="14">
        <f t="shared" si="4"/>
        <v>-0.03466461</v>
      </c>
      <c r="W72" s="14">
        <f t="shared" si="5"/>
        <v>64</v>
      </c>
      <c r="X72" s="14">
        <f t="shared" si="6"/>
        <v>42</v>
      </c>
      <c r="Y72" s="14">
        <f t="shared" si="7"/>
        <v>82</v>
      </c>
      <c r="Z72" s="14" t="str">
        <f t="shared" si="8"/>
        <v/>
      </c>
      <c r="AA72" s="14" t="str">
        <f t="shared" si="9"/>
        <v/>
      </c>
      <c r="AB72" s="14" t="str">
        <f t="shared" si="10"/>
        <v>Fully Accessible</v>
      </c>
      <c r="AC72" s="14">
        <f t="shared" si="11"/>
        <v>0.339046992</v>
      </c>
      <c r="AE72" s="15" t="s">
        <v>132</v>
      </c>
      <c r="AF72" s="16" t="s">
        <v>53</v>
      </c>
      <c r="AH72" s="17" t="str">
        <f t="shared" si="12"/>
        <v>Europe &amp; Central Asia</v>
      </c>
      <c r="AI72" s="21"/>
      <c r="AJ72" s="21"/>
      <c r="AK72" s="15">
        <f t="shared" si="13"/>
        <v>0</v>
      </c>
      <c r="AL72" s="24"/>
      <c r="AM72" s="21"/>
      <c r="AN72" s="21"/>
      <c r="AO72" s="15">
        <f t="shared" si="16"/>
        <v>0</v>
      </c>
      <c r="AP72" s="24"/>
      <c r="AQ72" s="21"/>
      <c r="AR72" s="21"/>
      <c r="AS72" s="15">
        <f t="shared" si="19"/>
        <v>0</v>
      </c>
      <c r="AT72" s="24"/>
      <c r="AU72" s="21"/>
      <c r="AX72" s="14">
        <f t="shared" si="22"/>
        <v>49844.24023</v>
      </c>
      <c r="AY72" s="14">
        <f t="shared" si="23"/>
        <v>112.1380043</v>
      </c>
      <c r="AZ72" s="14">
        <f t="shared" si="24"/>
        <v>49732.10223</v>
      </c>
      <c r="BA72" s="17"/>
    </row>
    <row r="73">
      <c r="A73" s="2" t="s">
        <v>97</v>
      </c>
      <c r="B73" s="2">
        <v>2020.0</v>
      </c>
      <c r="C73" s="2">
        <v>26545.86328</v>
      </c>
      <c r="D73" s="2">
        <v>57.56000519</v>
      </c>
      <c r="E73" s="2">
        <v>65.72041818</v>
      </c>
      <c r="F73" s="2">
        <v>12.87474863</v>
      </c>
      <c r="G73" s="2">
        <v>15.00100626</v>
      </c>
      <c r="H73" s="2">
        <v>6.403826927</v>
      </c>
      <c r="I73" s="2">
        <v>43.52758112</v>
      </c>
      <c r="J73" s="2">
        <v>12.67259943</v>
      </c>
      <c r="K73" s="2">
        <v>30.12380645</v>
      </c>
      <c r="L73" s="2">
        <v>13.676013</v>
      </c>
      <c r="M73" s="2">
        <v>82.08358486</v>
      </c>
      <c r="N73" s="2">
        <v>13.02379677</v>
      </c>
      <c r="O73" s="2">
        <v>3.850701351</v>
      </c>
      <c r="P73" s="2">
        <v>1.041917019</v>
      </c>
      <c r="Q73" s="13" t="str">
        <f t="shared" si="1"/>
        <v>Cameroon|2020</v>
      </c>
      <c r="R73" s="14" t="str">
        <f t="shared" si="2"/>
        <v> </v>
      </c>
      <c r="T73" s="14" t="b">
        <f t="shared" si="3"/>
        <v>0</v>
      </c>
      <c r="U73" s="14" t="b">
        <f t="shared" si="29"/>
        <v>0</v>
      </c>
      <c r="V73" s="14" t="b">
        <f t="shared" si="4"/>
        <v>0</v>
      </c>
      <c r="W73" s="14">
        <f t="shared" si="5"/>
        <v>66</v>
      </c>
      <c r="X73" s="14">
        <f t="shared" si="6"/>
        <v>44</v>
      </c>
      <c r="Y73" s="14">
        <f t="shared" si="7"/>
        <v>82</v>
      </c>
      <c r="Z73" s="14" t="str">
        <f t="shared" si="8"/>
        <v/>
      </c>
      <c r="AA73" s="14" t="str">
        <f t="shared" si="9"/>
        <v/>
      </c>
      <c r="AB73" s="14" t="str">
        <f t="shared" si="10"/>
        <v/>
      </c>
      <c r="AC73" s="14">
        <f t="shared" si="11"/>
        <v>0</v>
      </c>
      <c r="AE73" s="15" t="s">
        <v>133</v>
      </c>
      <c r="AF73" s="16" t="s">
        <v>57</v>
      </c>
      <c r="AH73" s="17" t="str">
        <f t="shared" si="12"/>
        <v>Latin America &amp; Caribbean</v>
      </c>
      <c r="AI73" s="21"/>
      <c r="AJ73" s="21"/>
      <c r="AK73" s="15">
        <f t="shared" si="13"/>
        <v>0.097784148</v>
      </c>
      <c r="AL73" s="24"/>
      <c r="AM73" s="21"/>
      <c r="AN73" s="21"/>
      <c r="AO73" s="15">
        <f t="shared" si="16"/>
        <v>0</v>
      </c>
      <c r="AP73" s="24"/>
      <c r="AQ73" s="21"/>
      <c r="AR73" s="21"/>
      <c r="AS73" s="15">
        <f t="shared" si="19"/>
        <v>0</v>
      </c>
      <c r="AT73" s="24"/>
      <c r="AU73" s="21"/>
      <c r="AX73" s="14" t="str">
        <f t="shared" si="22"/>
        <v>null</v>
      </c>
      <c r="AY73" s="14" t="str">
        <f t="shared" si="23"/>
        <v>null</v>
      </c>
      <c r="AZ73" s="14" t="str">
        <f t="shared" si="24"/>
        <v>null</v>
      </c>
      <c r="BA73" s="8"/>
    </row>
    <row r="74">
      <c r="A74" s="2" t="s">
        <v>98</v>
      </c>
      <c r="B74" s="2">
        <v>2015.0</v>
      </c>
      <c r="C74" s="2">
        <v>36026.66797</v>
      </c>
      <c r="D74" s="2">
        <v>81.25900269</v>
      </c>
      <c r="E74" s="2">
        <v>99.22922139</v>
      </c>
      <c r="F74" s="2">
        <v>0.0</v>
      </c>
      <c r="G74" s="2">
        <v>0.7707786091</v>
      </c>
      <c r="H74" s="2">
        <v>0.0</v>
      </c>
      <c r="I74" s="2">
        <v>98.81619508</v>
      </c>
      <c r="J74" s="2">
        <v>0.0</v>
      </c>
      <c r="K74" s="2">
        <v>1.183804922</v>
      </c>
      <c r="L74" s="2">
        <v>0.0</v>
      </c>
      <c r="M74" s="2">
        <v>99.32447885</v>
      </c>
      <c r="N74" s="2">
        <v>0.0</v>
      </c>
      <c r="O74" s="2">
        <v>0.6755211473</v>
      </c>
      <c r="P74" s="2">
        <v>0.0</v>
      </c>
      <c r="Q74" s="13" t="str">
        <f t="shared" si="1"/>
        <v>Canada|2015</v>
      </c>
      <c r="R74" s="14">
        <f t="shared" si="2"/>
        <v>5</v>
      </c>
      <c r="T74" s="14">
        <f t="shared" si="3"/>
        <v>-0.001482146</v>
      </c>
      <c r="U74" s="14">
        <f t="shared" si="29"/>
        <v>0.048860164</v>
      </c>
      <c r="V74" s="14">
        <f t="shared" si="4"/>
        <v>-0.013240238</v>
      </c>
      <c r="W74" s="14">
        <f t="shared" si="5"/>
        <v>99</v>
      </c>
      <c r="X74" s="14">
        <f t="shared" si="6"/>
        <v>99</v>
      </c>
      <c r="Y74" s="14">
        <f t="shared" si="7"/>
        <v>99</v>
      </c>
      <c r="Z74" s="14" t="str">
        <f t="shared" si="8"/>
        <v/>
      </c>
      <c r="AA74" s="14" t="str">
        <f t="shared" si="9"/>
        <v/>
      </c>
      <c r="AB74" s="14" t="str">
        <f t="shared" si="10"/>
        <v>Fully Accessible</v>
      </c>
      <c r="AC74" s="14">
        <f t="shared" si="11"/>
        <v>0.062100402</v>
      </c>
      <c r="AE74" s="15" t="s">
        <v>134</v>
      </c>
      <c r="AF74" s="16" t="s">
        <v>51</v>
      </c>
      <c r="AH74" s="17" t="str">
        <f t="shared" si="12"/>
        <v>East Asia &amp; Pacific</v>
      </c>
      <c r="AI74" s="21"/>
      <c r="AJ74" s="21"/>
      <c r="AK74" s="15">
        <f t="shared" si="13"/>
        <v>0.007701314</v>
      </c>
      <c r="AL74" s="24"/>
      <c r="AM74" s="21"/>
      <c r="AN74" s="21"/>
      <c r="AO74" s="15">
        <f t="shared" si="16"/>
        <v>-0.058100668</v>
      </c>
      <c r="AP74" s="24"/>
      <c r="AQ74" s="21"/>
      <c r="AR74" s="21"/>
      <c r="AS74" s="15">
        <f t="shared" si="19"/>
        <v>-0.021760122</v>
      </c>
      <c r="AT74" s="24"/>
      <c r="AU74" s="21"/>
      <c r="AX74" s="14">
        <f t="shared" si="22"/>
        <v>73768.82422</v>
      </c>
      <c r="AY74" s="14">
        <f t="shared" si="23"/>
        <v>162.8210068</v>
      </c>
      <c r="AZ74" s="14">
        <f t="shared" si="24"/>
        <v>73606.00321</v>
      </c>
      <c r="BA74" s="27"/>
    </row>
    <row r="75">
      <c r="A75" s="2" t="s">
        <v>98</v>
      </c>
      <c r="B75" s="2">
        <v>2020.0</v>
      </c>
      <c r="C75" s="2">
        <v>37742.15625</v>
      </c>
      <c r="D75" s="2">
        <v>81.56200409</v>
      </c>
      <c r="E75" s="2">
        <v>99.22181066</v>
      </c>
      <c r="F75" s="2">
        <v>0.0</v>
      </c>
      <c r="G75" s="2">
        <v>0.7781893369</v>
      </c>
      <c r="H75" s="2">
        <v>0.0</v>
      </c>
      <c r="I75" s="2">
        <v>99.0604959</v>
      </c>
      <c r="J75" s="2">
        <v>0.0</v>
      </c>
      <c r="K75" s="2">
        <v>0.9395041006</v>
      </c>
      <c r="L75" s="2">
        <v>0.0</v>
      </c>
      <c r="M75" s="2">
        <v>99.25827766</v>
      </c>
      <c r="N75" s="2">
        <v>0.0</v>
      </c>
      <c r="O75" s="2">
        <v>0.7417223371</v>
      </c>
      <c r="P75" s="2">
        <v>0.0</v>
      </c>
      <c r="Q75" s="13" t="str">
        <f t="shared" si="1"/>
        <v>Canada|2020</v>
      </c>
      <c r="R75" s="14" t="str">
        <f t="shared" si="2"/>
        <v> </v>
      </c>
      <c r="T75" s="14" t="b">
        <f t="shared" si="3"/>
        <v>0</v>
      </c>
      <c r="U75" s="14" t="b">
        <f t="shared" si="29"/>
        <v>0</v>
      </c>
      <c r="V75" s="14" t="b">
        <f t="shared" si="4"/>
        <v>0</v>
      </c>
      <c r="W75" s="14">
        <f t="shared" si="5"/>
        <v>99</v>
      </c>
      <c r="X75" s="14">
        <f t="shared" si="6"/>
        <v>99</v>
      </c>
      <c r="Y75" s="14">
        <f t="shared" si="7"/>
        <v>99</v>
      </c>
      <c r="Z75" s="14" t="str">
        <f t="shared" si="8"/>
        <v/>
      </c>
      <c r="AA75" s="14" t="str">
        <f t="shared" si="9"/>
        <v/>
      </c>
      <c r="AB75" s="14" t="str">
        <f t="shared" si="10"/>
        <v/>
      </c>
      <c r="AC75" s="14">
        <f t="shared" si="11"/>
        <v>0</v>
      </c>
      <c r="AE75" s="15" t="s">
        <v>135</v>
      </c>
      <c r="AF75" s="16" t="s">
        <v>53</v>
      </c>
      <c r="AH75" s="17" t="str">
        <f t="shared" si="12"/>
        <v>Europe &amp; Central Asia</v>
      </c>
      <c r="AI75" s="21"/>
      <c r="AJ75" s="21"/>
      <c r="AK75" s="15">
        <f t="shared" si="13"/>
        <v>0.000001328000002</v>
      </c>
      <c r="AL75" s="24"/>
      <c r="AM75" s="21"/>
      <c r="AN75" s="21"/>
      <c r="AO75" s="15">
        <f t="shared" si="16"/>
        <v>0</v>
      </c>
      <c r="AP75" s="24"/>
      <c r="AQ75" s="21"/>
      <c r="AR75" s="21"/>
      <c r="AS75" s="15">
        <f t="shared" si="19"/>
        <v>0</v>
      </c>
      <c r="AT75" s="24"/>
      <c r="AU75" s="21"/>
      <c r="AX75" s="14" t="str">
        <f t="shared" si="22"/>
        <v>null</v>
      </c>
      <c r="AY75" s="14" t="str">
        <f t="shared" si="23"/>
        <v>null</v>
      </c>
      <c r="AZ75" s="14" t="str">
        <f t="shared" si="24"/>
        <v>null</v>
      </c>
      <c r="BA75" s="17"/>
    </row>
    <row r="76">
      <c r="A76" s="2" t="s">
        <v>99</v>
      </c>
      <c r="B76" s="2">
        <v>2015.0</v>
      </c>
      <c r="C76" s="2">
        <v>61.72100067</v>
      </c>
      <c r="D76" s="2">
        <v>100.0</v>
      </c>
      <c r="E76" s="2">
        <v>96.125</v>
      </c>
      <c r="F76" s="2">
        <v>0.0</v>
      </c>
      <c r="G76" s="2">
        <v>3.875</v>
      </c>
      <c r="H76" s="2">
        <v>0.0</v>
      </c>
      <c r="I76" s="2" t="s">
        <v>64</v>
      </c>
      <c r="J76" s="2" t="s">
        <v>64</v>
      </c>
      <c r="K76" s="2" t="s">
        <v>64</v>
      </c>
      <c r="L76" s="2" t="s">
        <v>64</v>
      </c>
      <c r="M76" s="2">
        <v>96.125</v>
      </c>
      <c r="N76" s="2">
        <v>0.0</v>
      </c>
      <c r="O76" s="2">
        <v>3.875</v>
      </c>
      <c r="P76" s="2">
        <v>0.0</v>
      </c>
      <c r="Q76" s="13" t="str">
        <f t="shared" si="1"/>
        <v>Cayman Islands|2015</v>
      </c>
      <c r="R76" s="14">
        <f t="shared" si="2"/>
        <v>1</v>
      </c>
      <c r="T76" s="14">
        <f t="shared" si="3"/>
        <v>0</v>
      </c>
      <c r="U76" s="14" t="str">
        <f t="shared" si="29"/>
        <v>null</v>
      </c>
      <c r="V76" s="14">
        <f t="shared" si="4"/>
        <v>0</v>
      </c>
      <c r="W76" s="14">
        <f t="shared" si="5"/>
        <v>96</v>
      </c>
      <c r="X76" s="14" t="b">
        <f t="shared" si="6"/>
        <v>0</v>
      </c>
      <c r="Y76" s="14">
        <f t="shared" si="7"/>
        <v>96</v>
      </c>
      <c r="Z76" s="14" t="str">
        <f t="shared" si="8"/>
        <v/>
      </c>
      <c r="AA76" s="14" t="str">
        <f t="shared" si="9"/>
        <v>Fully Accessible</v>
      </c>
      <c r="AB76" s="14" t="str">
        <f t="shared" si="10"/>
        <v>Fully Accessible</v>
      </c>
      <c r="AC76" s="14" t="b">
        <f t="shared" si="11"/>
        <v>0</v>
      </c>
      <c r="AE76" s="15" t="s">
        <v>136</v>
      </c>
      <c r="AF76" s="16" t="s">
        <v>53</v>
      </c>
      <c r="AH76" s="17" t="str">
        <f t="shared" si="12"/>
        <v>Europe &amp; Central Asia</v>
      </c>
      <c r="AI76" s="21"/>
      <c r="AJ76" s="21"/>
      <c r="AK76" s="15">
        <f t="shared" si="13"/>
        <v>-0.0000002999999992</v>
      </c>
      <c r="AL76" s="24"/>
      <c r="AM76" s="21"/>
      <c r="AN76" s="21"/>
      <c r="AO76" s="15">
        <f t="shared" si="16"/>
        <v>0</v>
      </c>
      <c r="AP76" s="24"/>
      <c r="AQ76" s="21"/>
      <c r="AR76" s="21"/>
      <c r="AS76" s="15">
        <f t="shared" si="19"/>
        <v>0</v>
      </c>
      <c r="AT76" s="24"/>
      <c r="AU76" s="21"/>
      <c r="AX76" s="14">
        <f t="shared" si="22"/>
        <v>124.2849999</v>
      </c>
      <c r="AY76" s="14">
        <f t="shared" si="23"/>
        <v>200</v>
      </c>
      <c r="AZ76" s="14">
        <f t="shared" si="24"/>
        <v>-75.71500015</v>
      </c>
      <c r="BA76" s="27"/>
    </row>
    <row r="77">
      <c r="A77" s="2" t="s">
        <v>99</v>
      </c>
      <c r="B77" s="2">
        <v>2016.0</v>
      </c>
      <c r="C77" s="2">
        <v>62.56399918</v>
      </c>
      <c r="D77" s="2">
        <v>100.0</v>
      </c>
      <c r="E77" s="2">
        <v>96.125</v>
      </c>
      <c r="F77" s="2">
        <v>0.0</v>
      </c>
      <c r="G77" s="2">
        <v>3.875</v>
      </c>
      <c r="H77" s="2">
        <v>0.0</v>
      </c>
      <c r="I77" s="2" t="s">
        <v>64</v>
      </c>
      <c r="J77" s="2" t="s">
        <v>64</v>
      </c>
      <c r="K77" s="2" t="s">
        <v>64</v>
      </c>
      <c r="L77" s="2" t="s">
        <v>64</v>
      </c>
      <c r="M77" s="2">
        <v>96.125</v>
      </c>
      <c r="N77" s="2">
        <v>0.0</v>
      </c>
      <c r="O77" s="2">
        <v>3.875</v>
      </c>
      <c r="P77" s="2">
        <v>0.0</v>
      </c>
      <c r="Q77" s="13" t="str">
        <f t="shared" si="1"/>
        <v>Cayman Islands|2016</v>
      </c>
      <c r="R77" s="14" t="str">
        <f t="shared" si="2"/>
        <v> </v>
      </c>
      <c r="T77" s="14" t="b">
        <f t="shared" si="3"/>
        <v>0</v>
      </c>
      <c r="U77" s="14" t="b">
        <f t="shared" si="29"/>
        <v>0</v>
      </c>
      <c r="V77" s="14" t="b">
        <f t="shared" si="4"/>
        <v>0</v>
      </c>
      <c r="W77" s="14">
        <f t="shared" si="5"/>
        <v>96</v>
      </c>
      <c r="X77" s="14" t="b">
        <f t="shared" si="6"/>
        <v>0</v>
      </c>
      <c r="Y77" s="14">
        <f t="shared" si="7"/>
        <v>96</v>
      </c>
      <c r="Z77" s="14" t="str">
        <f t="shared" si="8"/>
        <v/>
      </c>
      <c r="AA77" s="14" t="str">
        <f t="shared" si="9"/>
        <v/>
      </c>
      <c r="AB77" s="14" t="str">
        <f t="shared" si="10"/>
        <v/>
      </c>
      <c r="AC77" s="14">
        <f t="shared" si="11"/>
        <v>0</v>
      </c>
      <c r="AE77" s="15" t="s">
        <v>137</v>
      </c>
      <c r="AF77" s="16" t="s">
        <v>57</v>
      </c>
      <c r="AH77" s="17" t="str">
        <f t="shared" si="12"/>
        <v>Latin America &amp; Caribbean</v>
      </c>
      <c r="AI77" s="21"/>
      <c r="AJ77" s="21"/>
      <c r="AK77" s="15">
        <f t="shared" si="13"/>
        <v>0.044031956</v>
      </c>
      <c r="AL77" s="24"/>
      <c r="AM77" s="21"/>
      <c r="AN77" s="21"/>
      <c r="AO77" s="15">
        <f t="shared" si="16"/>
        <v>0</v>
      </c>
      <c r="AP77" s="24"/>
      <c r="AQ77" s="21"/>
      <c r="AR77" s="21"/>
      <c r="AS77" s="15">
        <f t="shared" si="19"/>
        <v>0</v>
      </c>
      <c r="AT77" s="24"/>
      <c r="AU77" s="21"/>
      <c r="AX77" s="14" t="str">
        <f t="shared" si="22"/>
        <v>null</v>
      </c>
      <c r="AY77" s="14" t="str">
        <f t="shared" si="23"/>
        <v>null</v>
      </c>
      <c r="AZ77" s="14" t="str">
        <f t="shared" si="24"/>
        <v>null</v>
      </c>
      <c r="BA77" s="27"/>
    </row>
    <row r="78">
      <c r="A78" s="2" t="s">
        <v>100</v>
      </c>
      <c r="B78" s="2">
        <v>2015.0</v>
      </c>
      <c r="C78" s="2">
        <v>4493.170898</v>
      </c>
      <c r="D78" s="2">
        <v>40.27700043</v>
      </c>
      <c r="E78" s="2">
        <v>42.31134542</v>
      </c>
      <c r="F78" s="2">
        <v>21.34399718</v>
      </c>
      <c r="G78" s="2">
        <v>32.01017408</v>
      </c>
      <c r="H78" s="2">
        <v>4.334483318</v>
      </c>
      <c r="I78" s="2">
        <v>31.89140779</v>
      </c>
      <c r="J78" s="2">
        <v>17.35785358</v>
      </c>
      <c r="K78" s="2">
        <v>43.70260925</v>
      </c>
      <c r="L78" s="2">
        <v>7.048129392</v>
      </c>
      <c r="M78" s="2">
        <v>57.76209901</v>
      </c>
      <c r="N78" s="2">
        <v>27.25467806</v>
      </c>
      <c r="O78" s="2">
        <v>14.67255123</v>
      </c>
      <c r="P78" s="2">
        <v>0.310671709</v>
      </c>
      <c r="Q78" s="13" t="str">
        <f t="shared" si="1"/>
        <v>Central African Republic|2015</v>
      </c>
      <c r="R78" s="14">
        <f t="shared" si="2"/>
        <v>5</v>
      </c>
      <c r="T78" s="14">
        <f t="shared" si="3"/>
        <v>-1.021788674</v>
      </c>
      <c r="U78" s="14">
        <f t="shared" si="29"/>
        <v>-0.756962728</v>
      </c>
      <c r="V78" s="14">
        <f t="shared" si="4"/>
        <v>-1.620086812</v>
      </c>
      <c r="W78" s="14">
        <f t="shared" si="5"/>
        <v>42</v>
      </c>
      <c r="X78" s="14">
        <f t="shared" si="6"/>
        <v>32</v>
      </c>
      <c r="Y78" s="14">
        <f t="shared" si="7"/>
        <v>58</v>
      </c>
      <c r="Z78" s="14" t="str">
        <f t="shared" si="8"/>
        <v/>
      </c>
      <c r="AA78" s="14" t="str">
        <f t="shared" si="9"/>
        <v/>
      </c>
      <c r="AB78" s="14" t="str">
        <f t="shared" si="10"/>
        <v>Fully Accessible</v>
      </c>
      <c r="AC78" s="14">
        <f t="shared" si="11"/>
        <v>0.863124084</v>
      </c>
      <c r="AE78" s="15" t="s">
        <v>138</v>
      </c>
      <c r="AF78" s="16" t="s">
        <v>51</v>
      </c>
      <c r="AH78" s="17" t="str">
        <f t="shared" si="12"/>
        <v>East Asia &amp; Pacific</v>
      </c>
      <c r="AI78" s="21"/>
      <c r="AJ78" s="21"/>
      <c r="AK78" s="15">
        <f t="shared" si="13"/>
        <v>0</v>
      </c>
      <c r="AL78" s="24"/>
      <c r="AM78" s="21"/>
      <c r="AN78" s="21"/>
      <c r="AO78" s="15">
        <f t="shared" si="16"/>
        <v>0</v>
      </c>
      <c r="AP78" s="24"/>
      <c r="AQ78" s="21"/>
      <c r="AR78" s="21"/>
      <c r="AS78" s="15">
        <f t="shared" si="19"/>
        <v>0</v>
      </c>
      <c r="AT78" s="24"/>
      <c r="AU78" s="21"/>
      <c r="AX78" s="14">
        <f t="shared" si="22"/>
        <v>9322.935058</v>
      </c>
      <c r="AY78" s="14">
        <f t="shared" si="23"/>
        <v>82.47499848</v>
      </c>
      <c r="AZ78" s="14">
        <f t="shared" si="24"/>
        <v>9240.46006</v>
      </c>
      <c r="BA78" s="17"/>
    </row>
    <row r="79">
      <c r="A79" s="2" t="s">
        <v>100</v>
      </c>
      <c r="B79" s="2">
        <v>2020.0</v>
      </c>
      <c r="C79" s="2">
        <v>4829.76416</v>
      </c>
      <c r="D79" s="2">
        <v>42.19799805</v>
      </c>
      <c r="E79" s="2">
        <v>37.20240205</v>
      </c>
      <c r="F79" s="2">
        <v>25.68237348</v>
      </c>
      <c r="G79" s="2">
        <v>33.53911377</v>
      </c>
      <c r="H79" s="2">
        <v>3.576110708</v>
      </c>
      <c r="I79" s="2">
        <v>28.10659415</v>
      </c>
      <c r="J79" s="2">
        <v>19.4058899</v>
      </c>
      <c r="K79" s="2">
        <v>46.37307301</v>
      </c>
      <c r="L79" s="2">
        <v>6.114442944</v>
      </c>
      <c r="M79" s="2">
        <v>49.66166495</v>
      </c>
      <c r="N79" s="2">
        <v>34.27978009</v>
      </c>
      <c r="O79" s="2">
        <v>15.95940214</v>
      </c>
      <c r="P79" s="2">
        <v>0.09915281712</v>
      </c>
      <c r="Q79" s="13" t="str">
        <f t="shared" si="1"/>
        <v>Central African Republic|2020</v>
      </c>
      <c r="R79" s="14" t="str">
        <f t="shared" si="2"/>
        <v> </v>
      </c>
      <c r="T79" s="14" t="b">
        <f t="shared" si="3"/>
        <v>0</v>
      </c>
      <c r="U79" s="14" t="b">
        <f t="shared" si="29"/>
        <v>0</v>
      </c>
      <c r="V79" s="14" t="b">
        <f t="shared" si="4"/>
        <v>0</v>
      </c>
      <c r="W79" s="14">
        <f t="shared" si="5"/>
        <v>37</v>
      </c>
      <c r="X79" s="14">
        <f t="shared" si="6"/>
        <v>28</v>
      </c>
      <c r="Y79" s="14">
        <f t="shared" si="7"/>
        <v>50</v>
      </c>
      <c r="Z79" s="14" t="str">
        <f t="shared" si="8"/>
        <v/>
      </c>
      <c r="AA79" s="14" t="str">
        <f t="shared" si="9"/>
        <v/>
      </c>
      <c r="AB79" s="14" t="str">
        <f t="shared" si="10"/>
        <v/>
      </c>
      <c r="AC79" s="14">
        <f t="shared" si="11"/>
        <v>0</v>
      </c>
      <c r="AE79" s="15" t="s">
        <v>139</v>
      </c>
      <c r="AF79" s="16" t="s">
        <v>63</v>
      </c>
      <c r="AH79" s="17" t="str">
        <f t="shared" si="12"/>
        <v>Sub-Saharan Africa</v>
      </c>
      <c r="AI79" s="21"/>
      <c r="AJ79" s="21"/>
      <c r="AK79" s="15">
        <f t="shared" si="13"/>
        <v>0.29668881</v>
      </c>
      <c r="AL79" s="24"/>
      <c r="AM79" s="21"/>
      <c r="AN79" s="21"/>
      <c r="AO79" s="15">
        <f t="shared" si="16"/>
        <v>0.27117117</v>
      </c>
      <c r="AP79" s="24"/>
      <c r="AQ79" s="21"/>
      <c r="AR79" s="21"/>
      <c r="AS79" s="15">
        <f t="shared" si="19"/>
        <v>0.09824146</v>
      </c>
      <c r="AT79" s="24"/>
      <c r="AU79" s="21"/>
      <c r="AX79" s="14" t="str">
        <f t="shared" si="22"/>
        <v>null</v>
      </c>
      <c r="AY79" s="14" t="str">
        <f t="shared" si="23"/>
        <v>null</v>
      </c>
      <c r="AZ79" s="14" t="str">
        <f t="shared" si="24"/>
        <v>null</v>
      </c>
      <c r="BA79" s="17"/>
    </row>
    <row r="80">
      <c r="A80" s="2" t="s">
        <v>101</v>
      </c>
      <c r="B80" s="2">
        <v>2015.0</v>
      </c>
      <c r="C80" s="2">
        <v>14110.9707</v>
      </c>
      <c r="D80" s="2">
        <v>22.5150013</v>
      </c>
      <c r="E80" s="2">
        <v>44.39909697</v>
      </c>
      <c r="F80" s="2">
        <v>13.51638311</v>
      </c>
      <c r="G80" s="2">
        <v>34.70273994</v>
      </c>
      <c r="H80" s="2">
        <v>7.381779982</v>
      </c>
      <c r="I80" s="2">
        <v>35.57890074</v>
      </c>
      <c r="J80" s="2">
        <v>13.87641398</v>
      </c>
      <c r="K80" s="2">
        <v>41.26615647</v>
      </c>
      <c r="L80" s="2">
        <v>9.278528806</v>
      </c>
      <c r="M80" s="2">
        <v>74.75365178</v>
      </c>
      <c r="N80" s="2">
        <v>12.27734182</v>
      </c>
      <c r="O80" s="2">
        <v>12.11485643</v>
      </c>
      <c r="P80" s="2">
        <v>0.8541499715</v>
      </c>
      <c r="Q80" s="13" t="str">
        <f t="shared" si="1"/>
        <v>Chad|2015</v>
      </c>
      <c r="R80" s="14">
        <f t="shared" si="2"/>
        <v>5</v>
      </c>
      <c r="T80" s="14">
        <f t="shared" si="3"/>
        <v>0.357687564</v>
      </c>
      <c r="U80" s="14">
        <f t="shared" si="29"/>
        <v>0.399262902</v>
      </c>
      <c r="V80" s="14">
        <f t="shared" si="4"/>
        <v>-0.112285738</v>
      </c>
      <c r="W80" s="14">
        <f t="shared" si="5"/>
        <v>44</v>
      </c>
      <c r="X80" s="14">
        <f t="shared" si="6"/>
        <v>36</v>
      </c>
      <c r="Y80" s="14">
        <f t="shared" si="7"/>
        <v>75</v>
      </c>
      <c r="Z80" s="14" t="str">
        <f t="shared" si="8"/>
        <v/>
      </c>
      <c r="AA80" s="14" t="str">
        <f t="shared" si="9"/>
        <v/>
      </c>
      <c r="AB80" s="14" t="str">
        <f t="shared" si="10"/>
        <v>Fully Accessible</v>
      </c>
      <c r="AC80" s="14">
        <f t="shared" si="11"/>
        <v>0.51154864</v>
      </c>
      <c r="AE80" s="15" t="s">
        <v>140</v>
      </c>
      <c r="AF80" s="16" t="s">
        <v>63</v>
      </c>
      <c r="AH80" s="17" t="str">
        <f t="shared" si="12"/>
        <v>Sub-Saharan Africa</v>
      </c>
      <c r="AI80" s="21"/>
      <c r="AJ80" s="21"/>
      <c r="AK80" s="15">
        <f t="shared" si="13"/>
        <v>0.346048128</v>
      </c>
      <c r="AL80" s="24"/>
      <c r="AM80" s="21"/>
      <c r="AN80" s="21"/>
      <c r="AO80" s="15">
        <f t="shared" si="16"/>
        <v>0.186726128</v>
      </c>
      <c r="AP80" s="24"/>
      <c r="AQ80" s="21"/>
      <c r="AR80" s="21"/>
      <c r="AS80" s="15">
        <f t="shared" si="19"/>
        <v>0.243046602</v>
      </c>
      <c r="AT80" s="24"/>
      <c r="AU80" s="21"/>
      <c r="AX80" s="14">
        <f t="shared" si="22"/>
        <v>30536.83008</v>
      </c>
      <c r="AY80" s="14">
        <f t="shared" si="23"/>
        <v>46.03500176</v>
      </c>
      <c r="AZ80" s="14">
        <f t="shared" si="24"/>
        <v>30490.79508</v>
      </c>
      <c r="BA80" s="17"/>
    </row>
    <row r="81">
      <c r="A81" s="2" t="s">
        <v>101</v>
      </c>
      <c r="B81" s="2">
        <v>2020.0</v>
      </c>
      <c r="C81" s="2">
        <v>16425.85938</v>
      </c>
      <c r="D81" s="2">
        <v>23.52000046</v>
      </c>
      <c r="E81" s="2">
        <v>46.18753479</v>
      </c>
      <c r="F81" s="2">
        <v>14.74028929</v>
      </c>
      <c r="G81" s="2">
        <v>31.56245714</v>
      </c>
      <c r="H81" s="2">
        <v>7.509718784</v>
      </c>
      <c r="I81" s="2">
        <v>37.57521525</v>
      </c>
      <c r="J81" s="2">
        <v>14.35396111</v>
      </c>
      <c r="K81" s="2">
        <v>38.52496761</v>
      </c>
      <c r="L81" s="2">
        <v>9.545856027</v>
      </c>
      <c r="M81" s="2">
        <v>74.19222309</v>
      </c>
      <c r="N81" s="2">
        <v>15.99651381</v>
      </c>
      <c r="O81" s="2">
        <v>8.922452721</v>
      </c>
      <c r="P81" s="2">
        <v>0.8888103843</v>
      </c>
      <c r="Q81" s="13" t="str">
        <f t="shared" si="1"/>
        <v>Chad|2020</v>
      </c>
      <c r="R81" s="14" t="str">
        <f t="shared" si="2"/>
        <v> </v>
      </c>
      <c r="T81" s="14" t="b">
        <f t="shared" si="3"/>
        <v>0</v>
      </c>
      <c r="U81" s="14" t="b">
        <f t="shared" si="29"/>
        <v>0</v>
      </c>
      <c r="V81" s="14" t="b">
        <f t="shared" si="4"/>
        <v>0</v>
      </c>
      <c r="W81" s="14">
        <f t="shared" si="5"/>
        <v>46</v>
      </c>
      <c r="X81" s="14">
        <f t="shared" si="6"/>
        <v>38</v>
      </c>
      <c r="Y81" s="14">
        <f t="shared" si="7"/>
        <v>74</v>
      </c>
      <c r="Z81" s="14" t="str">
        <f t="shared" si="8"/>
        <v/>
      </c>
      <c r="AA81" s="14" t="str">
        <f t="shared" si="9"/>
        <v/>
      </c>
      <c r="AB81" s="14" t="str">
        <f t="shared" si="10"/>
        <v/>
      </c>
      <c r="AC81" s="14">
        <f t="shared" si="11"/>
        <v>0</v>
      </c>
      <c r="AE81" s="15" t="s">
        <v>141</v>
      </c>
      <c r="AF81" s="16" t="s">
        <v>53</v>
      </c>
      <c r="AH81" s="17" t="str">
        <f t="shared" si="12"/>
        <v>Europe &amp; Central Asia</v>
      </c>
      <c r="AI81" s="21"/>
      <c r="AJ81" s="21"/>
      <c r="AK81" s="15">
        <f t="shared" si="13"/>
        <v>0.318682038</v>
      </c>
      <c r="AL81" s="24"/>
      <c r="AM81" s="21"/>
      <c r="AN81" s="21"/>
      <c r="AO81" s="15">
        <f t="shared" si="16"/>
        <v>0.595346722</v>
      </c>
      <c r="AP81" s="24"/>
      <c r="AQ81" s="21"/>
      <c r="AR81" s="21"/>
      <c r="AS81" s="15">
        <f t="shared" si="19"/>
        <v>0.077637698</v>
      </c>
      <c r="AT81" s="24"/>
      <c r="AU81" s="21"/>
      <c r="AX81" s="14" t="str">
        <f t="shared" si="22"/>
        <v>null</v>
      </c>
      <c r="AY81" s="14" t="str">
        <f t="shared" si="23"/>
        <v>null</v>
      </c>
      <c r="AZ81" s="14" t="str">
        <f t="shared" si="24"/>
        <v>null</v>
      </c>
      <c r="BA81" s="8"/>
    </row>
    <row r="82">
      <c r="A82" s="2" t="s">
        <v>102</v>
      </c>
      <c r="B82" s="2">
        <v>2015.0</v>
      </c>
      <c r="C82" s="2">
        <v>165.3869934</v>
      </c>
      <c r="D82" s="2">
        <v>30.96199799</v>
      </c>
      <c r="E82" s="2">
        <v>94.15</v>
      </c>
      <c r="F82" s="2">
        <v>0.0</v>
      </c>
      <c r="G82" s="2">
        <v>5.85</v>
      </c>
      <c r="H82" s="2">
        <v>0.0</v>
      </c>
      <c r="I82" s="2" t="s">
        <v>64</v>
      </c>
      <c r="J82" s="2" t="s">
        <v>64</v>
      </c>
      <c r="K82" s="2" t="s">
        <v>64</v>
      </c>
      <c r="L82" s="2" t="s">
        <v>64</v>
      </c>
      <c r="M82" s="2" t="s">
        <v>64</v>
      </c>
      <c r="N82" s="2" t="s">
        <v>64</v>
      </c>
      <c r="O82" s="2" t="s">
        <v>64</v>
      </c>
      <c r="P82" s="2" t="s">
        <v>64</v>
      </c>
      <c r="Q82" s="13" t="str">
        <f t="shared" si="1"/>
        <v>Channel Islands|2015</v>
      </c>
      <c r="R82" s="14">
        <f t="shared" si="2"/>
        <v>2</v>
      </c>
      <c r="T82" s="14">
        <f t="shared" si="3"/>
        <v>0</v>
      </c>
      <c r="U82" s="14" t="str">
        <f t="shared" si="29"/>
        <v>null</v>
      </c>
      <c r="V82" s="14" t="str">
        <f t="shared" si="4"/>
        <v>null</v>
      </c>
      <c r="W82" s="14">
        <f t="shared" si="5"/>
        <v>94</v>
      </c>
      <c r="X82" s="14" t="b">
        <f t="shared" si="6"/>
        <v>0</v>
      </c>
      <c r="Y82" s="14" t="b">
        <f t="shared" si="7"/>
        <v>0</v>
      </c>
      <c r="Z82" s="14" t="str">
        <f t="shared" si="8"/>
        <v/>
      </c>
      <c r="AA82" s="14" t="str">
        <f t="shared" si="9"/>
        <v>Fully Accessible</v>
      </c>
      <c r="AB82" s="14" t="str">
        <f t="shared" si="10"/>
        <v>Fully Accessible</v>
      </c>
      <c r="AC82" s="14" t="b">
        <f t="shared" si="11"/>
        <v>0</v>
      </c>
      <c r="AE82" s="15" t="s">
        <v>142</v>
      </c>
      <c r="AF82" s="16" t="s">
        <v>53</v>
      </c>
      <c r="AH82" s="17" t="str">
        <f t="shared" si="12"/>
        <v>Europe &amp; Central Asia</v>
      </c>
      <c r="AI82" s="21"/>
      <c r="AJ82" s="21"/>
      <c r="AK82" s="15">
        <f t="shared" si="13"/>
        <v>-0.00000001999999881</v>
      </c>
      <c r="AL82" s="24"/>
      <c r="AM82" s="21"/>
      <c r="AN82" s="21"/>
      <c r="AO82" s="15">
        <f t="shared" si="16"/>
        <v>0</v>
      </c>
      <c r="AP82" s="24"/>
      <c r="AQ82" s="21"/>
      <c r="AR82" s="21"/>
      <c r="AS82" s="15">
        <f t="shared" si="19"/>
        <v>0</v>
      </c>
      <c r="AT82" s="24"/>
      <c r="AU82" s="21"/>
      <c r="AX82" s="14">
        <f t="shared" si="22"/>
        <v>334.0529938</v>
      </c>
      <c r="AY82" s="14">
        <f t="shared" si="23"/>
        <v>61.87599755</v>
      </c>
      <c r="AZ82" s="14">
        <f t="shared" si="24"/>
        <v>272.1769963</v>
      </c>
      <c r="BA82" s="27"/>
    </row>
    <row r="83">
      <c r="A83" s="2" t="s">
        <v>102</v>
      </c>
      <c r="B83" s="2">
        <v>2017.0</v>
      </c>
      <c r="C83" s="2">
        <v>168.6660004</v>
      </c>
      <c r="D83" s="2">
        <v>30.91399956</v>
      </c>
      <c r="E83" s="2">
        <v>94.15</v>
      </c>
      <c r="F83" s="2">
        <v>0.0</v>
      </c>
      <c r="G83" s="2">
        <v>5.85</v>
      </c>
      <c r="H83" s="2">
        <v>0.0</v>
      </c>
      <c r="I83" s="2" t="s">
        <v>64</v>
      </c>
      <c r="J83" s="2" t="s">
        <v>64</v>
      </c>
      <c r="K83" s="2" t="s">
        <v>64</v>
      </c>
      <c r="L83" s="2" t="s">
        <v>64</v>
      </c>
      <c r="M83" s="2" t="s">
        <v>64</v>
      </c>
      <c r="N83" s="2" t="s">
        <v>64</v>
      </c>
      <c r="O83" s="2" t="s">
        <v>64</v>
      </c>
      <c r="P83" s="2" t="s">
        <v>64</v>
      </c>
      <c r="Q83" s="13" t="str">
        <f t="shared" si="1"/>
        <v>Channel Islands|2017</v>
      </c>
      <c r="R83" s="14" t="str">
        <f t="shared" si="2"/>
        <v> </v>
      </c>
      <c r="T83" s="14" t="b">
        <f t="shared" si="3"/>
        <v>0</v>
      </c>
      <c r="U83" s="14" t="b">
        <f t="shared" si="29"/>
        <v>0</v>
      </c>
      <c r="V83" s="14" t="b">
        <f t="shared" si="4"/>
        <v>0</v>
      </c>
      <c r="W83" s="14">
        <f t="shared" si="5"/>
        <v>94</v>
      </c>
      <c r="X83" s="14" t="b">
        <f t="shared" si="6"/>
        <v>0</v>
      </c>
      <c r="Y83" s="14" t="b">
        <f t="shared" si="7"/>
        <v>0</v>
      </c>
      <c r="Z83" s="14" t="str">
        <f t="shared" si="8"/>
        <v/>
      </c>
      <c r="AA83" s="14" t="str">
        <f t="shared" si="9"/>
        <v/>
      </c>
      <c r="AB83" s="14" t="str">
        <f t="shared" si="10"/>
        <v/>
      </c>
      <c r="AC83" s="14">
        <f t="shared" si="11"/>
        <v>0</v>
      </c>
      <c r="AE83" s="15" t="s">
        <v>143</v>
      </c>
      <c r="AF83" s="16" t="s">
        <v>63</v>
      </c>
      <c r="AH83" s="17" t="str">
        <f t="shared" si="12"/>
        <v>Sub-Saharan Africa</v>
      </c>
      <c r="AI83" s="21"/>
      <c r="AJ83" s="21"/>
      <c r="AK83" s="15">
        <f t="shared" si="13"/>
        <v>1.126607084</v>
      </c>
      <c r="AL83" s="24"/>
      <c r="AM83" s="21"/>
      <c r="AN83" s="21"/>
      <c r="AO83" s="15">
        <f t="shared" si="16"/>
        <v>0.936889056</v>
      </c>
      <c r="AP83" s="24"/>
      <c r="AQ83" s="21"/>
      <c r="AR83" s="21"/>
      <c r="AS83" s="15">
        <f t="shared" si="19"/>
        <v>0.995247936</v>
      </c>
      <c r="AT83" s="24"/>
      <c r="AU83" s="21"/>
      <c r="AX83" s="14" t="str">
        <f t="shared" si="22"/>
        <v>null</v>
      </c>
      <c r="AY83" s="14" t="str">
        <f t="shared" si="23"/>
        <v>null</v>
      </c>
      <c r="AZ83" s="14" t="str">
        <f t="shared" si="24"/>
        <v>null</v>
      </c>
      <c r="BA83" s="17"/>
    </row>
    <row r="84">
      <c r="A84" s="2" t="s">
        <v>103</v>
      </c>
      <c r="B84" s="2">
        <v>2015.0</v>
      </c>
      <c r="C84" s="2">
        <v>17969.35547</v>
      </c>
      <c r="D84" s="2">
        <v>87.36000061</v>
      </c>
      <c r="E84" s="2">
        <v>99.50649272</v>
      </c>
      <c r="F84" s="2">
        <v>0.0</v>
      </c>
      <c r="G84" s="2">
        <v>0.4935072758</v>
      </c>
      <c r="H84" s="2">
        <v>0.0</v>
      </c>
      <c r="I84" s="2">
        <v>97.0676985</v>
      </c>
      <c r="J84" s="2">
        <v>0.0</v>
      </c>
      <c r="K84" s="2">
        <v>2.932301498</v>
      </c>
      <c r="L84" s="2">
        <v>0.0</v>
      </c>
      <c r="M84" s="2">
        <v>99.85935698</v>
      </c>
      <c r="N84" s="2">
        <v>0.0</v>
      </c>
      <c r="O84" s="2">
        <v>0.1406430186</v>
      </c>
      <c r="P84" s="2">
        <v>0.0</v>
      </c>
      <c r="Q84" s="13" t="str">
        <f t="shared" si="1"/>
        <v>Chile|2015</v>
      </c>
      <c r="R84" s="14">
        <f t="shared" si="2"/>
        <v>5</v>
      </c>
      <c r="T84" s="14">
        <f t="shared" si="3"/>
        <v>0.0987012</v>
      </c>
      <c r="U84" s="14">
        <f t="shared" si="29"/>
        <v>0.5864603</v>
      </c>
      <c r="V84" s="14">
        <f t="shared" si="4"/>
        <v>0.028128604</v>
      </c>
      <c r="W84" s="14">
        <f t="shared" si="5"/>
        <v>100</v>
      </c>
      <c r="X84" s="14">
        <f t="shared" si="6"/>
        <v>97</v>
      </c>
      <c r="Y84" s="14">
        <f t="shared" si="7"/>
        <v>100</v>
      </c>
      <c r="Z84" s="14" t="str">
        <f t="shared" si="8"/>
        <v/>
      </c>
      <c r="AA84" s="14" t="str">
        <f t="shared" si="9"/>
        <v/>
      </c>
      <c r="AB84" s="14" t="str">
        <f t="shared" si="10"/>
        <v>Fully Accessible</v>
      </c>
      <c r="AC84" s="14">
        <f t="shared" si="11"/>
        <v>0.558331696</v>
      </c>
      <c r="AE84" s="15" t="s">
        <v>144</v>
      </c>
      <c r="AF84" s="16" t="s">
        <v>53</v>
      </c>
      <c r="AH84" s="17" t="str">
        <f t="shared" si="12"/>
        <v>Europe &amp; Central Asia</v>
      </c>
      <c r="AI84" s="21"/>
      <c r="AJ84" s="21"/>
      <c r="AK84" s="15">
        <f t="shared" si="13"/>
        <v>0</v>
      </c>
      <c r="AL84" s="24"/>
      <c r="AM84" s="21"/>
      <c r="AN84" s="21"/>
      <c r="AO84" s="15">
        <f t="shared" si="16"/>
        <v>0</v>
      </c>
      <c r="AP84" s="24"/>
      <c r="AQ84" s="21"/>
      <c r="AR84" s="21"/>
      <c r="AS84" s="15">
        <f t="shared" si="19"/>
        <v>0</v>
      </c>
      <c r="AT84" s="24"/>
      <c r="AU84" s="21"/>
      <c r="AX84" s="14">
        <f t="shared" si="22"/>
        <v>37085.56445</v>
      </c>
      <c r="AY84" s="14">
        <f t="shared" si="23"/>
        <v>175.086998</v>
      </c>
      <c r="AZ84" s="14">
        <f t="shared" si="24"/>
        <v>36910.47745</v>
      </c>
      <c r="BA84" s="27"/>
    </row>
    <row r="85">
      <c r="A85" s="2" t="s">
        <v>103</v>
      </c>
      <c r="B85" s="2">
        <v>2020.0</v>
      </c>
      <c r="C85" s="2">
        <v>19116.20898</v>
      </c>
      <c r="D85" s="2">
        <v>87.72699738</v>
      </c>
      <c r="E85" s="2">
        <v>99.99999872</v>
      </c>
      <c r="F85" s="2">
        <v>0.0</v>
      </c>
      <c r="G85" s="2">
        <v>1.277139333E-6</v>
      </c>
      <c r="H85" s="2">
        <v>0.0</v>
      </c>
      <c r="I85" s="2">
        <v>100.0</v>
      </c>
      <c r="J85" s="2">
        <v>0.0</v>
      </c>
      <c r="K85" s="2">
        <v>0.0</v>
      </c>
      <c r="L85" s="2">
        <v>0.0</v>
      </c>
      <c r="M85" s="2">
        <v>100.0</v>
      </c>
      <c r="N85" s="2">
        <v>0.0</v>
      </c>
      <c r="O85" s="2">
        <v>0.0</v>
      </c>
      <c r="P85" s="2">
        <v>0.0</v>
      </c>
      <c r="Q85" s="13" t="str">
        <f t="shared" si="1"/>
        <v>Chile|2020</v>
      </c>
      <c r="R85" s="14" t="str">
        <f t="shared" si="2"/>
        <v> </v>
      </c>
      <c r="T85" s="14" t="b">
        <f t="shared" si="3"/>
        <v>0</v>
      </c>
      <c r="U85" s="14" t="b">
        <f t="shared" si="29"/>
        <v>0</v>
      </c>
      <c r="V85" s="14" t="b">
        <f t="shared" si="4"/>
        <v>0</v>
      </c>
      <c r="W85" s="14">
        <f t="shared" si="5"/>
        <v>100</v>
      </c>
      <c r="X85" s="14">
        <f t="shared" si="6"/>
        <v>100</v>
      </c>
      <c r="Y85" s="14">
        <f t="shared" si="7"/>
        <v>100</v>
      </c>
      <c r="Z85" s="14" t="str">
        <f t="shared" si="8"/>
        <v/>
      </c>
      <c r="AA85" s="14" t="str">
        <f t="shared" si="9"/>
        <v/>
      </c>
      <c r="AB85" s="14" t="str">
        <f t="shared" si="10"/>
        <v/>
      </c>
      <c r="AC85" s="14">
        <f t="shared" si="11"/>
        <v>0</v>
      </c>
      <c r="AE85" s="15" t="s">
        <v>145</v>
      </c>
      <c r="AF85" s="16" t="s">
        <v>53</v>
      </c>
      <c r="AH85" s="17" t="str">
        <f t="shared" si="12"/>
        <v>Europe &amp; Central Asia</v>
      </c>
      <c r="AI85" s="21"/>
      <c r="AJ85" s="21"/>
      <c r="AK85" s="15">
        <f t="shared" si="13"/>
        <v>-0.0000004599999983</v>
      </c>
      <c r="AL85" s="24"/>
      <c r="AM85" s="21"/>
      <c r="AN85" s="21"/>
      <c r="AO85" s="15">
        <f t="shared" si="16"/>
        <v>0</v>
      </c>
      <c r="AP85" s="24"/>
      <c r="AQ85" s="21"/>
      <c r="AR85" s="21"/>
      <c r="AS85" s="15">
        <f t="shared" si="19"/>
        <v>0</v>
      </c>
      <c r="AT85" s="24"/>
      <c r="AU85" s="21"/>
      <c r="AX85" s="14" t="str">
        <f t="shared" si="22"/>
        <v>null</v>
      </c>
      <c r="AY85" s="14" t="str">
        <f t="shared" si="23"/>
        <v>null</v>
      </c>
      <c r="AZ85" s="14" t="str">
        <f t="shared" si="24"/>
        <v>null</v>
      </c>
      <c r="BA85" s="27"/>
    </row>
    <row r="86">
      <c r="A86" s="2" t="s">
        <v>105</v>
      </c>
      <c r="B86" s="2">
        <v>2015.0</v>
      </c>
      <c r="C86" s="2">
        <v>7185.992188</v>
      </c>
      <c r="D86" s="2">
        <v>100.0</v>
      </c>
      <c r="E86" s="2">
        <v>100.0</v>
      </c>
      <c r="F86" s="2">
        <v>0.0</v>
      </c>
      <c r="G86" s="2">
        <v>0.0</v>
      </c>
      <c r="H86" s="2">
        <v>0.0</v>
      </c>
      <c r="I86" s="2" t="s">
        <v>64</v>
      </c>
      <c r="J86" s="2" t="s">
        <v>64</v>
      </c>
      <c r="K86" s="2" t="s">
        <v>64</v>
      </c>
      <c r="L86" s="2" t="s">
        <v>64</v>
      </c>
      <c r="M86" s="2">
        <v>100.0</v>
      </c>
      <c r="N86" s="2">
        <v>0.0</v>
      </c>
      <c r="O86" s="2">
        <v>0.0</v>
      </c>
      <c r="P86" s="2">
        <v>0.0</v>
      </c>
      <c r="Q86" s="13" t="str">
        <f t="shared" si="1"/>
        <v>China, Hong Kong SAR|2015</v>
      </c>
      <c r="R86" s="14">
        <f t="shared" si="2"/>
        <v>5</v>
      </c>
      <c r="T86" s="14">
        <f t="shared" si="3"/>
        <v>0</v>
      </c>
      <c r="U86" s="14" t="str">
        <f t="shared" si="29"/>
        <v>null</v>
      </c>
      <c r="V86" s="14">
        <f t="shared" si="4"/>
        <v>0</v>
      </c>
      <c r="W86" s="14">
        <f t="shared" si="5"/>
        <v>100</v>
      </c>
      <c r="X86" s="14" t="b">
        <f t="shared" si="6"/>
        <v>0</v>
      </c>
      <c r="Y86" s="14">
        <f t="shared" si="7"/>
        <v>100</v>
      </c>
      <c r="Z86" s="14" t="str">
        <f t="shared" si="8"/>
        <v/>
      </c>
      <c r="AA86" s="14" t="str">
        <f t="shared" si="9"/>
        <v>Fully Accessible</v>
      </c>
      <c r="AB86" s="14" t="str">
        <f t="shared" si="10"/>
        <v>Fully Accessible</v>
      </c>
      <c r="AC86" s="14" t="b">
        <f t="shared" si="11"/>
        <v>0</v>
      </c>
      <c r="AE86" s="15" t="s">
        <v>146</v>
      </c>
      <c r="AF86" s="16" t="s">
        <v>61</v>
      </c>
      <c r="AH86" s="17" t="str">
        <f t="shared" si="12"/>
        <v>North America</v>
      </c>
      <c r="AI86" s="21"/>
      <c r="AJ86" s="21"/>
      <c r="AK86" s="15">
        <f t="shared" si="13"/>
        <v>0.0000003399999997</v>
      </c>
      <c r="AL86" s="24"/>
      <c r="AM86" s="21"/>
      <c r="AN86" s="21"/>
      <c r="AO86" s="15">
        <f t="shared" si="16"/>
        <v>0</v>
      </c>
      <c r="AP86" s="24"/>
      <c r="AQ86" s="21"/>
      <c r="AR86" s="21"/>
      <c r="AS86" s="15">
        <f t="shared" si="19"/>
        <v>0</v>
      </c>
      <c r="AT86" s="24"/>
      <c r="AU86" s="21"/>
      <c r="AX86" s="14">
        <f t="shared" si="22"/>
        <v>14682.97998</v>
      </c>
      <c r="AY86" s="14">
        <f t="shared" si="23"/>
        <v>200</v>
      </c>
      <c r="AZ86" s="14">
        <f t="shared" si="24"/>
        <v>14482.97998</v>
      </c>
      <c r="BA86" s="17"/>
    </row>
    <row r="87">
      <c r="A87" s="2" t="s">
        <v>105</v>
      </c>
      <c r="B87" s="2">
        <v>2020.0</v>
      </c>
      <c r="C87" s="2">
        <v>7496.987793</v>
      </c>
      <c r="D87" s="2">
        <v>100.0</v>
      </c>
      <c r="E87" s="2">
        <v>100.0</v>
      </c>
      <c r="F87" s="2">
        <v>0.0</v>
      </c>
      <c r="G87" s="2">
        <v>0.0</v>
      </c>
      <c r="H87" s="2">
        <v>0.0</v>
      </c>
      <c r="I87" s="2" t="s">
        <v>64</v>
      </c>
      <c r="J87" s="2" t="s">
        <v>64</v>
      </c>
      <c r="K87" s="2" t="s">
        <v>64</v>
      </c>
      <c r="L87" s="2" t="s">
        <v>64</v>
      </c>
      <c r="M87" s="2">
        <v>100.0</v>
      </c>
      <c r="N87" s="2">
        <v>0.0</v>
      </c>
      <c r="O87" s="2">
        <v>0.0</v>
      </c>
      <c r="P87" s="2">
        <v>0.0</v>
      </c>
      <c r="Q87" s="13" t="str">
        <f t="shared" si="1"/>
        <v>China, Hong Kong SAR|2020</v>
      </c>
      <c r="R87" s="14" t="str">
        <f t="shared" si="2"/>
        <v> </v>
      </c>
      <c r="T87" s="14" t="b">
        <f t="shared" si="3"/>
        <v>0</v>
      </c>
      <c r="U87" s="14" t="b">
        <f t="shared" si="29"/>
        <v>0</v>
      </c>
      <c r="V87" s="14" t="b">
        <f t="shared" si="4"/>
        <v>0</v>
      </c>
      <c r="W87" s="14">
        <f t="shared" si="5"/>
        <v>100</v>
      </c>
      <c r="X87" s="14" t="b">
        <f t="shared" si="6"/>
        <v>0</v>
      </c>
      <c r="Y87" s="14">
        <f t="shared" si="7"/>
        <v>100</v>
      </c>
      <c r="Z87" s="14" t="str">
        <f t="shared" si="8"/>
        <v/>
      </c>
      <c r="AA87" s="14" t="str">
        <f t="shared" si="9"/>
        <v/>
      </c>
      <c r="AB87" s="14" t="str">
        <f t="shared" si="10"/>
        <v/>
      </c>
      <c r="AC87" s="14">
        <f t="shared" si="11"/>
        <v>0</v>
      </c>
      <c r="AE87" s="15" t="s">
        <v>147</v>
      </c>
      <c r="AF87" s="16" t="s">
        <v>57</v>
      </c>
      <c r="AH87" s="17" t="str">
        <f t="shared" si="12"/>
        <v>Latin America &amp; Caribbean</v>
      </c>
      <c r="AI87" s="21"/>
      <c r="AJ87" s="21"/>
      <c r="AK87" s="15">
        <f t="shared" si="13"/>
        <v>0</v>
      </c>
      <c r="AL87" s="24"/>
      <c r="AM87" s="21"/>
      <c r="AN87" s="21"/>
      <c r="AO87" s="15">
        <f t="shared" si="16"/>
        <v>0</v>
      </c>
      <c r="AP87" s="24"/>
      <c r="AQ87" s="21"/>
      <c r="AR87" s="21"/>
      <c r="AS87" s="15">
        <f t="shared" si="19"/>
        <v>0</v>
      </c>
      <c r="AT87" s="24"/>
      <c r="AU87" s="21"/>
      <c r="AX87" s="14" t="str">
        <f t="shared" si="22"/>
        <v>null</v>
      </c>
      <c r="AY87" s="14" t="str">
        <f t="shared" si="23"/>
        <v>null</v>
      </c>
      <c r="AZ87" s="14" t="str">
        <f t="shared" si="24"/>
        <v>null</v>
      </c>
      <c r="BA87" s="17"/>
    </row>
    <row r="88">
      <c r="A88" s="2" t="s">
        <v>106</v>
      </c>
      <c r="B88" s="2">
        <v>2015.0</v>
      </c>
      <c r="C88" s="2">
        <v>602.0930176</v>
      </c>
      <c r="D88" s="2">
        <v>100.0</v>
      </c>
      <c r="E88" s="2">
        <v>100.0</v>
      </c>
      <c r="F88" s="2">
        <v>0.0</v>
      </c>
      <c r="G88" s="2">
        <v>0.0</v>
      </c>
      <c r="H88" s="2">
        <v>0.0</v>
      </c>
      <c r="I88" s="2" t="s">
        <v>64</v>
      </c>
      <c r="J88" s="2" t="s">
        <v>64</v>
      </c>
      <c r="K88" s="2" t="s">
        <v>64</v>
      </c>
      <c r="L88" s="2" t="s">
        <v>64</v>
      </c>
      <c r="M88" s="2">
        <v>100.0</v>
      </c>
      <c r="N88" s="2">
        <v>0.0</v>
      </c>
      <c r="O88" s="2">
        <v>0.0</v>
      </c>
      <c r="P88" s="2">
        <v>0.0</v>
      </c>
      <c r="Q88" s="13" t="str">
        <f t="shared" si="1"/>
        <v>China, Macao SAR|2015</v>
      </c>
      <c r="R88" s="14">
        <f t="shared" si="2"/>
        <v>5</v>
      </c>
      <c r="T88" s="14">
        <f t="shared" si="3"/>
        <v>0</v>
      </c>
      <c r="U88" s="14" t="str">
        <f t="shared" si="29"/>
        <v>null</v>
      </c>
      <c r="V88" s="14">
        <f t="shared" si="4"/>
        <v>0</v>
      </c>
      <c r="W88" s="14">
        <f t="shared" si="5"/>
        <v>100</v>
      </c>
      <c r="X88" s="14" t="b">
        <f t="shared" si="6"/>
        <v>0</v>
      </c>
      <c r="Y88" s="14">
        <f t="shared" si="7"/>
        <v>100</v>
      </c>
      <c r="Z88" s="14" t="str">
        <f t="shared" si="8"/>
        <v/>
      </c>
      <c r="AA88" s="14" t="str">
        <f t="shared" si="9"/>
        <v>Fully Accessible</v>
      </c>
      <c r="AB88" s="14" t="str">
        <f t="shared" si="10"/>
        <v>Fully Accessible</v>
      </c>
      <c r="AC88" s="14" t="b">
        <f t="shared" si="11"/>
        <v>0</v>
      </c>
      <c r="AE88" s="15" t="s">
        <v>148</v>
      </c>
      <c r="AF88" s="16" t="s">
        <v>57</v>
      </c>
      <c r="AH88" s="17" t="str">
        <f t="shared" si="12"/>
        <v>Latin America &amp; Caribbean</v>
      </c>
      <c r="AI88" s="21"/>
      <c r="AJ88" s="21"/>
      <c r="AK88" s="15">
        <f t="shared" si="13"/>
        <v>0.038419582</v>
      </c>
      <c r="AL88" s="24"/>
      <c r="AM88" s="21"/>
      <c r="AN88" s="21"/>
      <c r="AO88" s="15">
        <f t="shared" si="16"/>
        <v>0</v>
      </c>
      <c r="AP88" s="24"/>
      <c r="AQ88" s="21"/>
      <c r="AR88" s="21"/>
      <c r="AS88" s="15">
        <f t="shared" si="19"/>
        <v>0</v>
      </c>
      <c r="AT88" s="24"/>
      <c r="AU88" s="21"/>
      <c r="AX88" s="14">
        <f t="shared" si="22"/>
        <v>1251.434998</v>
      </c>
      <c r="AY88" s="14">
        <f t="shared" si="23"/>
        <v>200</v>
      </c>
      <c r="AZ88" s="14">
        <f t="shared" si="24"/>
        <v>1051.434998</v>
      </c>
      <c r="BA88" s="17"/>
    </row>
    <row r="89">
      <c r="A89" s="2" t="s">
        <v>106</v>
      </c>
      <c r="B89" s="2">
        <v>2020.0</v>
      </c>
      <c r="C89" s="2">
        <v>649.34198</v>
      </c>
      <c r="D89" s="2">
        <v>100.0</v>
      </c>
      <c r="E89" s="2">
        <v>100.0</v>
      </c>
      <c r="F89" s="2">
        <v>0.0</v>
      </c>
      <c r="G89" s="2">
        <v>0.0</v>
      </c>
      <c r="H89" s="2">
        <v>0.0</v>
      </c>
      <c r="I89" s="2" t="s">
        <v>64</v>
      </c>
      <c r="J89" s="2" t="s">
        <v>64</v>
      </c>
      <c r="K89" s="2" t="s">
        <v>64</v>
      </c>
      <c r="L89" s="2" t="s">
        <v>64</v>
      </c>
      <c r="M89" s="2">
        <v>100.0</v>
      </c>
      <c r="N89" s="2">
        <v>0.0</v>
      </c>
      <c r="O89" s="2">
        <v>0.0</v>
      </c>
      <c r="P89" s="2">
        <v>0.0</v>
      </c>
      <c r="Q89" s="13" t="str">
        <f t="shared" si="1"/>
        <v>China, Macao SAR|2020</v>
      </c>
      <c r="R89" s="14" t="str">
        <f t="shared" si="2"/>
        <v> </v>
      </c>
      <c r="T89" s="14" t="b">
        <f t="shared" si="3"/>
        <v>0</v>
      </c>
      <c r="U89" s="14" t="b">
        <f t="shared" si="29"/>
        <v>0</v>
      </c>
      <c r="V89" s="14" t="b">
        <f t="shared" si="4"/>
        <v>0</v>
      </c>
      <c r="W89" s="14">
        <f t="shared" si="5"/>
        <v>100</v>
      </c>
      <c r="X89" s="14" t="b">
        <f t="shared" si="6"/>
        <v>0</v>
      </c>
      <c r="Y89" s="14">
        <f t="shared" si="7"/>
        <v>100</v>
      </c>
      <c r="Z89" s="14" t="str">
        <f t="shared" si="8"/>
        <v/>
      </c>
      <c r="AA89" s="14" t="str">
        <f t="shared" si="9"/>
        <v/>
      </c>
      <c r="AB89" s="14" t="str">
        <f t="shared" si="10"/>
        <v/>
      </c>
      <c r="AC89" s="14">
        <f t="shared" si="11"/>
        <v>0</v>
      </c>
      <c r="AE89" s="15" t="s">
        <v>149</v>
      </c>
      <c r="AF89" s="16" t="s">
        <v>51</v>
      </c>
      <c r="AH89" s="17" t="str">
        <f t="shared" si="12"/>
        <v>East Asia &amp; Pacific</v>
      </c>
      <c r="AI89" s="21"/>
      <c r="AJ89" s="21"/>
      <c r="AK89" s="15">
        <f t="shared" si="13"/>
        <v>0</v>
      </c>
      <c r="AL89" s="24"/>
      <c r="AM89" s="21"/>
      <c r="AN89" s="21"/>
      <c r="AO89" s="15">
        <f t="shared" si="16"/>
        <v>0</v>
      </c>
      <c r="AP89" s="24"/>
      <c r="AQ89" s="21"/>
      <c r="AR89" s="21"/>
      <c r="AS89" s="15">
        <f t="shared" si="19"/>
        <v>0</v>
      </c>
      <c r="AT89" s="24"/>
      <c r="AU89" s="21"/>
      <c r="AX89" s="14" t="str">
        <f t="shared" si="22"/>
        <v>null</v>
      </c>
      <c r="AY89" s="14" t="str">
        <f t="shared" si="23"/>
        <v>null</v>
      </c>
      <c r="AZ89" s="14" t="str">
        <f t="shared" si="24"/>
        <v>null</v>
      </c>
      <c r="BA89" s="8"/>
    </row>
    <row r="90">
      <c r="A90" s="2" t="s">
        <v>104</v>
      </c>
      <c r="B90" s="2">
        <v>2015.0</v>
      </c>
      <c r="C90" s="2">
        <v>1430405.375</v>
      </c>
      <c r="D90" s="2">
        <v>55.85270691</v>
      </c>
      <c r="E90" s="2">
        <v>91.76264123</v>
      </c>
      <c r="F90" s="2">
        <v>0.8187626618</v>
      </c>
      <c r="G90" s="2">
        <v>6.782077407</v>
      </c>
      <c r="H90" s="2">
        <v>0.6365187008</v>
      </c>
      <c r="I90" s="2">
        <v>84.47918792</v>
      </c>
      <c r="J90" s="2">
        <v>1.51186307</v>
      </c>
      <c r="K90" s="2">
        <v>12.95294901</v>
      </c>
      <c r="L90" s="2">
        <v>1.056</v>
      </c>
      <c r="M90" s="2">
        <v>97.51965397</v>
      </c>
      <c r="N90" s="2">
        <v>0.2709198039</v>
      </c>
      <c r="O90" s="2">
        <v>1.90447541</v>
      </c>
      <c r="P90" s="2">
        <v>0.3049508197</v>
      </c>
      <c r="Q90" s="13" t="str">
        <f t="shared" si="1"/>
        <v>China|2015</v>
      </c>
      <c r="R90" s="14">
        <f t="shared" si="2"/>
        <v>5</v>
      </c>
      <c r="T90" s="14">
        <f t="shared" si="3"/>
        <v>0.499693872</v>
      </c>
      <c r="U90" s="14">
        <f t="shared" si="29"/>
        <v>1.036409118</v>
      </c>
      <c r="V90" s="14">
        <f t="shared" si="4"/>
        <v>-0.08095426</v>
      </c>
      <c r="W90" s="14">
        <f t="shared" si="5"/>
        <v>92</v>
      </c>
      <c r="X90" s="14">
        <f t="shared" si="6"/>
        <v>84</v>
      </c>
      <c r="Y90" s="14">
        <f t="shared" si="7"/>
        <v>98</v>
      </c>
      <c r="Z90" s="14" t="str">
        <f t="shared" si="8"/>
        <v/>
      </c>
      <c r="AA90" s="14" t="str">
        <f t="shared" si="9"/>
        <v/>
      </c>
      <c r="AB90" s="14" t="str">
        <f t="shared" si="10"/>
        <v>Fully Accessible</v>
      </c>
      <c r="AC90" s="14">
        <f t="shared" si="11"/>
        <v>1.117363378</v>
      </c>
      <c r="AE90" s="15" t="s">
        <v>150</v>
      </c>
      <c r="AF90" s="16" t="s">
        <v>57</v>
      </c>
      <c r="AH90" s="17" t="str">
        <f t="shared" si="12"/>
        <v>Latin America &amp; Caribbean</v>
      </c>
      <c r="AI90" s="21"/>
      <c r="AJ90" s="21"/>
      <c r="AK90" s="15">
        <f t="shared" si="13"/>
        <v>0.374478884</v>
      </c>
      <c r="AL90" s="24"/>
      <c r="AM90" s="21"/>
      <c r="AN90" s="21"/>
      <c r="AO90" s="15">
        <f t="shared" si="16"/>
        <v>0.575314724</v>
      </c>
      <c r="AP90" s="24"/>
      <c r="AQ90" s="21"/>
      <c r="AR90" s="21"/>
      <c r="AS90" s="15">
        <f t="shared" si="19"/>
        <v>0.117436106</v>
      </c>
      <c r="AT90" s="24"/>
      <c r="AU90" s="21"/>
      <c r="AX90" s="14">
        <f t="shared" si="22"/>
        <v>2893545.875</v>
      </c>
      <c r="AY90" s="14">
        <f t="shared" si="23"/>
        <v>117.5657959</v>
      </c>
      <c r="AZ90" s="14">
        <f t="shared" si="24"/>
        <v>2893428.309</v>
      </c>
      <c r="BA90" s="27"/>
    </row>
    <row r="91">
      <c r="A91" s="2" t="s">
        <v>104</v>
      </c>
      <c r="B91" s="2">
        <v>2020.0</v>
      </c>
      <c r="C91" s="2">
        <v>1463140.5</v>
      </c>
      <c r="D91" s="2">
        <v>61.71308899</v>
      </c>
      <c r="E91" s="2">
        <v>94.26111059</v>
      </c>
      <c r="F91" s="2">
        <v>0.8147213297</v>
      </c>
      <c r="G91" s="2">
        <v>4.725451938</v>
      </c>
      <c r="H91" s="2">
        <v>0.1987161441</v>
      </c>
      <c r="I91" s="2">
        <v>89.66123351</v>
      </c>
      <c r="J91" s="2">
        <v>1.832679086</v>
      </c>
      <c r="K91" s="2">
        <v>8.506087409</v>
      </c>
      <c r="L91" s="2">
        <v>0.0</v>
      </c>
      <c r="M91" s="2">
        <v>97.11488267</v>
      </c>
      <c r="N91" s="2">
        <v>0.1831784927</v>
      </c>
      <c r="O91" s="2">
        <v>2.37993884</v>
      </c>
      <c r="P91" s="2">
        <v>0.322</v>
      </c>
      <c r="Q91" s="13" t="str">
        <f t="shared" si="1"/>
        <v>China|2020</v>
      </c>
      <c r="R91" s="14" t="str">
        <f t="shared" si="2"/>
        <v> </v>
      </c>
      <c r="T91" s="14" t="b">
        <f t="shared" si="3"/>
        <v>0</v>
      </c>
      <c r="U91" s="14" t="b">
        <f t="shared" si="29"/>
        <v>0</v>
      </c>
      <c r="V91" s="14" t="b">
        <f t="shared" si="4"/>
        <v>0</v>
      </c>
      <c r="W91" s="14">
        <f t="shared" si="5"/>
        <v>94</v>
      </c>
      <c r="X91" s="14">
        <f t="shared" si="6"/>
        <v>90</v>
      </c>
      <c r="Y91" s="14">
        <f t="shared" si="7"/>
        <v>97</v>
      </c>
      <c r="Z91" s="14" t="str">
        <f t="shared" si="8"/>
        <v/>
      </c>
      <c r="AA91" s="14" t="str">
        <f t="shared" si="9"/>
        <v/>
      </c>
      <c r="AB91" s="14" t="str">
        <f t="shared" si="10"/>
        <v/>
      </c>
      <c r="AC91" s="14">
        <f t="shared" si="11"/>
        <v>0</v>
      </c>
      <c r="AE91" s="15" t="s">
        <v>151</v>
      </c>
      <c r="AF91" s="16" t="s">
        <v>63</v>
      </c>
      <c r="AH91" s="17" t="str">
        <f t="shared" si="12"/>
        <v>Sub-Saharan Africa</v>
      </c>
      <c r="AI91" s="21"/>
      <c r="AJ91" s="21"/>
      <c r="AK91" s="15">
        <f t="shared" si="13"/>
        <v>0.06927984</v>
      </c>
      <c r="AL91" s="24"/>
      <c r="AM91" s="21"/>
      <c r="AN91" s="21"/>
      <c r="AO91" s="15">
        <f t="shared" si="16"/>
        <v>-0.24019527</v>
      </c>
      <c r="AP91" s="24"/>
      <c r="AQ91" s="21"/>
      <c r="AR91" s="21"/>
      <c r="AS91" s="15">
        <f t="shared" si="19"/>
        <v>0.286836476</v>
      </c>
      <c r="AT91" s="24"/>
      <c r="AU91" s="21"/>
      <c r="AX91" s="14" t="str">
        <f t="shared" si="22"/>
        <v>null</v>
      </c>
      <c r="AY91" s="14" t="str">
        <f t="shared" si="23"/>
        <v>null</v>
      </c>
      <c r="AZ91" s="14" t="str">
        <f t="shared" si="24"/>
        <v>null</v>
      </c>
      <c r="BA91" s="17"/>
    </row>
    <row r="92">
      <c r="A92" s="2" t="s">
        <v>107</v>
      </c>
      <c r="B92" s="2">
        <v>2015.0</v>
      </c>
      <c r="C92" s="2">
        <v>47520.66797</v>
      </c>
      <c r="D92" s="2">
        <v>79.76399994</v>
      </c>
      <c r="E92" s="2">
        <v>96.33586812</v>
      </c>
      <c r="F92" s="2">
        <v>0.1840519904</v>
      </c>
      <c r="G92" s="2">
        <v>1.703445062</v>
      </c>
      <c r="H92" s="2">
        <v>1.776634827</v>
      </c>
      <c r="I92" s="2">
        <v>83.27372585</v>
      </c>
      <c r="J92" s="2">
        <v>0.6876656261</v>
      </c>
      <c r="K92" s="2">
        <v>7.259032355</v>
      </c>
      <c r="L92" s="2">
        <v>8.779576172</v>
      </c>
      <c r="M92" s="2">
        <v>99.64971237</v>
      </c>
      <c r="N92" s="2">
        <v>0.05628603022</v>
      </c>
      <c r="O92" s="2">
        <v>0.2940016029</v>
      </c>
      <c r="P92" s="2">
        <v>0.0</v>
      </c>
      <c r="Q92" s="13" t="str">
        <f t="shared" si="1"/>
        <v>Colombia|2015</v>
      </c>
      <c r="R92" s="14">
        <f t="shared" si="2"/>
        <v>5</v>
      </c>
      <c r="T92" s="14">
        <f t="shared" si="3"/>
        <v>0.231157798</v>
      </c>
      <c r="U92" s="14">
        <f t="shared" si="29"/>
        <v>0.698669394</v>
      </c>
      <c r="V92" s="14">
        <f t="shared" si="4"/>
        <v>0.057696086</v>
      </c>
      <c r="W92" s="14">
        <f t="shared" si="5"/>
        <v>96</v>
      </c>
      <c r="X92" s="14">
        <f t="shared" si="6"/>
        <v>83</v>
      </c>
      <c r="Y92" s="14">
        <f t="shared" si="7"/>
        <v>100</v>
      </c>
      <c r="Z92" s="14" t="str">
        <f t="shared" si="8"/>
        <v/>
      </c>
      <c r="AA92" s="14" t="str">
        <f t="shared" si="9"/>
        <v/>
      </c>
      <c r="AB92" s="14" t="str">
        <f t="shared" si="10"/>
        <v>Fully Accessible</v>
      </c>
      <c r="AC92" s="14">
        <f t="shared" si="11"/>
        <v>0.640973308</v>
      </c>
      <c r="AE92" s="15" t="s">
        <v>152</v>
      </c>
      <c r="AF92" s="16" t="s">
        <v>63</v>
      </c>
      <c r="AH92" s="17" t="str">
        <f t="shared" si="12"/>
        <v>Sub-Saharan Africa</v>
      </c>
      <c r="AI92" s="21"/>
      <c r="AJ92" s="21"/>
      <c r="AK92" s="15">
        <f t="shared" si="13"/>
        <v>0.050512918</v>
      </c>
      <c r="AL92" s="24"/>
      <c r="AM92" s="21"/>
      <c r="AN92" s="21"/>
      <c r="AO92" s="15">
        <f t="shared" si="16"/>
        <v>0.28183505</v>
      </c>
      <c r="AP92" s="24"/>
      <c r="AQ92" s="21"/>
      <c r="AR92" s="21"/>
      <c r="AS92" s="15">
        <f t="shared" si="19"/>
        <v>-0.471876662</v>
      </c>
      <c r="AT92" s="24"/>
      <c r="AU92" s="21"/>
      <c r="AX92" s="14">
        <f t="shared" si="22"/>
        <v>98403.55078</v>
      </c>
      <c r="AY92" s="14">
        <f t="shared" si="23"/>
        <v>161.1889954</v>
      </c>
      <c r="AZ92" s="14">
        <f t="shared" si="24"/>
        <v>98242.36178</v>
      </c>
      <c r="BA92" s="27"/>
    </row>
    <row r="93">
      <c r="A93" s="2" t="s">
        <v>107</v>
      </c>
      <c r="B93" s="2">
        <v>2020.0</v>
      </c>
      <c r="C93" s="2">
        <v>50882.88281</v>
      </c>
      <c r="D93" s="2">
        <v>81.42499542</v>
      </c>
      <c r="E93" s="2">
        <v>97.49165711</v>
      </c>
      <c r="F93" s="2">
        <v>0.1861521591</v>
      </c>
      <c r="G93" s="2">
        <v>0.9536162228</v>
      </c>
      <c r="H93" s="2">
        <v>1.368574512</v>
      </c>
      <c r="I93" s="2">
        <v>86.76707282</v>
      </c>
      <c r="J93" s="2">
        <v>0.7312282016</v>
      </c>
      <c r="K93" s="2">
        <v>5.13386897</v>
      </c>
      <c r="L93" s="2">
        <v>7.367830005</v>
      </c>
      <c r="M93" s="2">
        <v>99.9381928</v>
      </c>
      <c r="N93" s="2">
        <v>0.0618072</v>
      </c>
      <c r="O93" s="2">
        <v>0.0</v>
      </c>
      <c r="P93" s="2">
        <v>0.0</v>
      </c>
      <c r="Q93" s="13" t="str">
        <f t="shared" si="1"/>
        <v>Colombia|2020</v>
      </c>
      <c r="R93" s="14" t="str">
        <f t="shared" si="2"/>
        <v> </v>
      </c>
      <c r="T93" s="14" t="b">
        <f t="shared" si="3"/>
        <v>0</v>
      </c>
      <c r="U93" s="14" t="b">
        <f t="shared" si="29"/>
        <v>0</v>
      </c>
      <c r="V93" s="14" t="b">
        <f t="shared" si="4"/>
        <v>0</v>
      </c>
      <c r="W93" s="14">
        <f t="shared" si="5"/>
        <v>97</v>
      </c>
      <c r="X93" s="14">
        <f t="shared" si="6"/>
        <v>87</v>
      </c>
      <c r="Y93" s="14">
        <f t="shared" si="7"/>
        <v>100</v>
      </c>
      <c r="Z93" s="14" t="str">
        <f t="shared" si="8"/>
        <v/>
      </c>
      <c r="AA93" s="14" t="str">
        <f t="shared" si="9"/>
        <v/>
      </c>
      <c r="AB93" s="14" t="str">
        <f t="shared" si="10"/>
        <v/>
      </c>
      <c r="AC93" s="14">
        <f t="shared" si="11"/>
        <v>0</v>
      </c>
      <c r="AE93" s="15" t="s">
        <v>153</v>
      </c>
      <c r="AF93" s="16" t="s">
        <v>57</v>
      </c>
      <c r="AH93" s="17" t="str">
        <f t="shared" si="12"/>
        <v>Latin America &amp; Caribbean</v>
      </c>
      <c r="AI93" s="21"/>
      <c r="AJ93" s="21"/>
      <c r="AK93" s="15">
        <f t="shared" si="13"/>
        <v>0.07858998</v>
      </c>
      <c r="AL93" s="24"/>
      <c r="AM93" s="21"/>
      <c r="AN93" s="21"/>
      <c r="AO93" s="15">
        <f t="shared" si="16"/>
        <v>0.101144158</v>
      </c>
      <c r="AP93" s="24"/>
      <c r="AQ93" s="21"/>
      <c r="AR93" s="21"/>
      <c r="AS93" s="15">
        <f t="shared" si="19"/>
        <v>0</v>
      </c>
      <c r="AT93" s="24"/>
      <c r="AU93" s="21"/>
      <c r="AX93" s="14" t="str">
        <f t="shared" si="22"/>
        <v>null</v>
      </c>
      <c r="AY93" s="14" t="str">
        <f t="shared" si="23"/>
        <v>null</v>
      </c>
      <c r="AZ93" s="14" t="str">
        <f t="shared" si="24"/>
        <v>null</v>
      </c>
      <c r="BA93" s="27"/>
    </row>
    <row r="94">
      <c r="A94" s="2" t="s">
        <v>108</v>
      </c>
      <c r="B94" s="2">
        <v>2015.0</v>
      </c>
      <c r="C94" s="2">
        <v>777.4349976</v>
      </c>
      <c r="D94" s="2">
        <v>28.47000122</v>
      </c>
      <c r="E94" s="2">
        <v>80.13200008</v>
      </c>
      <c r="F94" s="2">
        <v>10.877265</v>
      </c>
      <c r="G94" s="2">
        <v>8.395193432</v>
      </c>
      <c r="H94" s="2">
        <v>0.5955414912</v>
      </c>
      <c r="I94" s="2">
        <v>76.91172345</v>
      </c>
      <c r="J94" s="2">
        <v>11.56864724</v>
      </c>
      <c r="K94" s="2">
        <v>10.82245445</v>
      </c>
      <c r="L94" s="2">
        <v>0.6971748583</v>
      </c>
      <c r="M94" s="2">
        <v>88.22284558</v>
      </c>
      <c r="N94" s="2">
        <v>9.140188495</v>
      </c>
      <c r="O94" s="2">
        <v>2.29677513</v>
      </c>
      <c r="P94" s="2">
        <v>0.340190797</v>
      </c>
      <c r="Q94" s="13" t="str">
        <f t="shared" si="1"/>
        <v>Comoros|2015</v>
      </c>
      <c r="R94" s="14">
        <f t="shared" si="2"/>
        <v>4</v>
      </c>
      <c r="T94" s="14">
        <f t="shared" si="3"/>
        <v>0.0196244325</v>
      </c>
      <c r="U94" s="14">
        <f t="shared" si="29"/>
        <v>0</v>
      </c>
      <c r="V94" s="14">
        <f t="shared" si="4"/>
        <v>0</v>
      </c>
      <c r="W94" s="14">
        <f t="shared" si="5"/>
        <v>80</v>
      </c>
      <c r="X94" s="14">
        <f t="shared" si="6"/>
        <v>77</v>
      </c>
      <c r="Y94" s="14">
        <f t="shared" si="7"/>
        <v>88</v>
      </c>
      <c r="Z94" s="14" t="str">
        <f t="shared" si="8"/>
        <v/>
      </c>
      <c r="AA94" s="14" t="str">
        <f t="shared" si="9"/>
        <v/>
      </c>
      <c r="AB94" s="14" t="str">
        <f t="shared" si="10"/>
        <v>Fully Accessible</v>
      </c>
      <c r="AC94" s="14">
        <f t="shared" si="11"/>
        <v>0</v>
      </c>
      <c r="AE94" s="15" t="s">
        <v>154</v>
      </c>
      <c r="AF94" s="16" t="s">
        <v>63</v>
      </c>
      <c r="AH94" s="17" t="str">
        <f t="shared" si="12"/>
        <v>Sub-Saharan Africa</v>
      </c>
      <c r="AI94" s="21"/>
      <c r="AJ94" s="21"/>
      <c r="AK94" s="15">
        <f t="shared" si="13"/>
        <v>0.425564492</v>
      </c>
      <c r="AL94" s="24"/>
      <c r="AM94" s="21"/>
      <c r="AN94" s="21"/>
      <c r="AO94" s="15">
        <f t="shared" si="16"/>
        <v>0.08585641</v>
      </c>
      <c r="AP94" s="24"/>
      <c r="AQ94" s="21"/>
      <c r="AR94" s="21"/>
      <c r="AS94" s="15">
        <f t="shared" si="19"/>
        <v>-0.009011568</v>
      </c>
      <c r="AT94" s="24"/>
      <c r="AU94" s="21"/>
      <c r="AX94" s="14">
        <f t="shared" si="22"/>
        <v>1628.325989</v>
      </c>
      <c r="AY94" s="14">
        <f t="shared" si="23"/>
        <v>57.63400268</v>
      </c>
      <c r="AZ94" s="14">
        <f t="shared" si="24"/>
        <v>1570.691986</v>
      </c>
      <c r="BA94" s="17"/>
    </row>
    <row r="95">
      <c r="A95" s="2" t="s">
        <v>108</v>
      </c>
      <c r="B95" s="2">
        <v>2019.0</v>
      </c>
      <c r="C95" s="2">
        <v>850.8909912</v>
      </c>
      <c r="D95" s="2">
        <v>29.16400146</v>
      </c>
      <c r="E95" s="2">
        <v>80.21049781</v>
      </c>
      <c r="F95" s="2">
        <v>10.86041131</v>
      </c>
      <c r="G95" s="2">
        <v>8.929090888</v>
      </c>
      <c r="H95" s="2" t="s">
        <v>64</v>
      </c>
      <c r="I95" s="2">
        <v>76.91172345</v>
      </c>
      <c r="J95" s="2">
        <v>11.56864724</v>
      </c>
      <c r="K95" s="2">
        <v>11.51962931</v>
      </c>
      <c r="L95" s="2" t="s">
        <v>64</v>
      </c>
      <c r="M95" s="2">
        <v>88.22284558</v>
      </c>
      <c r="N95" s="2">
        <v>9.140188495</v>
      </c>
      <c r="O95" s="2">
        <v>2.29677513</v>
      </c>
      <c r="P95" s="2">
        <v>0.340190797</v>
      </c>
      <c r="Q95" s="13" t="str">
        <f t="shared" si="1"/>
        <v>Comoros|2019</v>
      </c>
      <c r="R95" s="14" t="str">
        <f t="shared" si="2"/>
        <v> </v>
      </c>
      <c r="T95" s="14" t="b">
        <f t="shared" si="3"/>
        <v>0</v>
      </c>
      <c r="U95" s="14" t="b">
        <f t="shared" si="29"/>
        <v>0</v>
      </c>
      <c r="V95" s="14" t="b">
        <f t="shared" si="4"/>
        <v>0</v>
      </c>
      <c r="W95" s="14">
        <f t="shared" si="5"/>
        <v>80</v>
      </c>
      <c r="X95" s="14">
        <f t="shared" si="6"/>
        <v>77</v>
      </c>
      <c r="Y95" s="14">
        <f t="shared" si="7"/>
        <v>88</v>
      </c>
      <c r="Z95" s="14" t="str">
        <f t="shared" si="8"/>
        <v/>
      </c>
      <c r="AA95" s="14" t="str">
        <f t="shared" si="9"/>
        <v/>
      </c>
      <c r="AB95" s="14" t="str">
        <f t="shared" si="10"/>
        <v/>
      </c>
      <c r="AC95" s="14">
        <f t="shared" si="11"/>
        <v>0</v>
      </c>
      <c r="AE95" s="15" t="s">
        <v>155</v>
      </c>
      <c r="AF95" s="16" t="s">
        <v>57</v>
      </c>
      <c r="AH95" s="17" t="str">
        <f t="shared" si="12"/>
        <v>Latin America &amp; Caribbean</v>
      </c>
      <c r="AI95" s="21"/>
      <c r="AJ95" s="21"/>
      <c r="AK95" s="15">
        <f t="shared" si="13"/>
        <v>0.486962084</v>
      </c>
      <c r="AL95" s="24"/>
      <c r="AM95" s="21"/>
      <c r="AN95" s="21"/>
      <c r="AO95" s="15">
        <f t="shared" si="16"/>
        <v>0.68774516</v>
      </c>
      <c r="AP95" s="24"/>
      <c r="AQ95" s="21"/>
      <c r="AR95" s="21"/>
      <c r="AS95" s="15">
        <f t="shared" si="19"/>
        <v>0.208424026</v>
      </c>
      <c r="AT95" s="24"/>
      <c r="AU95" s="21"/>
      <c r="AX95" s="14" t="str">
        <f t="shared" si="22"/>
        <v>null</v>
      </c>
      <c r="AY95" s="14" t="str">
        <f t="shared" si="23"/>
        <v>null</v>
      </c>
      <c r="AZ95" s="14" t="str">
        <f t="shared" si="24"/>
        <v>null</v>
      </c>
      <c r="BA95" s="17"/>
    </row>
    <row r="96">
      <c r="A96" s="2" t="s">
        <v>109</v>
      </c>
      <c r="B96" s="2">
        <v>2015.0</v>
      </c>
      <c r="C96" s="2">
        <v>4856.092773</v>
      </c>
      <c r="D96" s="2">
        <v>65.54299927</v>
      </c>
      <c r="E96" s="2">
        <v>71.14958177</v>
      </c>
      <c r="F96" s="2">
        <v>10.51052605</v>
      </c>
      <c r="G96" s="2">
        <v>11.66204631</v>
      </c>
      <c r="H96" s="2">
        <v>6.677845876</v>
      </c>
      <c r="I96" s="2">
        <v>41.39183594</v>
      </c>
      <c r="J96" s="2">
        <v>10.73957265</v>
      </c>
      <c r="K96" s="2">
        <v>28.50184871</v>
      </c>
      <c r="L96" s="2">
        <v>19.36674269</v>
      </c>
      <c r="M96" s="2">
        <v>86.79370516</v>
      </c>
      <c r="N96" s="2">
        <v>10.390113</v>
      </c>
      <c r="O96" s="2">
        <v>2.809090742</v>
      </c>
      <c r="P96" s="2">
        <v>0.00709109589</v>
      </c>
      <c r="Q96" s="13" t="str">
        <f t="shared" si="1"/>
        <v>Congo|2015</v>
      </c>
      <c r="R96" s="14">
        <f t="shared" si="2"/>
        <v>5</v>
      </c>
      <c r="T96" s="14">
        <f t="shared" si="3"/>
        <v>0.526985962</v>
      </c>
      <c r="U96" s="14">
        <f t="shared" si="29"/>
        <v>0.866515448</v>
      </c>
      <c r="V96" s="14">
        <f t="shared" si="4"/>
        <v>0.0599182</v>
      </c>
      <c r="W96" s="14">
        <f t="shared" si="5"/>
        <v>71</v>
      </c>
      <c r="X96" s="14">
        <f t="shared" si="6"/>
        <v>41</v>
      </c>
      <c r="Y96" s="14">
        <f t="shared" si="7"/>
        <v>87</v>
      </c>
      <c r="Z96" s="14" t="str">
        <f t="shared" si="8"/>
        <v/>
      </c>
      <c r="AA96" s="14" t="str">
        <f t="shared" si="9"/>
        <v/>
      </c>
      <c r="AB96" s="14" t="str">
        <f t="shared" si="10"/>
        <v>Fully Accessible</v>
      </c>
      <c r="AC96" s="14">
        <f t="shared" si="11"/>
        <v>0.806597248</v>
      </c>
      <c r="AE96" s="15" t="s">
        <v>156</v>
      </c>
      <c r="AF96" s="16" t="s">
        <v>53</v>
      </c>
      <c r="AH96" s="17" t="str">
        <f t="shared" si="12"/>
        <v>Europe &amp; Central Asia</v>
      </c>
      <c r="AI96" s="21"/>
      <c r="AJ96" s="21"/>
      <c r="AK96" s="15">
        <f t="shared" si="13"/>
        <v>0.005893702</v>
      </c>
      <c r="AL96" s="24"/>
      <c r="AM96" s="21"/>
      <c r="AN96" s="21"/>
      <c r="AO96" s="15">
        <f t="shared" si="16"/>
        <v>0.019982056</v>
      </c>
      <c r="AP96" s="24"/>
      <c r="AQ96" s="21"/>
      <c r="AR96" s="21"/>
      <c r="AS96" s="15">
        <f t="shared" si="19"/>
        <v>0</v>
      </c>
      <c r="AT96" s="24"/>
      <c r="AU96" s="21"/>
      <c r="AX96" s="14">
        <f t="shared" si="22"/>
        <v>10374.18457</v>
      </c>
      <c r="AY96" s="14">
        <f t="shared" si="23"/>
        <v>133.3720017</v>
      </c>
      <c r="AZ96" s="14">
        <f t="shared" si="24"/>
        <v>10240.81257</v>
      </c>
      <c r="BA96" s="17"/>
    </row>
    <row r="97">
      <c r="A97" s="2" t="s">
        <v>109</v>
      </c>
      <c r="B97" s="2">
        <v>2020.0</v>
      </c>
      <c r="C97" s="2">
        <v>5518.091797</v>
      </c>
      <c r="D97" s="2">
        <v>67.82900238</v>
      </c>
      <c r="E97" s="2">
        <v>73.78451158</v>
      </c>
      <c r="F97" s="2">
        <v>10.46117203</v>
      </c>
      <c r="G97" s="2">
        <v>9.559180722</v>
      </c>
      <c r="H97" s="2">
        <v>6.195135664</v>
      </c>
      <c r="I97" s="2">
        <v>45.72441318</v>
      </c>
      <c r="J97" s="2">
        <v>10.6323901</v>
      </c>
      <c r="K97" s="2">
        <v>24.40516973</v>
      </c>
      <c r="L97" s="2">
        <v>19.23802699</v>
      </c>
      <c r="M97" s="2">
        <v>87.09329616</v>
      </c>
      <c r="N97" s="2">
        <v>10.37996439</v>
      </c>
      <c r="O97" s="2">
        <v>2.517789997</v>
      </c>
      <c r="P97" s="2">
        <v>0.008949452055</v>
      </c>
      <c r="Q97" s="13" t="str">
        <f t="shared" si="1"/>
        <v>Congo|2020</v>
      </c>
      <c r="R97" s="14" t="str">
        <f t="shared" si="2"/>
        <v> </v>
      </c>
      <c r="T97" s="14" t="b">
        <f t="shared" si="3"/>
        <v>0</v>
      </c>
      <c r="U97" s="14" t="b">
        <f t="shared" si="29"/>
        <v>0</v>
      </c>
      <c r="V97" s="14" t="b">
        <f t="shared" si="4"/>
        <v>0</v>
      </c>
      <c r="W97" s="14">
        <f t="shared" si="5"/>
        <v>74</v>
      </c>
      <c r="X97" s="14">
        <f t="shared" si="6"/>
        <v>46</v>
      </c>
      <c r="Y97" s="14">
        <f t="shared" si="7"/>
        <v>87</v>
      </c>
      <c r="Z97" s="14" t="str">
        <f t="shared" si="8"/>
        <v/>
      </c>
      <c r="AA97" s="14" t="str">
        <f t="shared" si="9"/>
        <v/>
      </c>
      <c r="AB97" s="14" t="str">
        <f t="shared" si="10"/>
        <v/>
      </c>
      <c r="AC97" s="14">
        <f t="shared" si="11"/>
        <v>0</v>
      </c>
      <c r="AE97" s="15" t="s">
        <v>157</v>
      </c>
      <c r="AF97" s="16" t="s">
        <v>53</v>
      </c>
      <c r="AH97" s="17" t="str">
        <f t="shared" si="12"/>
        <v>Europe &amp; Central Asia</v>
      </c>
      <c r="AI97" s="21"/>
      <c r="AJ97" s="21"/>
      <c r="AK97" s="15">
        <f t="shared" si="13"/>
        <v>-0.000001018</v>
      </c>
      <c r="AL97" s="24"/>
      <c r="AM97" s="21"/>
      <c r="AN97" s="21"/>
      <c r="AO97" s="15">
        <f t="shared" si="16"/>
        <v>0</v>
      </c>
      <c r="AP97" s="24"/>
      <c r="AQ97" s="21"/>
      <c r="AR97" s="21"/>
      <c r="AS97" s="15">
        <f t="shared" si="19"/>
        <v>0</v>
      </c>
      <c r="AT97" s="24"/>
      <c r="AU97" s="21"/>
      <c r="AX97" s="14" t="str">
        <f t="shared" si="22"/>
        <v>null</v>
      </c>
      <c r="AY97" s="14" t="str">
        <f t="shared" si="23"/>
        <v>null</v>
      </c>
      <c r="AZ97" s="14" t="str">
        <f t="shared" si="24"/>
        <v>null</v>
      </c>
      <c r="BA97" s="8"/>
    </row>
    <row r="98">
      <c r="A98" s="2" t="s">
        <v>110</v>
      </c>
      <c r="B98" s="2">
        <v>2015.0</v>
      </c>
      <c r="C98" s="2">
        <v>17.58099937</v>
      </c>
      <c r="D98" s="2">
        <v>74.40399933</v>
      </c>
      <c r="E98" s="2">
        <v>99.95367102</v>
      </c>
      <c r="F98" s="2">
        <v>0.0</v>
      </c>
      <c r="G98" s="2">
        <v>0.04632897629</v>
      </c>
      <c r="H98" s="2">
        <v>0.0</v>
      </c>
      <c r="I98" s="2" t="s">
        <v>64</v>
      </c>
      <c r="J98" s="2" t="s">
        <v>64</v>
      </c>
      <c r="K98" s="2" t="s">
        <v>64</v>
      </c>
      <c r="L98" s="2" t="s">
        <v>64</v>
      </c>
      <c r="M98" s="2" t="s">
        <v>64</v>
      </c>
      <c r="N98" s="2" t="s">
        <v>64</v>
      </c>
      <c r="O98" s="2" t="s">
        <v>64</v>
      </c>
      <c r="P98" s="2" t="s">
        <v>64</v>
      </c>
      <c r="Q98" s="13" t="str">
        <f t="shared" si="1"/>
        <v>Cook Islands|2015</v>
      </c>
      <c r="R98" s="14">
        <f t="shared" si="2"/>
        <v>5</v>
      </c>
      <c r="T98" s="14">
        <f t="shared" si="3"/>
        <v>0.00358784</v>
      </c>
      <c r="U98" s="14" t="str">
        <f t="shared" si="29"/>
        <v>null</v>
      </c>
      <c r="V98" s="14" t="str">
        <f t="shared" si="4"/>
        <v>null</v>
      </c>
      <c r="W98" s="14">
        <f t="shared" si="5"/>
        <v>100</v>
      </c>
      <c r="X98" s="14" t="b">
        <f t="shared" si="6"/>
        <v>0</v>
      </c>
      <c r="Y98" s="14" t="b">
        <f t="shared" si="7"/>
        <v>0</v>
      </c>
      <c r="Z98" s="14" t="str">
        <f t="shared" si="8"/>
        <v/>
      </c>
      <c r="AA98" s="14" t="str">
        <f t="shared" si="9"/>
        <v>Fully Accessible</v>
      </c>
      <c r="AB98" s="14" t="str">
        <f t="shared" si="10"/>
        <v>Fully Accessible</v>
      </c>
      <c r="AC98" s="14" t="b">
        <f t="shared" si="11"/>
        <v>0</v>
      </c>
      <c r="AE98" s="15" t="s">
        <v>158</v>
      </c>
      <c r="AF98" s="16" t="s">
        <v>50</v>
      </c>
      <c r="AH98" s="17" t="str">
        <f t="shared" si="12"/>
        <v>South Asia</v>
      </c>
      <c r="AI98" s="21"/>
      <c r="AJ98" s="21"/>
      <c r="AK98" s="15">
        <f t="shared" si="13"/>
        <v>0.47027848</v>
      </c>
      <c r="AL98" s="24"/>
      <c r="AM98" s="21"/>
      <c r="AN98" s="21"/>
      <c r="AO98" s="15">
        <f t="shared" si="16"/>
        <v>0.642100556</v>
      </c>
      <c r="AP98" s="24"/>
      <c r="AQ98" s="21"/>
      <c r="AR98" s="21"/>
      <c r="AS98" s="15">
        <f t="shared" si="19"/>
        <v>0.053794338</v>
      </c>
      <c r="AT98" s="24"/>
      <c r="AU98" s="21"/>
      <c r="AX98" s="14">
        <f t="shared" si="22"/>
        <v>35.14499855</v>
      </c>
      <c r="AY98" s="14">
        <f t="shared" si="23"/>
        <v>149.8990021</v>
      </c>
      <c r="AZ98" s="14">
        <f t="shared" si="24"/>
        <v>-114.7540035</v>
      </c>
      <c r="BA98" s="27"/>
    </row>
    <row r="99">
      <c r="A99" s="2" t="s">
        <v>110</v>
      </c>
      <c r="B99" s="2">
        <v>2020.0</v>
      </c>
      <c r="C99" s="2">
        <v>17.56399918</v>
      </c>
      <c r="D99" s="2">
        <v>75.49500275</v>
      </c>
      <c r="E99" s="2">
        <v>99.97161022</v>
      </c>
      <c r="F99" s="2">
        <v>0.0</v>
      </c>
      <c r="G99" s="2">
        <v>0.0283897827</v>
      </c>
      <c r="H99" s="2">
        <v>0.0</v>
      </c>
      <c r="I99" s="2" t="s">
        <v>64</v>
      </c>
      <c r="J99" s="2" t="s">
        <v>64</v>
      </c>
      <c r="K99" s="2" t="s">
        <v>64</v>
      </c>
      <c r="L99" s="2" t="s">
        <v>64</v>
      </c>
      <c r="M99" s="2" t="s">
        <v>64</v>
      </c>
      <c r="N99" s="2" t="s">
        <v>64</v>
      </c>
      <c r="O99" s="2" t="s">
        <v>64</v>
      </c>
      <c r="P99" s="2" t="s">
        <v>64</v>
      </c>
      <c r="Q99" s="13" t="str">
        <f t="shared" si="1"/>
        <v>Cook Islands|2020</v>
      </c>
      <c r="R99" s="14" t="str">
        <f t="shared" si="2"/>
        <v> </v>
      </c>
      <c r="T99" s="14" t="b">
        <f t="shared" si="3"/>
        <v>0</v>
      </c>
      <c r="U99" s="14" t="b">
        <f t="shared" si="29"/>
        <v>0</v>
      </c>
      <c r="V99" s="14" t="b">
        <f t="shared" si="4"/>
        <v>0</v>
      </c>
      <c r="W99" s="14">
        <f t="shared" si="5"/>
        <v>100</v>
      </c>
      <c r="X99" s="14" t="b">
        <f t="shared" si="6"/>
        <v>0</v>
      </c>
      <c r="Y99" s="14" t="b">
        <f t="shared" si="7"/>
        <v>0</v>
      </c>
      <c r="Z99" s="14" t="str">
        <f t="shared" si="8"/>
        <v/>
      </c>
      <c r="AA99" s="14" t="str">
        <f t="shared" si="9"/>
        <v/>
      </c>
      <c r="AB99" s="14" t="str">
        <f t="shared" si="10"/>
        <v/>
      </c>
      <c r="AC99" s="14">
        <f t="shared" si="11"/>
        <v>0</v>
      </c>
      <c r="AE99" s="15" t="s">
        <v>159</v>
      </c>
      <c r="AF99" s="16" t="s">
        <v>51</v>
      </c>
      <c r="AH99" s="17" t="str">
        <f t="shared" si="12"/>
        <v>East Asia &amp; Pacific</v>
      </c>
      <c r="AI99" s="21"/>
      <c r="AJ99" s="21"/>
      <c r="AK99" s="15">
        <f t="shared" si="13"/>
        <v>0.77759933</v>
      </c>
      <c r="AL99" s="24"/>
      <c r="AM99" s="21"/>
      <c r="AN99" s="21"/>
      <c r="AO99" s="15">
        <f t="shared" si="16"/>
        <v>1.007434238</v>
      </c>
      <c r="AP99" s="24"/>
      <c r="AQ99" s="21"/>
      <c r="AR99" s="21"/>
      <c r="AS99" s="15">
        <f t="shared" si="19"/>
        <v>0.427604062</v>
      </c>
      <c r="AT99" s="24"/>
      <c r="AU99" s="21"/>
      <c r="AX99" s="14" t="str">
        <f t="shared" si="22"/>
        <v>null</v>
      </c>
      <c r="AY99" s="14" t="str">
        <f t="shared" si="23"/>
        <v>null</v>
      </c>
      <c r="AZ99" s="14" t="str">
        <f t="shared" si="24"/>
        <v>null</v>
      </c>
      <c r="BA99" s="17"/>
    </row>
    <row r="100">
      <c r="A100" s="2" t="s">
        <v>111</v>
      </c>
      <c r="B100" s="2">
        <v>2015.0</v>
      </c>
      <c r="C100" s="2">
        <v>4847.805176</v>
      </c>
      <c r="D100" s="2">
        <v>76.86199951</v>
      </c>
      <c r="E100" s="2">
        <v>99.37868682</v>
      </c>
      <c r="F100" s="2">
        <v>0.2541303784</v>
      </c>
      <c r="G100" s="2">
        <v>0.2113350186</v>
      </c>
      <c r="H100" s="2">
        <v>0.1558477843</v>
      </c>
      <c r="I100" s="2">
        <v>98.18603249</v>
      </c>
      <c r="J100" s="2">
        <v>0.4100611535</v>
      </c>
      <c r="K100" s="2">
        <v>0.7303485768</v>
      </c>
      <c r="L100" s="2">
        <v>0.6735577778</v>
      </c>
      <c r="M100" s="2">
        <v>99.73771511</v>
      </c>
      <c r="N100" s="2">
        <v>0.2071900718</v>
      </c>
      <c r="O100" s="2">
        <v>0.0550948183</v>
      </c>
      <c r="P100" s="2">
        <v>0.0</v>
      </c>
      <c r="Q100" s="13" t="str">
        <f t="shared" si="1"/>
        <v>Costa Rica|2015</v>
      </c>
      <c r="R100" s="14">
        <f t="shared" si="2"/>
        <v>5</v>
      </c>
      <c r="T100" s="14">
        <f t="shared" si="3"/>
        <v>0.086370022</v>
      </c>
      <c r="U100" s="14">
        <f t="shared" si="29"/>
        <v>0.292043502</v>
      </c>
      <c r="V100" s="14">
        <f t="shared" si="4"/>
        <v>0.02238755</v>
      </c>
      <c r="W100" s="14">
        <f t="shared" si="5"/>
        <v>99</v>
      </c>
      <c r="X100" s="14">
        <f t="shared" si="6"/>
        <v>98</v>
      </c>
      <c r="Y100" s="14">
        <f t="shared" si="7"/>
        <v>100</v>
      </c>
      <c r="Z100" s="14" t="str">
        <f t="shared" si="8"/>
        <v/>
      </c>
      <c r="AA100" s="14" t="str">
        <f t="shared" si="9"/>
        <v/>
      </c>
      <c r="AB100" s="14" t="str">
        <f t="shared" si="10"/>
        <v>Fully Accessible</v>
      </c>
      <c r="AC100" s="14">
        <f t="shared" si="11"/>
        <v>0.269655952</v>
      </c>
      <c r="AE100" s="15" t="s">
        <v>160</v>
      </c>
      <c r="AF100" s="16" t="s">
        <v>50</v>
      </c>
      <c r="AH100" s="17" t="str">
        <f t="shared" si="12"/>
        <v>South Asia</v>
      </c>
      <c r="AI100" s="21"/>
      <c r="AJ100" s="21"/>
      <c r="AK100" s="15">
        <f t="shared" si="13"/>
        <v>0.13512985</v>
      </c>
      <c r="AL100" s="24"/>
      <c r="AM100" s="21"/>
      <c r="AN100" s="21"/>
      <c r="AO100" s="15">
        <f t="shared" si="16"/>
        <v>0.333246546</v>
      </c>
      <c r="AP100" s="24"/>
      <c r="AQ100" s="21"/>
      <c r="AR100" s="21"/>
      <c r="AS100" s="15">
        <f t="shared" si="19"/>
        <v>0.03014517</v>
      </c>
      <c r="AT100" s="24"/>
      <c r="AU100" s="21"/>
      <c r="AX100" s="14">
        <f t="shared" si="22"/>
        <v>9941.918946</v>
      </c>
      <c r="AY100" s="14">
        <f t="shared" si="23"/>
        <v>157.6329956</v>
      </c>
      <c r="AZ100" s="14">
        <f t="shared" si="24"/>
        <v>9784.28595</v>
      </c>
      <c r="BA100" s="27"/>
    </row>
    <row r="101">
      <c r="A101" s="2" t="s">
        <v>111</v>
      </c>
      <c r="B101" s="2">
        <v>2020.0</v>
      </c>
      <c r="C101" s="2">
        <v>5094.11377</v>
      </c>
      <c r="D101" s="2">
        <v>80.77099609</v>
      </c>
      <c r="E101" s="2">
        <v>99.81053693</v>
      </c>
      <c r="F101" s="2">
        <v>0.1894594746</v>
      </c>
      <c r="G101" s="2">
        <v>3.594451897E-6</v>
      </c>
      <c r="H101" s="2">
        <v>0.0</v>
      </c>
      <c r="I101" s="2">
        <v>99.64625</v>
      </c>
      <c r="J101" s="2">
        <v>0.35375</v>
      </c>
      <c r="K101" s="2">
        <v>0.0</v>
      </c>
      <c r="L101" s="2">
        <v>0.0</v>
      </c>
      <c r="M101" s="2">
        <v>99.84965286</v>
      </c>
      <c r="N101" s="2">
        <v>0.1503471429</v>
      </c>
      <c r="O101" s="2">
        <v>0.0</v>
      </c>
      <c r="P101" s="2">
        <v>0.0</v>
      </c>
      <c r="Q101" s="13" t="str">
        <f t="shared" si="1"/>
        <v>Costa Rica|2020</v>
      </c>
      <c r="R101" s="14" t="str">
        <f t="shared" si="2"/>
        <v> </v>
      </c>
      <c r="T101" s="14" t="b">
        <f t="shared" si="3"/>
        <v>0</v>
      </c>
      <c r="U101" s="14" t="b">
        <f t="shared" si="29"/>
        <v>0</v>
      </c>
      <c r="V101" s="14" t="b">
        <f t="shared" si="4"/>
        <v>0</v>
      </c>
      <c r="W101" s="14">
        <f t="shared" si="5"/>
        <v>100</v>
      </c>
      <c r="X101" s="14">
        <f t="shared" si="6"/>
        <v>100</v>
      </c>
      <c r="Y101" s="14">
        <f t="shared" si="7"/>
        <v>100</v>
      </c>
      <c r="Z101" s="14" t="str">
        <f t="shared" si="8"/>
        <v/>
      </c>
      <c r="AA101" s="14" t="str">
        <f t="shared" si="9"/>
        <v/>
      </c>
      <c r="AB101" s="14" t="str">
        <f t="shared" si="10"/>
        <v/>
      </c>
      <c r="AC101" s="14">
        <f t="shared" si="11"/>
        <v>0</v>
      </c>
      <c r="AE101" s="15" t="s">
        <v>161</v>
      </c>
      <c r="AF101" s="16" t="s">
        <v>56</v>
      </c>
      <c r="AH101" s="17" t="str">
        <f t="shared" si="12"/>
        <v>Middle East &amp; North Africa</v>
      </c>
      <c r="AI101" s="21"/>
      <c r="AJ101" s="21"/>
      <c r="AK101" s="15">
        <f t="shared" si="13"/>
        <v>0.82246199</v>
      </c>
      <c r="AL101" s="24"/>
      <c r="AM101" s="21"/>
      <c r="AN101" s="21"/>
      <c r="AO101" s="15">
        <f t="shared" si="16"/>
        <v>2.013687334</v>
      </c>
      <c r="AP101" s="24"/>
      <c r="AQ101" s="21"/>
      <c r="AR101" s="21"/>
      <c r="AS101" s="15">
        <f t="shared" si="19"/>
        <v>0.296175686</v>
      </c>
      <c r="AT101" s="24"/>
      <c r="AU101" s="21"/>
      <c r="AX101" s="14" t="str">
        <f t="shared" si="22"/>
        <v>null</v>
      </c>
      <c r="AY101" s="14" t="str">
        <f t="shared" si="23"/>
        <v>null</v>
      </c>
      <c r="AZ101" s="14" t="str">
        <f t="shared" si="24"/>
        <v>null</v>
      </c>
      <c r="BA101" s="27"/>
    </row>
    <row r="102">
      <c r="A102" s="2" t="s">
        <v>112</v>
      </c>
      <c r="B102" s="2">
        <v>2015.0</v>
      </c>
      <c r="C102" s="2">
        <v>23226.14844</v>
      </c>
      <c r="D102" s="2">
        <v>49.44400024</v>
      </c>
      <c r="E102" s="2">
        <v>71.0757669</v>
      </c>
      <c r="F102" s="2">
        <v>8.767136459</v>
      </c>
      <c r="G102" s="2">
        <v>14.41768054</v>
      </c>
      <c r="H102" s="2">
        <v>5.739416095</v>
      </c>
      <c r="I102" s="2">
        <v>55.84317172</v>
      </c>
      <c r="J102" s="2">
        <v>13.1884673</v>
      </c>
      <c r="K102" s="2">
        <v>22.63128471</v>
      </c>
      <c r="L102" s="2">
        <v>8.337076273</v>
      </c>
      <c r="M102" s="2">
        <v>86.65094535</v>
      </c>
      <c r="N102" s="2">
        <v>4.246369254</v>
      </c>
      <c r="O102" s="2">
        <v>6.019351236</v>
      </c>
      <c r="P102" s="2">
        <v>3.083334164</v>
      </c>
      <c r="Q102" s="13" t="str">
        <f t="shared" si="1"/>
        <v>Côte d'Ivoire|2015</v>
      </c>
      <c r="R102" s="14">
        <f t="shared" si="2"/>
        <v>5</v>
      </c>
      <c r="T102" s="14">
        <f t="shared" si="3"/>
        <v>-0.033339302</v>
      </c>
      <c r="U102" s="14">
        <f t="shared" si="29"/>
        <v>-0.024144972</v>
      </c>
      <c r="V102" s="14">
        <f t="shared" si="4"/>
        <v>-0.311478412</v>
      </c>
      <c r="W102" s="14">
        <f t="shared" si="5"/>
        <v>71</v>
      </c>
      <c r="X102" s="14">
        <f t="shared" si="6"/>
        <v>56</v>
      </c>
      <c r="Y102" s="14">
        <f t="shared" si="7"/>
        <v>87</v>
      </c>
      <c r="Z102" s="14" t="str">
        <f t="shared" si="8"/>
        <v/>
      </c>
      <c r="AA102" s="14" t="str">
        <f t="shared" si="9"/>
        <v/>
      </c>
      <c r="AB102" s="14" t="str">
        <f t="shared" si="10"/>
        <v>Fully Accessible</v>
      </c>
      <c r="AC102" s="14">
        <f t="shared" si="11"/>
        <v>0.28733344</v>
      </c>
      <c r="AE102" s="15" t="s">
        <v>162</v>
      </c>
      <c r="AF102" s="16" t="s">
        <v>53</v>
      </c>
      <c r="AH102" s="17" t="str">
        <f t="shared" si="12"/>
        <v>Europe &amp; Central Asia</v>
      </c>
      <c r="AI102" s="21"/>
      <c r="AJ102" s="21"/>
      <c r="AK102" s="15">
        <f t="shared" si="13"/>
        <v>0.005515704</v>
      </c>
      <c r="AL102" s="24"/>
      <c r="AM102" s="21"/>
      <c r="AN102" s="21"/>
      <c r="AO102" s="15">
        <f t="shared" si="16"/>
        <v>0.023620912</v>
      </c>
      <c r="AP102" s="24"/>
      <c r="AQ102" s="21"/>
      <c r="AR102" s="21"/>
      <c r="AS102" s="15">
        <f t="shared" si="19"/>
        <v>-0.001211156</v>
      </c>
      <c r="AT102" s="24"/>
      <c r="AU102" s="21"/>
      <c r="AX102" s="14">
        <f t="shared" si="22"/>
        <v>49604.42383</v>
      </c>
      <c r="AY102" s="14">
        <f t="shared" si="23"/>
        <v>101.1499977</v>
      </c>
      <c r="AZ102" s="14">
        <f t="shared" si="24"/>
        <v>49503.27383</v>
      </c>
      <c r="BA102" s="17"/>
    </row>
    <row r="103">
      <c r="A103" s="2" t="s">
        <v>112</v>
      </c>
      <c r="B103" s="2">
        <v>2020.0</v>
      </c>
      <c r="C103" s="2">
        <v>26378.27539</v>
      </c>
      <c r="D103" s="2">
        <v>51.70599747</v>
      </c>
      <c r="E103" s="2">
        <v>70.90907039</v>
      </c>
      <c r="F103" s="2">
        <v>8.935421702</v>
      </c>
      <c r="G103" s="2">
        <v>14.19244161</v>
      </c>
      <c r="H103" s="2">
        <v>5.963066293</v>
      </c>
      <c r="I103" s="2">
        <v>55.72244686</v>
      </c>
      <c r="J103" s="2">
        <v>13.34316829</v>
      </c>
      <c r="K103" s="2">
        <v>23.17527956</v>
      </c>
      <c r="L103" s="2">
        <v>7.759105289</v>
      </c>
      <c r="M103" s="2">
        <v>85.09355329</v>
      </c>
      <c r="N103" s="2">
        <v>4.818535156</v>
      </c>
      <c r="O103" s="2">
        <v>5.80236656</v>
      </c>
      <c r="P103" s="2">
        <v>4.285544994</v>
      </c>
      <c r="Q103" s="13" t="str">
        <f t="shared" si="1"/>
        <v>Côte d'Ivoire|2020</v>
      </c>
      <c r="R103" s="14" t="str">
        <f t="shared" si="2"/>
        <v> </v>
      </c>
      <c r="T103" s="14" t="b">
        <f t="shared" si="3"/>
        <v>0</v>
      </c>
      <c r="U103" s="14" t="b">
        <f t="shared" si="29"/>
        <v>0</v>
      </c>
      <c r="V103" s="14" t="b">
        <f t="shared" si="4"/>
        <v>0</v>
      </c>
      <c r="W103" s="14">
        <f t="shared" si="5"/>
        <v>71</v>
      </c>
      <c r="X103" s="14">
        <f t="shared" si="6"/>
        <v>56</v>
      </c>
      <c r="Y103" s="14">
        <f t="shared" si="7"/>
        <v>85</v>
      </c>
      <c r="Z103" s="14" t="str">
        <f t="shared" si="8"/>
        <v/>
      </c>
      <c r="AA103" s="14" t="str">
        <f t="shared" si="9"/>
        <v/>
      </c>
      <c r="AB103" s="14" t="str">
        <f t="shared" si="10"/>
        <v/>
      </c>
      <c r="AC103" s="14">
        <f t="shared" si="11"/>
        <v>0</v>
      </c>
      <c r="AE103" s="15" t="s">
        <v>163</v>
      </c>
      <c r="AF103" s="16" t="s">
        <v>53</v>
      </c>
      <c r="AH103" s="17" t="str">
        <f t="shared" si="12"/>
        <v>Europe &amp; Central Asia</v>
      </c>
      <c r="AI103" s="21"/>
      <c r="AJ103" s="21"/>
      <c r="AK103" s="15">
        <f t="shared" si="13"/>
        <v>0</v>
      </c>
      <c r="AL103" s="24"/>
      <c r="AM103" s="21"/>
      <c r="AN103" s="21"/>
      <c r="AO103" s="15">
        <f t="shared" si="16"/>
        <v>0</v>
      </c>
      <c r="AP103" s="24"/>
      <c r="AQ103" s="21"/>
      <c r="AR103" s="21"/>
      <c r="AS103" s="15">
        <f t="shared" si="19"/>
        <v>0</v>
      </c>
      <c r="AT103" s="24"/>
      <c r="AU103" s="21"/>
      <c r="AX103" s="14" t="str">
        <f t="shared" si="22"/>
        <v>null</v>
      </c>
      <c r="AY103" s="14" t="str">
        <f t="shared" si="23"/>
        <v>null</v>
      </c>
      <c r="AZ103" s="14" t="str">
        <f t="shared" si="24"/>
        <v>null</v>
      </c>
      <c r="BA103" s="17"/>
    </row>
    <row r="104">
      <c r="A104" s="2" t="s">
        <v>113</v>
      </c>
      <c r="B104" s="2">
        <v>2015.0</v>
      </c>
      <c r="C104" s="2">
        <v>4232.874023</v>
      </c>
      <c r="D104" s="2">
        <v>56.15500259</v>
      </c>
      <c r="E104" s="2" t="s">
        <v>64</v>
      </c>
      <c r="F104" s="2" t="s">
        <v>64</v>
      </c>
      <c r="G104" s="2" t="s">
        <v>64</v>
      </c>
      <c r="H104" s="2" t="s">
        <v>64</v>
      </c>
      <c r="I104" s="2" t="s">
        <v>64</v>
      </c>
      <c r="J104" s="2" t="s">
        <v>64</v>
      </c>
      <c r="K104" s="2" t="s">
        <v>64</v>
      </c>
      <c r="L104" s="2" t="s">
        <v>64</v>
      </c>
      <c r="M104" s="2">
        <v>100.0</v>
      </c>
      <c r="N104" s="2">
        <v>0.0</v>
      </c>
      <c r="O104" s="2">
        <v>0.0</v>
      </c>
      <c r="P104" s="2">
        <v>0.0</v>
      </c>
      <c r="Q104" s="13" t="str">
        <f t="shared" si="1"/>
        <v>Croatia|2015</v>
      </c>
      <c r="R104" s="14">
        <f t="shared" si="2"/>
        <v>5</v>
      </c>
      <c r="T104" s="14" t="str">
        <f t="shared" si="3"/>
        <v>null</v>
      </c>
      <c r="U104" s="14" t="str">
        <f t="shared" si="29"/>
        <v>null</v>
      </c>
      <c r="V104" s="14">
        <f t="shared" si="4"/>
        <v>0</v>
      </c>
      <c r="W104" s="14" t="b">
        <f t="shared" si="5"/>
        <v>0</v>
      </c>
      <c r="X104" s="14" t="b">
        <f t="shared" si="6"/>
        <v>0</v>
      </c>
      <c r="Y104" s="14">
        <f t="shared" si="7"/>
        <v>100</v>
      </c>
      <c r="Z104" s="14" t="str">
        <f t="shared" si="8"/>
        <v>Fully Accessible</v>
      </c>
      <c r="AA104" s="14" t="str">
        <f t="shared" si="9"/>
        <v>Fully Accessible</v>
      </c>
      <c r="AB104" s="14" t="str">
        <f t="shared" si="10"/>
        <v>Fully Accessible</v>
      </c>
      <c r="AC104" s="14" t="b">
        <f t="shared" si="11"/>
        <v>0</v>
      </c>
      <c r="AE104" s="15" t="s">
        <v>164</v>
      </c>
      <c r="AF104" s="16" t="s">
        <v>53</v>
      </c>
      <c r="AH104" s="17" t="str">
        <f t="shared" si="12"/>
        <v>Europe &amp; Central Asia</v>
      </c>
      <c r="AI104" s="21"/>
      <c r="AJ104" s="21"/>
      <c r="AK104" s="15">
        <f t="shared" si="13"/>
        <v>-0.0000002999999992</v>
      </c>
      <c r="AL104" s="24"/>
      <c r="AM104" s="21"/>
      <c r="AN104" s="21"/>
      <c r="AO104" s="15">
        <f t="shared" si="16"/>
        <v>0</v>
      </c>
      <c r="AP104" s="24"/>
      <c r="AQ104" s="21"/>
      <c r="AR104" s="21"/>
      <c r="AS104" s="15">
        <f t="shared" si="19"/>
        <v>0</v>
      </c>
      <c r="AT104" s="24"/>
      <c r="AU104" s="21"/>
      <c r="AX104" s="14">
        <f t="shared" si="22"/>
        <v>8338.142089</v>
      </c>
      <c r="AY104" s="14">
        <f t="shared" si="23"/>
        <v>113.7080002</v>
      </c>
      <c r="AZ104" s="14">
        <f t="shared" si="24"/>
        <v>8224.434089</v>
      </c>
      <c r="BA104" s="17"/>
    </row>
    <row r="105">
      <c r="A105" s="2" t="s">
        <v>113</v>
      </c>
      <c r="B105" s="2">
        <v>2020.0</v>
      </c>
      <c r="C105" s="2">
        <v>4105.268066</v>
      </c>
      <c r="D105" s="2">
        <v>57.55299759</v>
      </c>
      <c r="E105" s="2" t="s">
        <v>64</v>
      </c>
      <c r="F105" s="2" t="s">
        <v>64</v>
      </c>
      <c r="G105" s="2" t="s">
        <v>64</v>
      </c>
      <c r="H105" s="2" t="s">
        <v>64</v>
      </c>
      <c r="I105" s="2" t="s">
        <v>64</v>
      </c>
      <c r="J105" s="2" t="s">
        <v>64</v>
      </c>
      <c r="K105" s="2" t="s">
        <v>64</v>
      </c>
      <c r="L105" s="2" t="s">
        <v>64</v>
      </c>
      <c r="M105" s="2">
        <v>100.0</v>
      </c>
      <c r="N105" s="2">
        <v>0.0</v>
      </c>
      <c r="O105" s="2">
        <v>0.0</v>
      </c>
      <c r="P105" s="2">
        <v>0.0</v>
      </c>
      <c r="Q105" s="13" t="str">
        <f t="shared" si="1"/>
        <v>Croatia|2020</v>
      </c>
      <c r="R105" s="14" t="str">
        <f t="shared" si="2"/>
        <v> </v>
      </c>
      <c r="T105" s="14" t="b">
        <f t="shared" si="3"/>
        <v>0</v>
      </c>
      <c r="U105" s="14" t="b">
        <f t="shared" si="29"/>
        <v>0</v>
      </c>
      <c r="V105" s="14" t="b">
        <f t="shared" si="4"/>
        <v>0</v>
      </c>
      <c r="W105" s="14" t="b">
        <f t="shared" si="5"/>
        <v>0</v>
      </c>
      <c r="X105" s="14" t="b">
        <f t="shared" si="6"/>
        <v>0</v>
      </c>
      <c r="Y105" s="14">
        <f t="shared" si="7"/>
        <v>100</v>
      </c>
      <c r="Z105" s="14" t="str">
        <f t="shared" si="8"/>
        <v/>
      </c>
      <c r="AA105" s="14" t="str">
        <f t="shared" si="9"/>
        <v/>
      </c>
      <c r="AB105" s="14" t="str">
        <f t="shared" si="10"/>
        <v/>
      </c>
      <c r="AC105" s="14">
        <f t="shared" si="11"/>
        <v>0</v>
      </c>
      <c r="AE105" s="15" t="s">
        <v>165</v>
      </c>
      <c r="AF105" s="16" t="s">
        <v>53</v>
      </c>
      <c r="AH105" s="17" t="str">
        <f t="shared" si="12"/>
        <v>Europe &amp; Central Asia</v>
      </c>
      <c r="AI105" s="21"/>
      <c r="AJ105" s="21"/>
      <c r="AK105" s="15">
        <f t="shared" si="13"/>
        <v>0</v>
      </c>
      <c r="AL105" s="24"/>
      <c r="AM105" s="21"/>
      <c r="AN105" s="21"/>
      <c r="AO105" s="15">
        <f t="shared" si="16"/>
        <v>0</v>
      </c>
      <c r="AP105" s="24"/>
      <c r="AQ105" s="21"/>
      <c r="AR105" s="21"/>
      <c r="AS105" s="15">
        <f t="shared" si="19"/>
        <v>0</v>
      </c>
      <c r="AT105" s="24"/>
      <c r="AU105" s="21"/>
      <c r="AX105" s="14" t="str">
        <f t="shared" si="22"/>
        <v>null</v>
      </c>
      <c r="AY105" s="14" t="str">
        <f t="shared" si="23"/>
        <v>null</v>
      </c>
      <c r="AZ105" s="14" t="str">
        <f t="shared" si="24"/>
        <v>null</v>
      </c>
      <c r="BA105" s="8"/>
    </row>
    <row r="106">
      <c r="A106" s="2" t="s">
        <v>114</v>
      </c>
      <c r="B106" s="2">
        <v>2015.0</v>
      </c>
      <c r="C106" s="2">
        <v>11324.77734</v>
      </c>
      <c r="D106" s="2">
        <v>76.89600372</v>
      </c>
      <c r="E106" s="2">
        <v>95.87179647</v>
      </c>
      <c r="F106" s="2">
        <v>1.750253789</v>
      </c>
      <c r="G106" s="2">
        <v>1.99464</v>
      </c>
      <c r="H106" s="2">
        <v>0.3833097362</v>
      </c>
      <c r="I106" s="2">
        <v>90.44506066</v>
      </c>
      <c r="J106" s="2">
        <v>3.362197131</v>
      </c>
      <c r="K106" s="2">
        <v>4.747322467</v>
      </c>
      <c r="L106" s="2">
        <v>1.445419738</v>
      </c>
      <c r="M106" s="2">
        <v>97.50230137</v>
      </c>
      <c r="N106" s="2">
        <v>1.2659329</v>
      </c>
      <c r="O106" s="2">
        <v>1.167575187</v>
      </c>
      <c r="P106" s="2">
        <v>0.06419054206</v>
      </c>
      <c r="Q106" s="13" t="str">
        <f t="shared" si="1"/>
        <v>Cuba|2015</v>
      </c>
      <c r="R106" s="14">
        <f t="shared" si="2"/>
        <v>5</v>
      </c>
      <c r="T106" s="14">
        <f t="shared" si="3"/>
        <v>0.226179938</v>
      </c>
      <c r="U106" s="14">
        <f t="shared" si="29"/>
        <v>0.788318096</v>
      </c>
      <c r="V106" s="14">
        <f t="shared" si="4"/>
        <v>0.054655054</v>
      </c>
      <c r="W106" s="14">
        <f t="shared" si="5"/>
        <v>96</v>
      </c>
      <c r="X106" s="14">
        <f t="shared" si="6"/>
        <v>90</v>
      </c>
      <c r="Y106" s="14">
        <f t="shared" si="7"/>
        <v>98</v>
      </c>
      <c r="Z106" s="14" t="str">
        <f t="shared" si="8"/>
        <v/>
      </c>
      <c r="AA106" s="14" t="str">
        <f t="shared" si="9"/>
        <v/>
      </c>
      <c r="AB106" s="14" t="str">
        <f t="shared" si="10"/>
        <v>Fully Accessible</v>
      </c>
      <c r="AC106" s="14">
        <f t="shared" si="11"/>
        <v>0.733663042</v>
      </c>
      <c r="AE106" s="15" t="s">
        <v>166</v>
      </c>
      <c r="AF106" s="16" t="s">
        <v>57</v>
      </c>
      <c r="AH106" s="17" t="str">
        <f t="shared" si="12"/>
        <v>Latin America &amp; Caribbean</v>
      </c>
      <c r="AI106" s="21"/>
      <c r="AJ106" s="21"/>
      <c r="AK106" s="15">
        <f t="shared" si="13"/>
        <v>0.122629642</v>
      </c>
      <c r="AL106" s="24"/>
      <c r="AM106" s="21"/>
      <c r="AN106" s="21"/>
      <c r="AO106" s="15">
        <f t="shared" si="16"/>
        <v>0.179840452</v>
      </c>
      <c r="AP106" s="24"/>
      <c r="AQ106" s="21"/>
      <c r="AR106" s="21"/>
      <c r="AS106" s="15">
        <f t="shared" si="19"/>
        <v>0.021605134</v>
      </c>
      <c r="AT106" s="24"/>
      <c r="AU106" s="21"/>
      <c r="AX106" s="14">
        <f t="shared" si="22"/>
        <v>22651.39355</v>
      </c>
      <c r="AY106" s="14">
        <f t="shared" si="23"/>
        <v>154.090004</v>
      </c>
      <c r="AZ106" s="14">
        <f t="shared" si="24"/>
        <v>22497.30355</v>
      </c>
      <c r="BA106" s="27"/>
    </row>
    <row r="107">
      <c r="A107" s="2" t="s">
        <v>114</v>
      </c>
      <c r="B107" s="2">
        <v>2020.0</v>
      </c>
      <c r="C107" s="2">
        <v>11326.61621</v>
      </c>
      <c r="D107" s="2">
        <v>77.19400024</v>
      </c>
      <c r="E107" s="2">
        <v>97.00269616</v>
      </c>
      <c r="F107" s="2">
        <v>1.471384542</v>
      </c>
      <c r="G107" s="2">
        <v>1.252811506</v>
      </c>
      <c r="H107" s="2">
        <v>0.2731077963</v>
      </c>
      <c r="I107" s="2">
        <v>94.38665114</v>
      </c>
      <c r="J107" s="2">
        <v>2.591752445</v>
      </c>
      <c r="K107" s="2">
        <v>1.905972935</v>
      </c>
      <c r="L107" s="2">
        <v>1.115623477</v>
      </c>
      <c r="M107" s="2">
        <v>97.77557664</v>
      </c>
      <c r="N107" s="2">
        <v>1.1403859</v>
      </c>
      <c r="O107" s="2">
        <v>1.059840374</v>
      </c>
      <c r="P107" s="2">
        <v>0.02419708411</v>
      </c>
      <c r="Q107" s="13" t="str">
        <f t="shared" si="1"/>
        <v>Cuba|2020</v>
      </c>
      <c r="R107" s="14" t="str">
        <f t="shared" si="2"/>
        <v> </v>
      </c>
      <c r="T107" s="14" t="b">
        <f t="shared" si="3"/>
        <v>0</v>
      </c>
      <c r="U107" s="14" t="b">
        <f t="shared" si="29"/>
        <v>0</v>
      </c>
      <c r="V107" s="14" t="b">
        <f t="shared" si="4"/>
        <v>0</v>
      </c>
      <c r="W107" s="14">
        <f t="shared" si="5"/>
        <v>97</v>
      </c>
      <c r="X107" s="14">
        <f t="shared" si="6"/>
        <v>94</v>
      </c>
      <c r="Y107" s="14">
        <f t="shared" si="7"/>
        <v>98</v>
      </c>
      <c r="Z107" s="14" t="str">
        <f t="shared" si="8"/>
        <v/>
      </c>
      <c r="AA107" s="14" t="str">
        <f t="shared" si="9"/>
        <v/>
      </c>
      <c r="AB107" s="14" t="str">
        <f t="shared" si="10"/>
        <v/>
      </c>
      <c r="AC107" s="14">
        <f t="shared" si="11"/>
        <v>0</v>
      </c>
      <c r="AE107" s="15" t="s">
        <v>167</v>
      </c>
      <c r="AF107" s="16" t="s">
        <v>51</v>
      </c>
      <c r="AH107" s="17" t="str">
        <f t="shared" si="12"/>
        <v>East Asia &amp; Pacific</v>
      </c>
      <c r="AI107" s="21"/>
      <c r="AJ107" s="21"/>
      <c r="AK107" s="15">
        <f t="shared" si="13"/>
        <v>0.031221394</v>
      </c>
      <c r="AL107" s="24"/>
      <c r="AM107" s="21"/>
      <c r="AN107" s="21"/>
      <c r="AO107" s="15">
        <f t="shared" si="16"/>
        <v>0</v>
      </c>
      <c r="AP107" s="24"/>
      <c r="AQ107" s="21"/>
      <c r="AR107" s="21"/>
      <c r="AS107" s="15">
        <f t="shared" si="19"/>
        <v>0</v>
      </c>
      <c r="AT107" s="24"/>
      <c r="AU107" s="21"/>
      <c r="AX107" s="14" t="str">
        <f t="shared" si="22"/>
        <v>null</v>
      </c>
      <c r="AY107" s="14" t="str">
        <f t="shared" si="23"/>
        <v>null</v>
      </c>
      <c r="AZ107" s="14" t="str">
        <f t="shared" si="24"/>
        <v>null</v>
      </c>
      <c r="BA107" s="17"/>
    </row>
    <row r="108">
      <c r="A108" s="2" t="s">
        <v>115</v>
      </c>
      <c r="B108" s="2">
        <v>2015.0</v>
      </c>
      <c r="C108" s="2">
        <v>159.8500061</v>
      </c>
      <c r="D108" s="2">
        <v>89.35199738</v>
      </c>
      <c r="E108" s="2">
        <v>99.49775185</v>
      </c>
      <c r="F108" s="2">
        <v>0.0</v>
      </c>
      <c r="G108" s="2">
        <v>0.5022481525</v>
      </c>
      <c r="H108" s="2">
        <v>0.0</v>
      </c>
      <c r="I108" s="2" t="s">
        <v>64</v>
      </c>
      <c r="J108" s="2" t="s">
        <v>64</v>
      </c>
      <c r="K108" s="2" t="s">
        <v>64</v>
      </c>
      <c r="L108" s="2" t="s">
        <v>64</v>
      </c>
      <c r="M108" s="2" t="s">
        <v>64</v>
      </c>
      <c r="N108" s="2" t="s">
        <v>64</v>
      </c>
      <c r="O108" s="2" t="s">
        <v>64</v>
      </c>
      <c r="P108" s="2" t="s">
        <v>64</v>
      </c>
      <c r="Q108" s="13" t="str">
        <f t="shared" si="1"/>
        <v>Curaçao|2015</v>
      </c>
      <c r="R108" s="14">
        <f t="shared" si="2"/>
        <v>2</v>
      </c>
      <c r="T108" s="14">
        <f t="shared" si="3"/>
        <v>0</v>
      </c>
      <c r="U108" s="14" t="str">
        <f t="shared" si="29"/>
        <v>null</v>
      </c>
      <c r="V108" s="14" t="str">
        <f t="shared" si="4"/>
        <v>null</v>
      </c>
      <c r="W108" s="14">
        <f t="shared" si="5"/>
        <v>99</v>
      </c>
      <c r="X108" s="14" t="b">
        <f t="shared" si="6"/>
        <v>0</v>
      </c>
      <c r="Y108" s="14" t="b">
        <f t="shared" si="7"/>
        <v>0</v>
      </c>
      <c r="Z108" s="14" t="str">
        <f t="shared" si="8"/>
        <v/>
      </c>
      <c r="AA108" s="14" t="str">
        <f t="shared" si="9"/>
        <v>Fully Accessible</v>
      </c>
      <c r="AB108" s="14" t="str">
        <f t="shared" si="10"/>
        <v>Fully Accessible</v>
      </c>
      <c r="AC108" s="14" t="b">
        <f t="shared" si="11"/>
        <v>0</v>
      </c>
      <c r="AE108" s="15" t="s">
        <v>168</v>
      </c>
      <c r="AF108" s="16" t="s">
        <v>56</v>
      </c>
      <c r="AH108" s="17" t="str">
        <f t="shared" si="12"/>
        <v>Middle East &amp; North Africa</v>
      </c>
      <c r="AI108" s="21"/>
      <c r="AJ108" s="21"/>
      <c r="AK108" s="15">
        <f t="shared" si="13"/>
        <v>-0.01329639</v>
      </c>
      <c r="AL108" s="24"/>
      <c r="AM108" s="21"/>
      <c r="AN108" s="21"/>
      <c r="AO108" s="15">
        <f t="shared" si="16"/>
        <v>-0.01016734</v>
      </c>
      <c r="AP108" s="24"/>
      <c r="AQ108" s="21"/>
      <c r="AR108" s="21"/>
      <c r="AS108" s="15">
        <f t="shared" si="19"/>
        <v>-0.018220846</v>
      </c>
      <c r="AT108" s="24"/>
      <c r="AU108" s="21"/>
      <c r="AX108" s="14">
        <f t="shared" si="22"/>
        <v>321.8359985</v>
      </c>
      <c r="AY108" s="14">
        <f t="shared" si="23"/>
        <v>178.5550003</v>
      </c>
      <c r="AZ108" s="14">
        <f t="shared" si="24"/>
        <v>143.2809982</v>
      </c>
      <c r="BA108" s="27"/>
    </row>
    <row r="109">
      <c r="A109" s="2" t="s">
        <v>115</v>
      </c>
      <c r="B109" s="2">
        <v>2017.0</v>
      </c>
      <c r="C109" s="2">
        <v>161.9859924</v>
      </c>
      <c r="D109" s="2">
        <v>89.20300293</v>
      </c>
      <c r="E109" s="2">
        <v>99.49775185</v>
      </c>
      <c r="F109" s="2">
        <v>0.0</v>
      </c>
      <c r="G109" s="2">
        <v>0.5022481525</v>
      </c>
      <c r="H109" s="2">
        <v>0.0</v>
      </c>
      <c r="I109" s="2" t="s">
        <v>64</v>
      </c>
      <c r="J109" s="2" t="s">
        <v>64</v>
      </c>
      <c r="K109" s="2" t="s">
        <v>64</v>
      </c>
      <c r="L109" s="2" t="s">
        <v>64</v>
      </c>
      <c r="M109" s="2" t="s">
        <v>64</v>
      </c>
      <c r="N109" s="2" t="s">
        <v>64</v>
      </c>
      <c r="O109" s="2" t="s">
        <v>64</v>
      </c>
      <c r="P109" s="2" t="s">
        <v>64</v>
      </c>
      <c r="Q109" s="13" t="str">
        <f t="shared" si="1"/>
        <v>Curaçao|2017</v>
      </c>
      <c r="R109" s="14" t="str">
        <f t="shared" si="2"/>
        <v> </v>
      </c>
      <c r="T109" s="14" t="b">
        <f t="shared" si="3"/>
        <v>0</v>
      </c>
      <c r="U109" s="14" t="b">
        <f t="shared" si="29"/>
        <v>0</v>
      </c>
      <c r="V109" s="14" t="b">
        <f t="shared" si="4"/>
        <v>0</v>
      </c>
      <c r="W109" s="14">
        <f t="shared" si="5"/>
        <v>99</v>
      </c>
      <c r="X109" s="14" t="b">
        <f t="shared" si="6"/>
        <v>0</v>
      </c>
      <c r="Y109" s="14" t="b">
        <f t="shared" si="7"/>
        <v>0</v>
      </c>
      <c r="Z109" s="14" t="str">
        <f t="shared" si="8"/>
        <v/>
      </c>
      <c r="AA109" s="14" t="str">
        <f t="shared" si="9"/>
        <v/>
      </c>
      <c r="AB109" s="14" t="str">
        <f t="shared" si="10"/>
        <v/>
      </c>
      <c r="AC109" s="14">
        <f t="shared" si="11"/>
        <v>0</v>
      </c>
      <c r="AE109" s="15" t="s">
        <v>169</v>
      </c>
      <c r="AF109" s="16" t="s">
        <v>53</v>
      </c>
      <c r="AH109" s="17" t="str">
        <f t="shared" si="12"/>
        <v>Europe &amp; Central Asia</v>
      </c>
      <c r="AI109" s="21"/>
      <c r="AJ109" s="21"/>
      <c r="AK109" s="15">
        <f t="shared" si="13"/>
        <v>0.081927182</v>
      </c>
      <c r="AL109" s="24"/>
      <c r="AM109" s="21"/>
      <c r="AN109" s="21"/>
      <c r="AO109" s="15">
        <f t="shared" si="16"/>
        <v>0.2383509</v>
      </c>
      <c r="AP109" s="24"/>
      <c r="AQ109" s="21"/>
      <c r="AR109" s="21"/>
      <c r="AS109" s="15">
        <f t="shared" si="19"/>
        <v>-0.045335692</v>
      </c>
      <c r="AT109" s="24"/>
      <c r="AU109" s="21"/>
      <c r="AX109" s="14" t="str">
        <f t="shared" si="22"/>
        <v>null</v>
      </c>
      <c r="AY109" s="14" t="str">
        <f t="shared" si="23"/>
        <v>null</v>
      </c>
      <c r="AZ109" s="14" t="str">
        <f t="shared" si="24"/>
        <v>null</v>
      </c>
      <c r="BA109" s="27"/>
    </row>
    <row r="110">
      <c r="A110" s="2" t="s">
        <v>116</v>
      </c>
      <c r="B110" s="2">
        <v>2015.0</v>
      </c>
      <c r="C110" s="2">
        <v>1160.987061</v>
      </c>
      <c r="D110" s="2">
        <v>66.94599915</v>
      </c>
      <c r="E110" s="2">
        <v>99.78851757</v>
      </c>
      <c r="F110" s="2">
        <v>0.0</v>
      </c>
      <c r="G110" s="2">
        <v>0.2114824349</v>
      </c>
      <c r="H110" s="2">
        <v>0.0</v>
      </c>
      <c r="I110" s="2">
        <v>99.86118554</v>
      </c>
      <c r="J110" s="2">
        <v>0.0</v>
      </c>
      <c r="K110" s="2">
        <v>0.1388144553</v>
      </c>
      <c r="L110" s="2">
        <v>0.0</v>
      </c>
      <c r="M110" s="2">
        <v>99.75264231</v>
      </c>
      <c r="N110" s="2">
        <v>0.0</v>
      </c>
      <c r="O110" s="2">
        <v>0.2473576943</v>
      </c>
      <c r="P110" s="2">
        <v>0.0</v>
      </c>
      <c r="Q110" s="13" t="str">
        <f t="shared" si="1"/>
        <v>Cyprus|2015</v>
      </c>
      <c r="R110" s="14">
        <f t="shared" si="2"/>
        <v>5</v>
      </c>
      <c r="T110" s="14">
        <f t="shared" si="3"/>
        <v>-0.004668878</v>
      </c>
      <c r="U110" s="14">
        <f t="shared" si="29"/>
        <v>-0.003084764</v>
      </c>
      <c r="V110" s="14">
        <f t="shared" si="4"/>
        <v>-0.005496838</v>
      </c>
      <c r="W110" s="14">
        <f t="shared" si="5"/>
        <v>100</v>
      </c>
      <c r="X110" s="14">
        <f t="shared" si="6"/>
        <v>100</v>
      </c>
      <c r="Y110" s="14">
        <f t="shared" si="7"/>
        <v>100</v>
      </c>
      <c r="Z110" s="14" t="str">
        <f t="shared" si="8"/>
        <v/>
      </c>
      <c r="AA110" s="14" t="str">
        <f t="shared" si="9"/>
        <v/>
      </c>
      <c r="AB110" s="14" t="str">
        <f t="shared" si="10"/>
        <v>Fully Accessible</v>
      </c>
      <c r="AC110" s="14">
        <f t="shared" si="11"/>
        <v>0.002412074</v>
      </c>
      <c r="AE110" s="15" t="s">
        <v>170</v>
      </c>
      <c r="AF110" s="16" t="s">
        <v>63</v>
      </c>
      <c r="AH110" s="17" t="str">
        <f t="shared" si="12"/>
        <v>Sub-Saharan Africa</v>
      </c>
      <c r="AI110" s="21"/>
      <c r="AJ110" s="21"/>
      <c r="AK110" s="15">
        <f t="shared" si="13"/>
        <v>0.68719272</v>
      </c>
      <c r="AL110" s="24"/>
      <c r="AM110" s="21"/>
      <c r="AN110" s="21"/>
      <c r="AO110" s="15">
        <f t="shared" si="16"/>
        <v>0.701563404</v>
      </c>
      <c r="AP110" s="24"/>
      <c r="AQ110" s="21"/>
      <c r="AR110" s="21"/>
      <c r="AS110" s="15">
        <f t="shared" si="19"/>
        <v>0.004416706</v>
      </c>
      <c r="AT110" s="24"/>
      <c r="AU110" s="21"/>
      <c r="AX110" s="14">
        <f t="shared" si="22"/>
        <v>2368.348023</v>
      </c>
      <c r="AY110" s="14">
        <f t="shared" si="23"/>
        <v>133.7669983</v>
      </c>
      <c r="AZ110" s="14">
        <f t="shared" si="24"/>
        <v>2234.581025</v>
      </c>
      <c r="BA110" s="17"/>
    </row>
    <row r="111">
      <c r="A111" s="2" t="s">
        <v>116</v>
      </c>
      <c r="B111" s="2">
        <v>2020.0</v>
      </c>
      <c r="C111" s="2">
        <v>1207.360962</v>
      </c>
      <c r="D111" s="2">
        <v>66.82099915</v>
      </c>
      <c r="E111" s="2">
        <v>99.76517318</v>
      </c>
      <c r="F111" s="2">
        <v>0.0</v>
      </c>
      <c r="G111" s="2">
        <v>0.2348268167</v>
      </c>
      <c r="H111" s="2">
        <v>0.0</v>
      </c>
      <c r="I111" s="2">
        <v>99.84576172</v>
      </c>
      <c r="J111" s="2">
        <v>0.0</v>
      </c>
      <c r="K111" s="2">
        <v>0.1542382836</v>
      </c>
      <c r="L111" s="2">
        <v>0.0</v>
      </c>
      <c r="M111" s="2">
        <v>99.72515812</v>
      </c>
      <c r="N111" s="2">
        <v>0.0</v>
      </c>
      <c r="O111" s="2">
        <v>0.2748418825</v>
      </c>
      <c r="P111" s="2">
        <v>0.0</v>
      </c>
      <c r="Q111" s="13" t="str">
        <f t="shared" si="1"/>
        <v>Cyprus|2020</v>
      </c>
      <c r="R111" s="14" t="str">
        <f t="shared" si="2"/>
        <v> </v>
      </c>
      <c r="T111" s="14" t="b">
        <f t="shared" si="3"/>
        <v>0</v>
      </c>
      <c r="U111" s="14" t="b">
        <f t="shared" si="29"/>
        <v>0</v>
      </c>
      <c r="V111" s="14" t="b">
        <f t="shared" si="4"/>
        <v>0</v>
      </c>
      <c r="W111" s="14">
        <f t="shared" si="5"/>
        <v>100</v>
      </c>
      <c r="X111" s="14">
        <f t="shared" si="6"/>
        <v>100</v>
      </c>
      <c r="Y111" s="14">
        <f t="shared" si="7"/>
        <v>100</v>
      </c>
      <c r="Z111" s="14" t="str">
        <f t="shared" si="8"/>
        <v/>
      </c>
      <c r="AA111" s="14" t="str">
        <f t="shared" si="9"/>
        <v/>
      </c>
      <c r="AB111" s="14" t="str">
        <f t="shared" si="10"/>
        <v/>
      </c>
      <c r="AC111" s="14">
        <f t="shared" si="11"/>
        <v>0</v>
      </c>
      <c r="AE111" s="15" t="s">
        <v>171</v>
      </c>
      <c r="AF111" s="16" t="s">
        <v>51</v>
      </c>
      <c r="AH111" s="17" t="str">
        <f t="shared" si="12"/>
        <v>East Asia &amp; Pacific</v>
      </c>
      <c r="AI111" s="21"/>
      <c r="AJ111" s="21"/>
      <c r="AK111" s="15">
        <f t="shared" si="13"/>
        <v>0.824564852</v>
      </c>
      <c r="AL111" s="24"/>
      <c r="AM111" s="21"/>
      <c r="AN111" s="21"/>
      <c r="AO111" s="15">
        <f t="shared" si="16"/>
        <v>0.61438646</v>
      </c>
      <c r="AP111" s="24"/>
      <c r="AQ111" s="21"/>
      <c r="AR111" s="21"/>
      <c r="AS111" s="15">
        <f t="shared" si="19"/>
        <v>0.55124857</v>
      </c>
      <c r="AT111" s="24"/>
      <c r="AU111" s="21"/>
      <c r="AX111" s="14" t="str">
        <f t="shared" si="22"/>
        <v>null</v>
      </c>
      <c r="AY111" s="14" t="str">
        <f t="shared" si="23"/>
        <v>null</v>
      </c>
      <c r="AZ111" s="14" t="str">
        <f t="shared" si="24"/>
        <v>null</v>
      </c>
      <c r="BA111" s="17"/>
    </row>
    <row r="112">
      <c r="A112" s="2" t="s">
        <v>117</v>
      </c>
      <c r="B112" s="2">
        <v>2015.0</v>
      </c>
      <c r="C112" s="2">
        <v>10601.38965</v>
      </c>
      <c r="D112" s="2">
        <v>73.47699738</v>
      </c>
      <c r="E112" s="2">
        <v>99.88009269</v>
      </c>
      <c r="F112" s="2">
        <v>0.0</v>
      </c>
      <c r="G112" s="2">
        <v>0.1199073119</v>
      </c>
      <c r="H112" s="2">
        <v>0.0</v>
      </c>
      <c r="I112" s="2">
        <v>99.8175993</v>
      </c>
      <c r="J112" s="2">
        <v>0.0</v>
      </c>
      <c r="K112" s="2">
        <v>0.1824006965</v>
      </c>
      <c r="L112" s="2">
        <v>0.0</v>
      </c>
      <c r="M112" s="2">
        <v>99.90265093</v>
      </c>
      <c r="N112" s="2">
        <v>0.0</v>
      </c>
      <c r="O112" s="2">
        <v>0.0973490679</v>
      </c>
      <c r="P112" s="2">
        <v>0.0</v>
      </c>
      <c r="Q112" s="13" t="str">
        <f t="shared" si="1"/>
        <v>Czech Republic|2015</v>
      </c>
      <c r="R112" s="14">
        <f t="shared" si="2"/>
        <v>5</v>
      </c>
      <c r="T112" s="14">
        <f t="shared" si="3"/>
        <v>0.000099796</v>
      </c>
      <c r="U112" s="14">
        <f t="shared" si="29"/>
        <v>0</v>
      </c>
      <c r="V112" s="14">
        <f t="shared" si="4"/>
        <v>0</v>
      </c>
      <c r="W112" s="14">
        <f t="shared" si="5"/>
        <v>100</v>
      </c>
      <c r="X112" s="14">
        <f t="shared" si="6"/>
        <v>100</v>
      </c>
      <c r="Y112" s="14">
        <f t="shared" si="7"/>
        <v>100</v>
      </c>
      <c r="Z112" s="14" t="str">
        <f t="shared" si="8"/>
        <v/>
      </c>
      <c r="AA112" s="14" t="str">
        <f t="shared" si="9"/>
        <v/>
      </c>
      <c r="AB112" s="14" t="str">
        <f t="shared" si="10"/>
        <v>Fully Accessible</v>
      </c>
      <c r="AC112" s="14">
        <f t="shared" si="11"/>
        <v>0</v>
      </c>
      <c r="AE112" s="15" t="s">
        <v>172</v>
      </c>
      <c r="AF112" s="16" t="s">
        <v>56</v>
      </c>
      <c r="AH112" s="17" t="str">
        <f t="shared" si="12"/>
        <v>Middle East &amp; North Africa</v>
      </c>
      <c r="AI112" s="21"/>
      <c r="AJ112" s="21"/>
      <c r="AK112" s="15">
        <f t="shared" si="13"/>
        <v>0</v>
      </c>
      <c r="AL112" s="24"/>
      <c r="AM112" s="21"/>
      <c r="AN112" s="21"/>
      <c r="AO112" s="15">
        <f t="shared" si="16"/>
        <v>0</v>
      </c>
      <c r="AP112" s="24"/>
      <c r="AQ112" s="21"/>
      <c r="AR112" s="21"/>
      <c r="AS112" s="15">
        <f t="shared" si="19"/>
        <v>0</v>
      </c>
      <c r="AT112" s="24"/>
      <c r="AU112" s="21"/>
      <c r="AX112" s="14">
        <f t="shared" si="22"/>
        <v>21310.37207</v>
      </c>
      <c r="AY112" s="14">
        <f t="shared" si="23"/>
        <v>147.538002</v>
      </c>
      <c r="AZ112" s="14">
        <f t="shared" si="24"/>
        <v>21162.83407</v>
      </c>
      <c r="BA112" s="17"/>
    </row>
    <row r="113">
      <c r="A113" s="2" t="s">
        <v>117</v>
      </c>
      <c r="B113" s="2">
        <v>2020.0</v>
      </c>
      <c r="C113" s="2">
        <v>10708.98242</v>
      </c>
      <c r="D113" s="2">
        <v>74.06100464</v>
      </c>
      <c r="E113" s="2">
        <v>99.88059167</v>
      </c>
      <c r="F113" s="2">
        <v>0.0</v>
      </c>
      <c r="G113" s="2">
        <v>0.1194083325</v>
      </c>
      <c r="H113" s="2">
        <v>0.0</v>
      </c>
      <c r="I113" s="2">
        <v>99.8175993</v>
      </c>
      <c r="J113" s="2">
        <v>0.0</v>
      </c>
      <c r="K113" s="2">
        <v>0.1824006965</v>
      </c>
      <c r="L113" s="2">
        <v>0.0</v>
      </c>
      <c r="M113" s="2">
        <v>99.90265093</v>
      </c>
      <c r="N113" s="2">
        <v>0.0</v>
      </c>
      <c r="O113" s="2">
        <v>0.0973490679</v>
      </c>
      <c r="P113" s="2">
        <v>0.0</v>
      </c>
      <c r="Q113" s="13" t="str">
        <f t="shared" si="1"/>
        <v>Czech Republic|2020</v>
      </c>
      <c r="R113" s="14" t="str">
        <f t="shared" si="2"/>
        <v> </v>
      </c>
      <c r="T113" s="14" t="b">
        <f t="shared" si="3"/>
        <v>0</v>
      </c>
      <c r="U113" s="14" t="b">
        <f t="shared" si="29"/>
        <v>0</v>
      </c>
      <c r="V113" s="14" t="b">
        <f t="shared" si="4"/>
        <v>0</v>
      </c>
      <c r="W113" s="14">
        <f t="shared" si="5"/>
        <v>100</v>
      </c>
      <c r="X113" s="14">
        <f t="shared" si="6"/>
        <v>100</v>
      </c>
      <c r="Y113" s="14">
        <f t="shared" si="7"/>
        <v>100</v>
      </c>
      <c r="Z113" s="14" t="str">
        <f t="shared" si="8"/>
        <v/>
      </c>
      <c r="AA113" s="14" t="str">
        <f t="shared" si="9"/>
        <v/>
      </c>
      <c r="AB113" s="14" t="str">
        <f t="shared" si="10"/>
        <v/>
      </c>
      <c r="AC113" s="14">
        <f t="shared" si="11"/>
        <v>0</v>
      </c>
      <c r="AE113" s="15" t="s">
        <v>173</v>
      </c>
      <c r="AF113" s="16" t="s">
        <v>53</v>
      </c>
      <c r="AH113" s="17" t="str">
        <f t="shared" si="12"/>
        <v>Europe &amp; Central Asia</v>
      </c>
      <c r="AI113" s="21"/>
      <c r="AJ113" s="21"/>
      <c r="AK113" s="15">
        <f t="shared" si="13"/>
        <v>0.651508794</v>
      </c>
      <c r="AL113" s="24"/>
      <c r="AM113" s="21"/>
      <c r="AN113" s="21"/>
      <c r="AO113" s="15">
        <f t="shared" si="16"/>
        <v>0.830642272</v>
      </c>
      <c r="AP113" s="24"/>
      <c r="AQ113" s="21"/>
      <c r="AR113" s="21"/>
      <c r="AS113" s="15">
        <f t="shared" si="19"/>
        <v>0.257269172</v>
      </c>
      <c r="AT113" s="24"/>
      <c r="AU113" s="21"/>
      <c r="AX113" s="14" t="str">
        <f t="shared" si="22"/>
        <v>null</v>
      </c>
      <c r="AY113" s="14" t="str">
        <f t="shared" si="23"/>
        <v>null</v>
      </c>
      <c r="AZ113" s="14" t="str">
        <f t="shared" si="24"/>
        <v>null</v>
      </c>
      <c r="BA113" s="8"/>
    </row>
    <row r="114">
      <c r="A114" s="2" t="s">
        <v>118</v>
      </c>
      <c r="B114" s="2">
        <v>2015.0</v>
      </c>
      <c r="C114" s="2">
        <v>25183.83203</v>
      </c>
      <c r="D114" s="2">
        <v>61.27700424</v>
      </c>
      <c r="E114" s="2">
        <v>95.21488171</v>
      </c>
      <c r="F114" s="2">
        <v>0.6850023901</v>
      </c>
      <c r="G114" s="2">
        <v>3.829054918</v>
      </c>
      <c r="H114" s="2">
        <v>0.2710609803</v>
      </c>
      <c r="I114" s="2">
        <v>91.61696842</v>
      </c>
      <c r="J114" s="2">
        <v>0.3679396322</v>
      </c>
      <c r="K114" s="2">
        <v>7.315091944</v>
      </c>
      <c r="L114" s="2">
        <v>0.7</v>
      </c>
      <c r="M114" s="2">
        <v>97.48852402</v>
      </c>
      <c r="N114" s="2">
        <v>0.8853650012</v>
      </c>
      <c r="O114" s="2">
        <v>1.626110978</v>
      </c>
      <c r="P114" s="2">
        <v>0.0</v>
      </c>
      <c r="Q114" s="13" t="str">
        <f t="shared" si="1"/>
        <v>Democratic People's Republic of Korea|2015</v>
      </c>
      <c r="R114" s="14">
        <f t="shared" si="2"/>
        <v>5</v>
      </c>
      <c r="T114" s="14">
        <f t="shared" si="3"/>
        <v>-0.274207736</v>
      </c>
      <c r="U114" s="14">
        <f t="shared" si="29"/>
        <v>-0.572668708</v>
      </c>
      <c r="V114" s="14">
        <f t="shared" si="4"/>
        <v>-0.115002716</v>
      </c>
      <c r="W114" s="14">
        <f t="shared" si="5"/>
        <v>95</v>
      </c>
      <c r="X114" s="14">
        <f t="shared" si="6"/>
        <v>92</v>
      </c>
      <c r="Y114" s="14">
        <f t="shared" si="7"/>
        <v>97</v>
      </c>
      <c r="Z114" s="14" t="str">
        <f t="shared" si="8"/>
        <v/>
      </c>
      <c r="AA114" s="14" t="str">
        <f t="shared" si="9"/>
        <v/>
      </c>
      <c r="AB114" s="14" t="str">
        <f t="shared" si="10"/>
        <v>Fully Accessible</v>
      </c>
      <c r="AC114" s="14">
        <f t="shared" si="11"/>
        <v>-0.457665992</v>
      </c>
      <c r="AE114" s="15" t="s">
        <v>174</v>
      </c>
      <c r="AF114" s="16" t="s">
        <v>51</v>
      </c>
      <c r="AH114" s="17" t="str">
        <f t="shared" si="12"/>
        <v>East Asia &amp; Pacific</v>
      </c>
      <c r="AI114" s="21"/>
      <c r="AJ114" s="21"/>
      <c r="AK114" s="15">
        <f t="shared" si="13"/>
        <v>1.551834194</v>
      </c>
      <c r="AL114" s="24"/>
      <c r="AM114" s="21"/>
      <c r="AN114" s="21"/>
      <c r="AO114" s="15">
        <f t="shared" si="16"/>
        <v>1.646654574</v>
      </c>
      <c r="AP114" s="24"/>
      <c r="AQ114" s="21"/>
      <c r="AR114" s="21"/>
      <c r="AS114" s="15">
        <f t="shared" si="19"/>
        <v>1.002896448</v>
      </c>
      <c r="AT114" s="24"/>
      <c r="AU114" s="21"/>
      <c r="AX114" s="14">
        <f t="shared" si="22"/>
        <v>50962.64648</v>
      </c>
      <c r="AY114" s="14">
        <f t="shared" si="23"/>
        <v>123.6580048</v>
      </c>
      <c r="AZ114" s="14">
        <f t="shared" si="24"/>
        <v>50838.98848</v>
      </c>
      <c r="BA114" s="27"/>
    </row>
    <row r="115">
      <c r="A115" s="2" t="s">
        <v>118</v>
      </c>
      <c r="B115" s="2">
        <v>2020.0</v>
      </c>
      <c r="C115" s="2">
        <v>25778.81445</v>
      </c>
      <c r="D115" s="2">
        <v>62.38100052</v>
      </c>
      <c r="E115" s="2">
        <v>93.84384303</v>
      </c>
      <c r="F115" s="2">
        <v>0.6831311872</v>
      </c>
      <c r="G115" s="2">
        <v>5.20969278</v>
      </c>
      <c r="H115" s="2">
        <v>0.2633330058</v>
      </c>
      <c r="I115" s="2">
        <v>88.75362488</v>
      </c>
      <c r="J115" s="2">
        <v>0.3564402606</v>
      </c>
      <c r="K115" s="2">
        <v>10.18993486</v>
      </c>
      <c r="L115" s="2">
        <v>0.7</v>
      </c>
      <c r="M115" s="2">
        <v>96.91351044</v>
      </c>
      <c r="N115" s="2">
        <v>0.8801428799</v>
      </c>
      <c r="O115" s="2">
        <v>2.206346677</v>
      </c>
      <c r="P115" s="2">
        <v>0.0</v>
      </c>
      <c r="Q115" s="13" t="str">
        <f t="shared" si="1"/>
        <v>Democratic People's Republic of Korea|2020</v>
      </c>
      <c r="R115" s="14" t="str">
        <f t="shared" si="2"/>
        <v> </v>
      </c>
      <c r="T115" s="14" t="b">
        <f t="shared" si="3"/>
        <v>0</v>
      </c>
      <c r="U115" s="14" t="b">
        <f t="shared" si="29"/>
        <v>0</v>
      </c>
      <c r="V115" s="14" t="b">
        <f t="shared" si="4"/>
        <v>0</v>
      </c>
      <c r="W115" s="14">
        <f t="shared" si="5"/>
        <v>94</v>
      </c>
      <c r="X115" s="14">
        <f t="shared" si="6"/>
        <v>89</v>
      </c>
      <c r="Y115" s="14">
        <f t="shared" si="7"/>
        <v>97</v>
      </c>
      <c r="Z115" s="14" t="str">
        <f t="shared" si="8"/>
        <v/>
      </c>
      <c r="AA115" s="14" t="str">
        <f t="shared" si="9"/>
        <v/>
      </c>
      <c r="AB115" s="14" t="str">
        <f t="shared" si="10"/>
        <v/>
      </c>
      <c r="AC115" s="14">
        <f t="shared" si="11"/>
        <v>0</v>
      </c>
      <c r="AE115" s="15" t="s">
        <v>175</v>
      </c>
      <c r="AF115" s="16" t="s">
        <v>53</v>
      </c>
      <c r="AH115" s="17" t="str">
        <f t="shared" si="12"/>
        <v>Europe &amp; Central Asia</v>
      </c>
      <c r="AI115" s="21"/>
      <c r="AJ115" s="21"/>
      <c r="AK115" s="15">
        <f t="shared" si="13"/>
        <v>0.051496774</v>
      </c>
      <c r="AL115" s="24"/>
      <c r="AM115" s="21"/>
      <c r="AN115" s="21"/>
      <c r="AO115" s="15">
        <f t="shared" si="16"/>
        <v>0.144900826</v>
      </c>
      <c r="AP115" s="24"/>
      <c r="AQ115" s="21"/>
      <c r="AR115" s="21"/>
      <c r="AS115" s="15">
        <f t="shared" si="19"/>
        <v>0.00720627</v>
      </c>
      <c r="AT115" s="24"/>
      <c r="AU115" s="21"/>
      <c r="AX115" s="14" t="str">
        <f t="shared" si="22"/>
        <v>null</v>
      </c>
      <c r="AY115" s="14" t="str">
        <f t="shared" si="23"/>
        <v>null</v>
      </c>
      <c r="AZ115" s="14" t="str">
        <f t="shared" si="24"/>
        <v>null</v>
      </c>
      <c r="BA115" s="17"/>
    </row>
    <row r="116">
      <c r="A116" s="2" t="s">
        <v>119</v>
      </c>
      <c r="B116" s="2">
        <v>2015.0</v>
      </c>
      <c r="C116" s="2">
        <v>76244.53125</v>
      </c>
      <c r="D116" s="2">
        <v>42.73999786</v>
      </c>
      <c r="E116" s="2">
        <v>42.71817997</v>
      </c>
      <c r="F116" s="2">
        <v>12.68729907</v>
      </c>
      <c r="G116" s="2">
        <v>34.28402477</v>
      </c>
      <c r="H116" s="2">
        <v>10.31049619</v>
      </c>
      <c r="I116" s="2">
        <v>20.6225138</v>
      </c>
      <c r="J116" s="2">
        <v>11.51689397</v>
      </c>
      <c r="K116" s="2">
        <v>51.00984003</v>
      </c>
      <c r="L116" s="2">
        <v>16.8507522</v>
      </c>
      <c r="M116" s="2">
        <v>72.32037779</v>
      </c>
      <c r="N116" s="2">
        <v>14.25532498</v>
      </c>
      <c r="O116" s="2">
        <v>11.87596826</v>
      </c>
      <c r="P116" s="2">
        <v>1.548328967</v>
      </c>
      <c r="Q116" s="13" t="str">
        <f t="shared" si="1"/>
        <v>Democratic Republic of the Congo|2015</v>
      </c>
      <c r="R116" s="14">
        <f t="shared" si="2"/>
        <v>5</v>
      </c>
      <c r="T116" s="14">
        <f t="shared" si="3"/>
        <v>0.646789398</v>
      </c>
      <c r="U116" s="14">
        <f t="shared" si="29"/>
        <v>0.272055708</v>
      </c>
      <c r="V116" s="14">
        <f t="shared" si="4"/>
        <v>0.436595398</v>
      </c>
      <c r="W116" s="14">
        <f t="shared" si="5"/>
        <v>43</v>
      </c>
      <c r="X116" s="14">
        <f t="shared" si="6"/>
        <v>21</v>
      </c>
      <c r="Y116" s="14">
        <f t="shared" si="7"/>
        <v>72</v>
      </c>
      <c r="Z116" s="14" t="str">
        <f t="shared" si="8"/>
        <v/>
      </c>
      <c r="AA116" s="14" t="str">
        <f t="shared" si="9"/>
        <v/>
      </c>
      <c r="AB116" s="14" t="str">
        <f t="shared" si="10"/>
        <v>Fully Accessible</v>
      </c>
      <c r="AC116" s="14">
        <f t="shared" si="11"/>
        <v>-0.16453969</v>
      </c>
      <c r="AE116" s="15" t="s">
        <v>176</v>
      </c>
      <c r="AF116" s="16" t="s">
        <v>56</v>
      </c>
      <c r="AH116" s="17" t="str">
        <f t="shared" si="12"/>
        <v>Middle East &amp; North Africa</v>
      </c>
      <c r="AI116" s="21"/>
      <c r="AJ116" s="21"/>
      <c r="AK116" s="15">
        <f t="shared" si="13"/>
        <v>0.275135498</v>
      </c>
      <c r="AL116" s="24"/>
      <c r="AM116" s="21"/>
      <c r="AN116" s="21"/>
      <c r="AO116" s="15">
        <f t="shared" si="16"/>
        <v>0</v>
      </c>
      <c r="AP116" s="24"/>
      <c r="AQ116" s="21"/>
      <c r="AR116" s="21"/>
      <c r="AS116" s="15">
        <f t="shared" si="19"/>
        <v>0</v>
      </c>
      <c r="AT116" s="24"/>
      <c r="AU116" s="21"/>
      <c r="AX116" s="14">
        <f t="shared" si="22"/>
        <v>165805.9375</v>
      </c>
      <c r="AY116" s="14">
        <f t="shared" si="23"/>
        <v>88.37799835</v>
      </c>
      <c r="AZ116" s="14">
        <f t="shared" si="24"/>
        <v>165717.5595</v>
      </c>
      <c r="BA116" s="27"/>
    </row>
    <row r="117">
      <c r="A117" s="2" t="s">
        <v>119</v>
      </c>
      <c r="B117" s="2">
        <v>2020.0</v>
      </c>
      <c r="C117" s="2">
        <v>89561.40625</v>
      </c>
      <c r="D117" s="2">
        <v>45.63800049</v>
      </c>
      <c r="E117" s="2">
        <v>45.95212696</v>
      </c>
      <c r="F117" s="2">
        <v>13.44122447</v>
      </c>
      <c r="G117" s="2">
        <v>32.54231607</v>
      </c>
      <c r="H117" s="2">
        <v>8.064332495</v>
      </c>
      <c r="I117" s="2">
        <v>21.98279234</v>
      </c>
      <c r="J117" s="2">
        <v>12.68294146</v>
      </c>
      <c r="K117" s="2">
        <v>51.21598167</v>
      </c>
      <c r="L117" s="2">
        <v>14.11828453</v>
      </c>
      <c r="M117" s="2">
        <v>74.50335478</v>
      </c>
      <c r="N117" s="2">
        <v>14.34445818</v>
      </c>
      <c r="O117" s="2">
        <v>10.29905862</v>
      </c>
      <c r="P117" s="2">
        <v>0.8531284131</v>
      </c>
      <c r="Q117" s="13" t="str">
        <f t="shared" si="1"/>
        <v>Democratic Republic of the Congo|2020</v>
      </c>
      <c r="R117" s="14" t="str">
        <f t="shared" si="2"/>
        <v> </v>
      </c>
      <c r="T117" s="14" t="b">
        <f t="shared" si="3"/>
        <v>0</v>
      </c>
      <c r="U117" s="14" t="b">
        <f t="shared" si="29"/>
        <v>0</v>
      </c>
      <c r="V117" s="14" t="b">
        <f t="shared" si="4"/>
        <v>0</v>
      </c>
      <c r="W117" s="14">
        <f t="shared" si="5"/>
        <v>46</v>
      </c>
      <c r="X117" s="14">
        <f t="shared" si="6"/>
        <v>22</v>
      </c>
      <c r="Y117" s="14">
        <f t="shared" si="7"/>
        <v>75</v>
      </c>
      <c r="Z117" s="14" t="str">
        <f t="shared" si="8"/>
        <v/>
      </c>
      <c r="AA117" s="14" t="str">
        <f t="shared" si="9"/>
        <v/>
      </c>
      <c r="AB117" s="14" t="str">
        <f t="shared" si="10"/>
        <v/>
      </c>
      <c r="AC117" s="14">
        <f t="shared" si="11"/>
        <v>0</v>
      </c>
      <c r="AE117" s="15" t="s">
        <v>177</v>
      </c>
      <c r="AF117" s="16" t="s">
        <v>63</v>
      </c>
      <c r="AH117" s="17" t="str">
        <f t="shared" si="12"/>
        <v>Sub-Saharan Africa</v>
      </c>
      <c r="AI117" s="21"/>
      <c r="AJ117" s="21"/>
      <c r="AK117" s="15">
        <f t="shared" si="13"/>
        <v>0.326069974</v>
      </c>
      <c r="AL117" s="24"/>
      <c r="AM117" s="21"/>
      <c r="AN117" s="21"/>
      <c r="AO117" s="15">
        <f t="shared" si="16"/>
        <v>0.045894334</v>
      </c>
      <c r="AP117" s="24"/>
      <c r="AQ117" s="21"/>
      <c r="AR117" s="21"/>
      <c r="AS117" s="15">
        <f t="shared" si="19"/>
        <v>0.624326482</v>
      </c>
      <c r="AT117" s="24"/>
      <c r="AU117" s="21"/>
      <c r="AX117" s="14" t="str">
        <f t="shared" si="22"/>
        <v>null</v>
      </c>
      <c r="AY117" s="14" t="str">
        <f t="shared" si="23"/>
        <v>null</v>
      </c>
      <c r="AZ117" s="14" t="str">
        <f t="shared" si="24"/>
        <v>null</v>
      </c>
      <c r="BA117" s="27"/>
    </row>
    <row r="118">
      <c r="A118" s="2" t="s">
        <v>120</v>
      </c>
      <c r="B118" s="2">
        <v>2015.0</v>
      </c>
      <c r="C118" s="2">
        <v>5688.694824</v>
      </c>
      <c r="D118" s="2">
        <v>87.52600098</v>
      </c>
      <c r="E118" s="2">
        <v>99.99999785</v>
      </c>
      <c r="F118" s="2">
        <v>0.0</v>
      </c>
      <c r="G118" s="2">
        <v>2.145840412E-6</v>
      </c>
      <c r="H118" s="2">
        <v>0.0</v>
      </c>
      <c r="I118" s="2">
        <v>100.0</v>
      </c>
      <c r="J118" s="2">
        <v>0.0</v>
      </c>
      <c r="K118" s="2">
        <v>0.0</v>
      </c>
      <c r="L118" s="2">
        <v>0.0</v>
      </c>
      <c r="M118" s="2">
        <v>100.0</v>
      </c>
      <c r="N118" s="2">
        <v>0.0</v>
      </c>
      <c r="O118" s="2">
        <v>0.0</v>
      </c>
      <c r="P118" s="2">
        <v>0.0</v>
      </c>
      <c r="Q118" s="13" t="str">
        <f t="shared" si="1"/>
        <v>Denmark|2015</v>
      </c>
      <c r="R118" s="14">
        <f t="shared" si="2"/>
        <v>5</v>
      </c>
      <c r="T118" s="14">
        <f t="shared" si="3"/>
        <v>0.0000006500000012</v>
      </c>
      <c r="U118" s="14">
        <f t="shared" si="29"/>
        <v>0</v>
      </c>
      <c r="V118" s="14">
        <f t="shared" si="4"/>
        <v>0</v>
      </c>
      <c r="W118" s="14">
        <f t="shared" si="5"/>
        <v>100</v>
      </c>
      <c r="X118" s="14">
        <f t="shared" si="6"/>
        <v>100</v>
      </c>
      <c r="Y118" s="14">
        <f t="shared" si="7"/>
        <v>100</v>
      </c>
      <c r="Z118" s="14" t="str">
        <f t="shared" si="8"/>
        <v/>
      </c>
      <c r="AA118" s="14" t="str">
        <f t="shared" si="9"/>
        <v/>
      </c>
      <c r="AB118" s="14" t="str">
        <f t="shared" si="10"/>
        <v>Fully Accessible</v>
      </c>
      <c r="AC118" s="14">
        <f t="shared" si="11"/>
        <v>0</v>
      </c>
      <c r="AE118" s="15" t="s">
        <v>178</v>
      </c>
      <c r="AF118" s="16" t="s">
        <v>63</v>
      </c>
      <c r="AH118" s="17" t="str">
        <f t="shared" si="12"/>
        <v>Sub-Saharan Africa</v>
      </c>
      <c r="AI118" s="21"/>
      <c r="AJ118" s="21"/>
      <c r="AK118" s="15">
        <f t="shared" si="13"/>
        <v>0.53839993</v>
      </c>
      <c r="AL118" s="24"/>
      <c r="AM118" s="21"/>
      <c r="AN118" s="21"/>
      <c r="AO118" s="15">
        <f t="shared" si="16"/>
        <v>0.567406986</v>
      </c>
      <c r="AP118" s="24"/>
      <c r="AQ118" s="21"/>
      <c r="AR118" s="21"/>
      <c r="AS118" s="15">
        <f t="shared" si="19"/>
        <v>0.314001124</v>
      </c>
      <c r="AT118" s="24"/>
      <c r="AU118" s="21"/>
      <c r="AX118" s="14">
        <f t="shared" si="22"/>
        <v>11480.89795</v>
      </c>
      <c r="AY118" s="14">
        <f t="shared" si="23"/>
        <v>175.6420059</v>
      </c>
      <c r="AZ118" s="14">
        <f t="shared" si="24"/>
        <v>11305.25594</v>
      </c>
      <c r="BA118" s="17"/>
    </row>
    <row r="119">
      <c r="A119" s="2" t="s">
        <v>120</v>
      </c>
      <c r="B119" s="2">
        <v>2020.0</v>
      </c>
      <c r="C119" s="2">
        <v>5792.203125</v>
      </c>
      <c r="D119" s="2">
        <v>88.11600494</v>
      </c>
      <c r="E119" s="2">
        <v>100.0000011</v>
      </c>
      <c r="F119" s="2">
        <v>0.0</v>
      </c>
      <c r="G119" s="2">
        <v>0.0</v>
      </c>
      <c r="H119" s="2">
        <v>0.0</v>
      </c>
      <c r="I119" s="2">
        <v>100.0</v>
      </c>
      <c r="J119" s="2">
        <v>0.0</v>
      </c>
      <c r="K119" s="2">
        <v>0.0</v>
      </c>
      <c r="L119" s="2">
        <v>0.0</v>
      </c>
      <c r="M119" s="2">
        <v>100.0</v>
      </c>
      <c r="N119" s="2">
        <v>0.0</v>
      </c>
      <c r="O119" s="2">
        <v>0.0</v>
      </c>
      <c r="P119" s="2">
        <v>0.0</v>
      </c>
      <c r="Q119" s="13" t="str">
        <f t="shared" si="1"/>
        <v>Denmark|2020</v>
      </c>
      <c r="R119" s="14" t="str">
        <f t="shared" si="2"/>
        <v> </v>
      </c>
      <c r="T119" s="14" t="b">
        <f t="shared" si="3"/>
        <v>0</v>
      </c>
      <c r="U119" s="14" t="b">
        <f t="shared" si="29"/>
        <v>0</v>
      </c>
      <c r="V119" s="14" t="b">
        <f t="shared" si="4"/>
        <v>0</v>
      </c>
      <c r="W119" s="14">
        <f t="shared" si="5"/>
        <v>100</v>
      </c>
      <c r="X119" s="14">
        <f t="shared" si="6"/>
        <v>100</v>
      </c>
      <c r="Y119" s="14">
        <f t="shared" si="7"/>
        <v>100</v>
      </c>
      <c r="Z119" s="14" t="str">
        <f t="shared" si="8"/>
        <v/>
      </c>
      <c r="AA119" s="14" t="str">
        <f t="shared" si="9"/>
        <v/>
      </c>
      <c r="AB119" s="14" t="str">
        <f t="shared" si="10"/>
        <v/>
      </c>
      <c r="AC119" s="14">
        <f t="shared" si="11"/>
        <v>0</v>
      </c>
      <c r="AE119" s="15" t="s">
        <v>179</v>
      </c>
      <c r="AF119" s="16" t="s">
        <v>63</v>
      </c>
      <c r="AH119" s="17" t="str">
        <f t="shared" si="12"/>
        <v>Sub-Saharan Africa</v>
      </c>
      <c r="AI119" s="21"/>
      <c r="AJ119" s="21"/>
      <c r="AK119" s="15">
        <f t="shared" si="13"/>
        <v>0.521981728</v>
      </c>
      <c r="AL119" s="24"/>
      <c r="AM119" s="21"/>
      <c r="AN119" s="21"/>
      <c r="AO119" s="15">
        <f t="shared" si="16"/>
        <v>0</v>
      </c>
      <c r="AP119" s="24"/>
      <c r="AQ119" s="21"/>
      <c r="AR119" s="21"/>
      <c r="AS119" s="15">
        <f t="shared" si="19"/>
        <v>0</v>
      </c>
      <c r="AT119" s="24"/>
      <c r="AU119" s="21"/>
      <c r="AX119" s="14" t="str">
        <f t="shared" si="22"/>
        <v>null</v>
      </c>
      <c r="AY119" s="14" t="str">
        <f t="shared" si="23"/>
        <v>null</v>
      </c>
      <c r="AZ119" s="14" t="str">
        <f t="shared" si="24"/>
        <v>null</v>
      </c>
      <c r="BA119" s="17"/>
    </row>
    <row r="120">
      <c r="A120" s="2" t="s">
        <v>121</v>
      </c>
      <c r="B120" s="2">
        <v>2015.0</v>
      </c>
      <c r="C120" s="2">
        <v>913.9979858</v>
      </c>
      <c r="D120" s="2">
        <v>77.41699219</v>
      </c>
      <c r="E120" s="2">
        <v>75.78704503</v>
      </c>
      <c r="F120" s="2">
        <v>14.75417119</v>
      </c>
      <c r="G120" s="2">
        <v>7.39492395</v>
      </c>
      <c r="H120" s="2">
        <v>2.063859825</v>
      </c>
      <c r="I120" s="2">
        <v>48.75920509</v>
      </c>
      <c r="J120" s="2">
        <v>12.43877762</v>
      </c>
      <c r="K120" s="2">
        <v>30.37700254</v>
      </c>
      <c r="L120" s="2">
        <v>8.425014754</v>
      </c>
      <c r="M120" s="2">
        <v>83.67122985</v>
      </c>
      <c r="N120" s="2">
        <v>15.42958572</v>
      </c>
      <c r="O120" s="2">
        <v>0.6909116479</v>
      </c>
      <c r="P120" s="2">
        <v>0.2082727854</v>
      </c>
      <c r="Q120" s="13" t="str">
        <f t="shared" si="1"/>
        <v>Djibouti|2015</v>
      </c>
      <c r="R120" s="14">
        <f t="shared" si="2"/>
        <v>5</v>
      </c>
      <c r="T120" s="14">
        <f t="shared" si="3"/>
        <v>0.052575036</v>
      </c>
      <c r="U120" s="14">
        <f t="shared" si="29"/>
        <v>-0.295694432</v>
      </c>
      <c r="V120" s="14">
        <f t="shared" si="4"/>
        <v>0.092757016</v>
      </c>
      <c r="W120" s="14">
        <f t="shared" si="5"/>
        <v>76</v>
      </c>
      <c r="X120" s="14">
        <f t="shared" si="6"/>
        <v>49</v>
      </c>
      <c r="Y120" s="14">
        <f t="shared" si="7"/>
        <v>84</v>
      </c>
      <c r="Z120" s="14" t="str">
        <f t="shared" si="8"/>
        <v/>
      </c>
      <c r="AA120" s="14" t="str">
        <f t="shared" si="9"/>
        <v/>
      </c>
      <c r="AB120" s="14" t="str">
        <f t="shared" si="10"/>
        <v>Fully Accessible</v>
      </c>
      <c r="AC120" s="14">
        <f t="shared" si="11"/>
        <v>-0.388451448</v>
      </c>
      <c r="AE120" s="15" t="s">
        <v>180</v>
      </c>
      <c r="AF120" s="16" t="s">
        <v>53</v>
      </c>
      <c r="AH120" s="17" t="str">
        <f t="shared" si="12"/>
        <v>Europe &amp; Central Asia</v>
      </c>
      <c r="AI120" s="21"/>
      <c r="AJ120" s="21"/>
      <c r="AK120" s="15">
        <f t="shared" si="13"/>
        <v>0</v>
      </c>
      <c r="AL120" s="24"/>
      <c r="AM120" s="21"/>
      <c r="AN120" s="21"/>
      <c r="AO120" s="15">
        <f t="shared" si="16"/>
        <v>0</v>
      </c>
      <c r="AP120" s="24"/>
      <c r="AQ120" s="21"/>
      <c r="AR120" s="21"/>
      <c r="AS120" s="15">
        <f t="shared" si="19"/>
        <v>0</v>
      </c>
      <c r="AT120" s="24"/>
      <c r="AU120" s="21"/>
      <c r="AX120" s="14">
        <f t="shared" si="22"/>
        <v>1902</v>
      </c>
      <c r="AY120" s="14">
        <f t="shared" si="23"/>
        <v>155.4789887</v>
      </c>
      <c r="AZ120" s="14">
        <f t="shared" si="24"/>
        <v>1746.521011</v>
      </c>
      <c r="BA120" s="17"/>
    </row>
    <row r="121">
      <c r="A121" s="2" t="s">
        <v>121</v>
      </c>
      <c r="B121" s="2">
        <v>2020.0</v>
      </c>
      <c r="C121" s="2">
        <v>988.0020142</v>
      </c>
      <c r="D121" s="2">
        <v>78.06199646</v>
      </c>
      <c r="E121" s="2">
        <v>76.04992021</v>
      </c>
      <c r="F121" s="2">
        <v>14.7574817</v>
      </c>
      <c r="G121" s="2">
        <v>7.015876051</v>
      </c>
      <c r="H121" s="2">
        <v>2.176722038</v>
      </c>
      <c r="I121" s="2">
        <v>47.28073293</v>
      </c>
      <c r="J121" s="2">
        <v>12.06161014</v>
      </c>
      <c r="K121" s="2">
        <v>30.73550468</v>
      </c>
      <c r="L121" s="2">
        <v>9.922152249</v>
      </c>
      <c r="M121" s="2">
        <v>84.13501493</v>
      </c>
      <c r="N121" s="2">
        <v>15.51511107</v>
      </c>
      <c r="O121" s="2">
        <v>0.3498740029</v>
      </c>
      <c r="P121" s="2">
        <v>0.0</v>
      </c>
      <c r="Q121" s="13" t="str">
        <f t="shared" si="1"/>
        <v>Djibouti|2020</v>
      </c>
      <c r="R121" s="14" t="str">
        <f t="shared" si="2"/>
        <v> </v>
      </c>
      <c r="T121" s="14" t="b">
        <f t="shared" si="3"/>
        <v>0</v>
      </c>
      <c r="U121" s="14" t="b">
        <f t="shared" si="29"/>
        <v>0</v>
      </c>
      <c r="V121" s="14" t="b">
        <f t="shared" si="4"/>
        <v>0</v>
      </c>
      <c r="W121" s="14">
        <f t="shared" si="5"/>
        <v>76</v>
      </c>
      <c r="X121" s="14">
        <f t="shared" si="6"/>
        <v>47</v>
      </c>
      <c r="Y121" s="14">
        <f t="shared" si="7"/>
        <v>84</v>
      </c>
      <c r="Z121" s="14" t="str">
        <f t="shared" si="8"/>
        <v/>
      </c>
      <c r="AA121" s="14" t="str">
        <f t="shared" si="9"/>
        <v/>
      </c>
      <c r="AB121" s="14" t="str">
        <f t="shared" si="10"/>
        <v/>
      </c>
      <c r="AC121" s="14">
        <f t="shared" si="11"/>
        <v>0</v>
      </c>
      <c r="AE121" s="15" t="s">
        <v>181</v>
      </c>
      <c r="AF121" s="16" t="s">
        <v>53</v>
      </c>
      <c r="AH121" s="17" t="str">
        <f t="shared" si="12"/>
        <v>Europe &amp; Central Asia</v>
      </c>
      <c r="AI121" s="21"/>
      <c r="AJ121" s="21"/>
      <c r="AK121" s="15">
        <f t="shared" si="13"/>
        <v>0.281841732</v>
      </c>
      <c r="AL121" s="24"/>
      <c r="AM121" s="21"/>
      <c r="AN121" s="21"/>
      <c r="AO121" s="15">
        <f t="shared" si="16"/>
        <v>0.612859164</v>
      </c>
      <c r="AP121" s="24"/>
      <c r="AQ121" s="21"/>
      <c r="AR121" s="21"/>
      <c r="AS121" s="15">
        <f t="shared" si="19"/>
        <v>0.10540193</v>
      </c>
      <c r="AT121" s="24"/>
      <c r="AU121" s="21"/>
      <c r="AX121" s="14" t="str">
        <f t="shared" si="22"/>
        <v>null</v>
      </c>
      <c r="AY121" s="14" t="str">
        <f t="shared" si="23"/>
        <v>null</v>
      </c>
      <c r="AZ121" s="14" t="str">
        <f t="shared" si="24"/>
        <v>null</v>
      </c>
      <c r="BA121" s="8"/>
    </row>
    <row r="122">
      <c r="A122" s="2" t="s">
        <v>122</v>
      </c>
      <c r="B122" s="2">
        <v>2015.0</v>
      </c>
      <c r="C122" s="2">
        <v>71.17500305</v>
      </c>
      <c r="D122" s="2">
        <v>69.57899475</v>
      </c>
      <c r="E122" s="2">
        <v>95.42065606</v>
      </c>
      <c r="F122" s="2">
        <v>0.0</v>
      </c>
      <c r="G122" s="2">
        <v>4.579343937</v>
      </c>
      <c r="H122" s="2">
        <v>0.0</v>
      </c>
      <c r="I122" s="2" t="s">
        <v>64</v>
      </c>
      <c r="J122" s="2" t="s">
        <v>64</v>
      </c>
      <c r="K122" s="2" t="s">
        <v>64</v>
      </c>
      <c r="L122" s="2" t="s">
        <v>64</v>
      </c>
      <c r="M122" s="2" t="s">
        <v>64</v>
      </c>
      <c r="N122" s="2" t="s">
        <v>64</v>
      </c>
      <c r="O122" s="2" t="s">
        <v>64</v>
      </c>
      <c r="P122" s="2" t="s">
        <v>64</v>
      </c>
      <c r="Q122" s="13" t="str">
        <f t="shared" si="1"/>
        <v>Dominica|2015</v>
      </c>
      <c r="R122" s="14">
        <f t="shared" si="2"/>
        <v>2</v>
      </c>
      <c r="T122" s="14">
        <f t="shared" si="3"/>
        <v>0</v>
      </c>
      <c r="U122" s="14" t="str">
        <f t="shared" si="29"/>
        <v>null</v>
      </c>
      <c r="V122" s="14" t="str">
        <f t="shared" si="4"/>
        <v>null</v>
      </c>
      <c r="W122" s="14">
        <f t="shared" si="5"/>
        <v>95</v>
      </c>
      <c r="X122" s="14" t="b">
        <f t="shared" si="6"/>
        <v>0</v>
      </c>
      <c r="Y122" s="14" t="b">
        <f t="shared" si="7"/>
        <v>0</v>
      </c>
      <c r="Z122" s="14" t="str">
        <f t="shared" si="8"/>
        <v/>
      </c>
      <c r="AA122" s="14" t="str">
        <f t="shared" si="9"/>
        <v>Fully Accessible</v>
      </c>
      <c r="AB122" s="14" t="str">
        <f t="shared" si="10"/>
        <v>Fully Accessible</v>
      </c>
      <c r="AC122" s="14" t="b">
        <f t="shared" si="11"/>
        <v>0</v>
      </c>
      <c r="AE122" s="15" t="s">
        <v>182</v>
      </c>
      <c r="AF122" s="16" t="s">
        <v>53</v>
      </c>
      <c r="AH122" s="17" t="str">
        <f t="shared" si="12"/>
        <v>Europe &amp; Central Asia</v>
      </c>
      <c r="AI122" s="21"/>
      <c r="AJ122" s="21"/>
      <c r="AK122" s="15">
        <f t="shared" si="13"/>
        <v>-0.009047624</v>
      </c>
      <c r="AL122" s="24"/>
      <c r="AM122" s="21"/>
      <c r="AN122" s="21"/>
      <c r="AO122" s="15">
        <f t="shared" si="16"/>
        <v>-0.128571428</v>
      </c>
      <c r="AP122" s="24"/>
      <c r="AQ122" s="21"/>
      <c r="AR122" s="21"/>
      <c r="AS122" s="15">
        <f t="shared" si="19"/>
        <v>0</v>
      </c>
      <c r="AT122" s="24"/>
      <c r="AU122" s="21"/>
      <c r="AX122" s="14">
        <f t="shared" si="22"/>
        <v>142.6350021</v>
      </c>
      <c r="AY122" s="14">
        <f t="shared" si="23"/>
        <v>139.7599945</v>
      </c>
      <c r="AZ122" s="14">
        <f t="shared" si="24"/>
        <v>2.87500762</v>
      </c>
      <c r="BA122" s="27"/>
    </row>
    <row r="123">
      <c r="A123" s="2" t="s">
        <v>122</v>
      </c>
      <c r="B123" s="2">
        <v>2017.0</v>
      </c>
      <c r="C123" s="2">
        <v>71.45999908</v>
      </c>
      <c r="D123" s="2">
        <v>70.18099976</v>
      </c>
      <c r="E123" s="2">
        <v>95.42065606</v>
      </c>
      <c r="F123" s="2">
        <v>0.0</v>
      </c>
      <c r="G123" s="2">
        <v>4.579343937</v>
      </c>
      <c r="H123" s="2">
        <v>0.0</v>
      </c>
      <c r="I123" s="2" t="s">
        <v>64</v>
      </c>
      <c r="J123" s="2" t="s">
        <v>64</v>
      </c>
      <c r="K123" s="2" t="s">
        <v>64</v>
      </c>
      <c r="L123" s="2" t="s">
        <v>64</v>
      </c>
      <c r="M123" s="2" t="s">
        <v>64</v>
      </c>
      <c r="N123" s="2" t="s">
        <v>64</v>
      </c>
      <c r="O123" s="2" t="s">
        <v>64</v>
      </c>
      <c r="P123" s="2" t="s">
        <v>64</v>
      </c>
      <c r="Q123" s="13" t="str">
        <f t="shared" si="1"/>
        <v>Dominica|2017</v>
      </c>
      <c r="R123" s="14" t="str">
        <f t="shared" si="2"/>
        <v> </v>
      </c>
      <c r="T123" s="14" t="b">
        <f t="shared" si="3"/>
        <v>0</v>
      </c>
      <c r="U123" s="14" t="b">
        <f t="shared" si="29"/>
        <v>0</v>
      </c>
      <c r="V123" s="14" t="b">
        <f t="shared" si="4"/>
        <v>0</v>
      </c>
      <c r="W123" s="14">
        <f t="shared" si="5"/>
        <v>95</v>
      </c>
      <c r="X123" s="14" t="b">
        <f t="shared" si="6"/>
        <v>0</v>
      </c>
      <c r="Y123" s="14" t="b">
        <f t="shared" si="7"/>
        <v>0</v>
      </c>
      <c r="Z123" s="14" t="str">
        <f t="shared" si="8"/>
        <v/>
      </c>
      <c r="AA123" s="14" t="str">
        <f t="shared" si="9"/>
        <v/>
      </c>
      <c r="AB123" s="14" t="str">
        <f t="shared" si="10"/>
        <v/>
      </c>
      <c r="AC123" s="14">
        <f t="shared" si="11"/>
        <v>0</v>
      </c>
      <c r="AE123" s="15" t="s">
        <v>183</v>
      </c>
      <c r="AF123" s="16" t="s">
        <v>63</v>
      </c>
      <c r="AH123" s="17" t="str">
        <f t="shared" si="12"/>
        <v>Sub-Saharan Africa</v>
      </c>
      <c r="AI123" s="21"/>
      <c r="AJ123" s="21"/>
      <c r="AK123" s="15">
        <f t="shared" si="13"/>
        <v>0.898822274</v>
      </c>
      <c r="AL123" s="24"/>
      <c r="AM123" s="21"/>
      <c r="AN123" s="21"/>
      <c r="AO123" s="15">
        <f t="shared" si="16"/>
        <v>0.65236851</v>
      </c>
      <c r="AP123" s="24"/>
      <c r="AQ123" s="21"/>
      <c r="AR123" s="21"/>
      <c r="AS123" s="15">
        <f t="shared" si="19"/>
        <v>0.516035244</v>
      </c>
      <c r="AT123" s="24"/>
      <c r="AU123" s="21"/>
      <c r="AX123" s="14" t="str">
        <f t="shared" si="22"/>
        <v>null</v>
      </c>
      <c r="AY123" s="14" t="str">
        <f t="shared" si="23"/>
        <v>null</v>
      </c>
      <c r="AZ123" s="14" t="str">
        <f t="shared" si="24"/>
        <v>null</v>
      </c>
      <c r="BA123" s="17"/>
    </row>
    <row r="124">
      <c r="A124" s="2" t="s">
        <v>123</v>
      </c>
      <c r="B124" s="2">
        <v>2015.0</v>
      </c>
      <c r="C124" s="2">
        <v>10281.6748</v>
      </c>
      <c r="D124" s="2">
        <v>78.56600189</v>
      </c>
      <c r="E124" s="2">
        <v>96.0993385</v>
      </c>
      <c r="F124" s="2">
        <v>0.6952122155</v>
      </c>
      <c r="G124" s="2">
        <v>1.550594498</v>
      </c>
      <c r="H124" s="2">
        <v>1.654854791</v>
      </c>
      <c r="I124" s="2">
        <v>89.21104378</v>
      </c>
      <c r="J124" s="2">
        <v>1.822877161</v>
      </c>
      <c r="K124" s="2">
        <v>2.441888623</v>
      </c>
      <c r="L124" s="2">
        <v>6.52419044</v>
      </c>
      <c r="M124" s="2">
        <v>97.97856981</v>
      </c>
      <c r="N124" s="2">
        <v>0.3875681084</v>
      </c>
      <c r="O124" s="2">
        <v>1.307435937</v>
      </c>
      <c r="P124" s="2">
        <v>0.3264261435</v>
      </c>
      <c r="Q124" s="13" t="str">
        <f t="shared" si="1"/>
        <v>Dominican Republic|2015</v>
      </c>
      <c r="R124" s="14">
        <f t="shared" si="2"/>
        <v>5</v>
      </c>
      <c r="T124" s="14">
        <f t="shared" si="3"/>
        <v>0.117494684</v>
      </c>
      <c r="U124" s="14">
        <f t="shared" si="29"/>
        <v>0.218684118</v>
      </c>
      <c r="V124" s="14">
        <f t="shared" si="4"/>
        <v>0.011664354</v>
      </c>
      <c r="W124" s="14">
        <f t="shared" si="5"/>
        <v>96</v>
      </c>
      <c r="X124" s="14">
        <f t="shared" si="6"/>
        <v>89</v>
      </c>
      <c r="Y124" s="14">
        <f t="shared" si="7"/>
        <v>98</v>
      </c>
      <c r="Z124" s="14" t="str">
        <f t="shared" si="8"/>
        <v/>
      </c>
      <c r="AA124" s="14" t="str">
        <f t="shared" si="9"/>
        <v/>
      </c>
      <c r="AB124" s="14" t="str">
        <f t="shared" si="10"/>
        <v>Fully Accessible</v>
      </c>
      <c r="AC124" s="14">
        <f t="shared" si="11"/>
        <v>0.207019764</v>
      </c>
      <c r="AE124" s="15" t="s">
        <v>184</v>
      </c>
      <c r="AF124" s="16" t="s">
        <v>63</v>
      </c>
      <c r="AH124" s="17" t="str">
        <f t="shared" si="12"/>
        <v>Sub-Saharan Africa</v>
      </c>
      <c r="AI124" s="21"/>
      <c r="AJ124" s="21"/>
      <c r="AK124" s="15">
        <f t="shared" si="13"/>
        <v>0.778553874</v>
      </c>
      <c r="AL124" s="24"/>
      <c r="AM124" s="21"/>
      <c r="AN124" s="21"/>
      <c r="AO124" s="15">
        <f t="shared" si="16"/>
        <v>0.868887024</v>
      </c>
      <c r="AP124" s="24"/>
      <c r="AQ124" s="21"/>
      <c r="AR124" s="21"/>
      <c r="AS124" s="15">
        <f t="shared" si="19"/>
        <v>0.043763672</v>
      </c>
      <c r="AT124" s="24"/>
      <c r="AU124" s="21"/>
      <c r="AX124" s="14">
        <f t="shared" si="22"/>
        <v>21129.5791</v>
      </c>
      <c r="AY124" s="14">
        <f t="shared" si="23"/>
        <v>161.1060028</v>
      </c>
      <c r="AZ124" s="14">
        <f t="shared" si="24"/>
        <v>20968.4731</v>
      </c>
      <c r="BA124" s="27"/>
    </row>
    <row r="125">
      <c r="A125" s="2" t="s">
        <v>123</v>
      </c>
      <c r="B125" s="2">
        <v>2020.0</v>
      </c>
      <c r="C125" s="2">
        <v>10847.9043</v>
      </c>
      <c r="D125" s="2">
        <v>82.54000092</v>
      </c>
      <c r="E125" s="2">
        <v>96.68681192</v>
      </c>
      <c r="F125" s="2">
        <v>0.4670386504</v>
      </c>
      <c r="G125" s="2">
        <v>1.269428783</v>
      </c>
      <c r="H125" s="2">
        <v>1.576720644</v>
      </c>
      <c r="I125" s="2">
        <v>90.30446437</v>
      </c>
      <c r="J125" s="2">
        <v>1.385315508</v>
      </c>
      <c r="K125" s="2">
        <v>1.115118127</v>
      </c>
      <c r="L125" s="2">
        <v>7.195101991</v>
      </c>
      <c r="M125" s="2">
        <v>98.03689158</v>
      </c>
      <c r="N125" s="2">
        <v>0.2727920359</v>
      </c>
      <c r="O125" s="2">
        <v>1.302073396</v>
      </c>
      <c r="P125" s="2">
        <v>0.3882429922</v>
      </c>
      <c r="Q125" s="13" t="str">
        <f t="shared" si="1"/>
        <v>Dominican Republic|2020</v>
      </c>
      <c r="R125" s="14" t="str">
        <f t="shared" si="2"/>
        <v> </v>
      </c>
      <c r="T125" s="14" t="b">
        <f t="shared" si="3"/>
        <v>0</v>
      </c>
      <c r="U125" s="14" t="b">
        <f t="shared" si="29"/>
        <v>0</v>
      </c>
      <c r="V125" s="14" t="b">
        <f t="shared" si="4"/>
        <v>0</v>
      </c>
      <c r="W125" s="14">
        <f t="shared" si="5"/>
        <v>97</v>
      </c>
      <c r="X125" s="14">
        <f t="shared" si="6"/>
        <v>90</v>
      </c>
      <c r="Y125" s="14">
        <f t="shared" si="7"/>
        <v>98</v>
      </c>
      <c r="Z125" s="14" t="str">
        <f t="shared" si="8"/>
        <v/>
      </c>
      <c r="AA125" s="14" t="str">
        <f t="shared" si="9"/>
        <v/>
      </c>
      <c r="AB125" s="14" t="str">
        <f t="shared" si="10"/>
        <v/>
      </c>
      <c r="AC125" s="14">
        <f t="shared" si="11"/>
        <v>0</v>
      </c>
      <c r="AE125" s="15" t="s">
        <v>185</v>
      </c>
      <c r="AF125" s="16" t="s">
        <v>50</v>
      </c>
      <c r="AH125" s="17" t="str">
        <f t="shared" si="12"/>
        <v>South Asia</v>
      </c>
      <c r="AI125" s="21"/>
      <c r="AJ125" s="21"/>
      <c r="AK125" s="15">
        <f t="shared" si="13"/>
        <v>0.009540902</v>
      </c>
      <c r="AL125" s="24"/>
      <c r="AM125" s="21"/>
      <c r="AN125" s="21"/>
      <c r="AO125" s="15">
        <f t="shared" si="16"/>
        <v>-0.14417222</v>
      </c>
      <c r="AP125" s="24"/>
      <c r="AQ125" s="21"/>
      <c r="AR125" s="21"/>
      <c r="AS125" s="15">
        <f t="shared" si="19"/>
        <v>-0.008094028</v>
      </c>
      <c r="AT125" s="24"/>
      <c r="AU125" s="21"/>
      <c r="AX125" s="14" t="str">
        <f t="shared" si="22"/>
        <v>null</v>
      </c>
      <c r="AY125" s="14" t="str">
        <f t="shared" si="23"/>
        <v>null</v>
      </c>
      <c r="AZ125" s="14" t="str">
        <f t="shared" si="24"/>
        <v>null</v>
      </c>
      <c r="BA125" s="27"/>
    </row>
    <row r="126">
      <c r="A126" s="2" t="s">
        <v>124</v>
      </c>
      <c r="B126" s="2">
        <v>2015.0</v>
      </c>
      <c r="C126" s="2">
        <v>16212.02246</v>
      </c>
      <c r="D126" s="2">
        <v>63.39799881</v>
      </c>
      <c r="E126" s="2">
        <v>93.0637795</v>
      </c>
      <c r="F126" s="2">
        <v>0.1997601763</v>
      </c>
      <c r="G126" s="2">
        <v>3.119565114</v>
      </c>
      <c r="H126" s="2">
        <v>3.616895212</v>
      </c>
      <c r="I126" s="2">
        <v>82.55248195</v>
      </c>
      <c r="J126" s="2">
        <v>0.445629255</v>
      </c>
      <c r="K126" s="2">
        <v>7.379055031</v>
      </c>
      <c r="L126" s="2">
        <v>9.62283376</v>
      </c>
      <c r="M126" s="2">
        <v>99.1323392</v>
      </c>
      <c r="N126" s="2">
        <v>0.0578108902</v>
      </c>
      <c r="O126" s="2">
        <v>0.6604045069</v>
      </c>
      <c r="P126" s="2">
        <v>0.1494454068</v>
      </c>
      <c r="Q126" s="13" t="str">
        <f t="shared" si="1"/>
        <v>Ecuador|2015</v>
      </c>
      <c r="R126" s="14">
        <f t="shared" si="2"/>
        <v>5</v>
      </c>
      <c r="T126" s="14">
        <f t="shared" si="3"/>
        <v>0.459196812</v>
      </c>
      <c r="U126" s="14">
        <f t="shared" si="29"/>
        <v>0.8996526</v>
      </c>
      <c r="V126" s="14">
        <f t="shared" si="4"/>
        <v>0.17353216</v>
      </c>
      <c r="W126" s="14">
        <f t="shared" si="5"/>
        <v>93</v>
      </c>
      <c r="X126" s="14">
        <f t="shared" si="6"/>
        <v>83</v>
      </c>
      <c r="Y126" s="14">
        <f t="shared" si="7"/>
        <v>99</v>
      </c>
      <c r="Z126" s="14" t="str">
        <f t="shared" si="8"/>
        <v/>
      </c>
      <c r="AA126" s="14" t="str">
        <f t="shared" si="9"/>
        <v/>
      </c>
      <c r="AB126" s="14" t="str">
        <f t="shared" si="10"/>
        <v>Fully Accessible</v>
      </c>
      <c r="AC126" s="14">
        <f t="shared" si="11"/>
        <v>0.72612044</v>
      </c>
      <c r="AE126" s="15" t="s">
        <v>186</v>
      </c>
      <c r="AF126" s="16" t="s">
        <v>50</v>
      </c>
      <c r="AH126" s="17" t="str">
        <f t="shared" si="12"/>
        <v>South Asia</v>
      </c>
      <c r="AI126" s="21"/>
      <c r="AJ126" s="21"/>
      <c r="AK126" s="15">
        <f t="shared" si="13"/>
        <v>0.146038862</v>
      </c>
      <c r="AL126" s="24"/>
      <c r="AM126" s="21"/>
      <c r="AN126" s="21"/>
      <c r="AO126" s="15">
        <f t="shared" si="16"/>
        <v>0.207862646</v>
      </c>
      <c r="AP126" s="24"/>
      <c r="AQ126" s="21"/>
      <c r="AR126" s="21"/>
      <c r="AS126" s="15">
        <f t="shared" si="19"/>
        <v>0.057636648</v>
      </c>
      <c r="AT126" s="24"/>
      <c r="AU126" s="21"/>
      <c r="AX126" s="14">
        <f t="shared" si="22"/>
        <v>33855.08301</v>
      </c>
      <c r="AY126" s="14">
        <f t="shared" si="23"/>
        <v>127.5639992</v>
      </c>
      <c r="AZ126" s="14">
        <f t="shared" si="24"/>
        <v>33727.51901</v>
      </c>
      <c r="BA126" s="17"/>
    </row>
    <row r="127">
      <c r="A127" s="2" t="s">
        <v>124</v>
      </c>
      <c r="B127" s="2">
        <v>2020.0</v>
      </c>
      <c r="C127" s="2">
        <v>17643.06055</v>
      </c>
      <c r="D127" s="2">
        <v>64.16600037</v>
      </c>
      <c r="E127" s="2">
        <v>95.35976356</v>
      </c>
      <c r="F127" s="2">
        <v>0.003451463449</v>
      </c>
      <c r="G127" s="2">
        <v>2.604485389</v>
      </c>
      <c r="H127" s="2">
        <v>2.032299589</v>
      </c>
      <c r="I127" s="2">
        <v>87.05074495</v>
      </c>
      <c r="J127" s="2">
        <v>0.009631811022</v>
      </c>
      <c r="K127" s="2">
        <v>7.26819549</v>
      </c>
      <c r="L127" s="2">
        <v>5.671427747</v>
      </c>
      <c r="M127" s="2">
        <v>100.0</v>
      </c>
      <c r="N127" s="2">
        <v>0.0</v>
      </c>
      <c r="O127" s="2">
        <v>0.0</v>
      </c>
      <c r="P127" s="2">
        <v>0.0</v>
      </c>
      <c r="Q127" s="13" t="str">
        <f t="shared" si="1"/>
        <v>Ecuador|2020</v>
      </c>
      <c r="R127" s="14" t="str">
        <f t="shared" si="2"/>
        <v> </v>
      </c>
      <c r="T127" s="14" t="b">
        <f t="shared" si="3"/>
        <v>0</v>
      </c>
      <c r="U127" s="14" t="b">
        <f t="shared" si="29"/>
        <v>0</v>
      </c>
      <c r="V127" s="14" t="b">
        <f t="shared" si="4"/>
        <v>0</v>
      </c>
      <c r="W127" s="14">
        <f t="shared" si="5"/>
        <v>95</v>
      </c>
      <c r="X127" s="14">
        <f t="shared" si="6"/>
        <v>87</v>
      </c>
      <c r="Y127" s="14">
        <f t="shared" si="7"/>
        <v>100</v>
      </c>
      <c r="Z127" s="14" t="str">
        <f t="shared" si="8"/>
        <v/>
      </c>
      <c r="AA127" s="14" t="str">
        <f t="shared" si="9"/>
        <v/>
      </c>
      <c r="AB127" s="14" t="str">
        <f t="shared" si="10"/>
        <v/>
      </c>
      <c r="AC127" s="14">
        <f t="shared" si="11"/>
        <v>0</v>
      </c>
      <c r="AE127" s="15" t="s">
        <v>187</v>
      </c>
      <c r="AF127" s="16" t="s">
        <v>63</v>
      </c>
      <c r="AH127" s="17" t="str">
        <f t="shared" si="12"/>
        <v>Sub-Saharan Africa</v>
      </c>
      <c r="AI127" s="21"/>
      <c r="AJ127" s="21"/>
      <c r="AK127" s="15">
        <f t="shared" si="13"/>
        <v>1.629555762</v>
      </c>
      <c r="AL127" s="24"/>
      <c r="AM127" s="21"/>
      <c r="AN127" s="21"/>
      <c r="AO127" s="15">
        <f t="shared" si="16"/>
        <v>1.737036236</v>
      </c>
      <c r="AP127" s="24"/>
      <c r="AQ127" s="21"/>
      <c r="AR127" s="21"/>
      <c r="AS127" s="15">
        <f t="shared" si="19"/>
        <v>1.001209844</v>
      </c>
      <c r="AT127" s="24"/>
      <c r="AU127" s="21"/>
      <c r="AX127" s="14" t="str">
        <f t="shared" si="22"/>
        <v>null</v>
      </c>
      <c r="AY127" s="14" t="str">
        <f t="shared" si="23"/>
        <v>null</v>
      </c>
      <c r="AZ127" s="14" t="str">
        <f t="shared" si="24"/>
        <v>null</v>
      </c>
      <c r="BA127" s="17"/>
    </row>
    <row r="128">
      <c r="A128" s="2" t="s">
        <v>125</v>
      </c>
      <c r="B128" s="2">
        <v>2015.0</v>
      </c>
      <c r="C128" s="2">
        <v>92442.54688</v>
      </c>
      <c r="D128" s="2">
        <v>42.78499985</v>
      </c>
      <c r="E128" s="2">
        <v>99.10671754</v>
      </c>
      <c r="F128" s="2">
        <v>0.2863725401</v>
      </c>
      <c r="G128" s="2">
        <v>0.5934398293</v>
      </c>
      <c r="H128" s="2">
        <v>0.01347009398</v>
      </c>
      <c r="I128" s="2">
        <v>98.80187792</v>
      </c>
      <c r="J128" s="2">
        <v>0.4103462964</v>
      </c>
      <c r="K128" s="2">
        <v>0.7642328381</v>
      </c>
      <c r="L128" s="2">
        <v>0.02354294118</v>
      </c>
      <c r="M128" s="2">
        <v>99.51436973</v>
      </c>
      <c r="N128" s="2">
        <v>0.1205864308</v>
      </c>
      <c r="O128" s="2">
        <v>0.3650438422</v>
      </c>
      <c r="P128" s="2">
        <v>0.0</v>
      </c>
      <c r="Q128" s="13" t="str">
        <f t="shared" si="1"/>
        <v>Egypt|2015</v>
      </c>
      <c r="R128" s="14">
        <f t="shared" si="2"/>
        <v>5</v>
      </c>
      <c r="T128" s="14">
        <f t="shared" si="3"/>
        <v>0.066691684</v>
      </c>
      <c r="U128" s="14">
        <f t="shared" si="29"/>
        <v>0.106191446</v>
      </c>
      <c r="V128" s="14">
        <f t="shared" si="4"/>
        <v>0.013872274</v>
      </c>
      <c r="W128" s="14">
        <f t="shared" si="5"/>
        <v>99</v>
      </c>
      <c r="X128" s="14">
        <f t="shared" si="6"/>
        <v>99</v>
      </c>
      <c r="Y128" s="14">
        <f t="shared" si="7"/>
        <v>100</v>
      </c>
      <c r="Z128" s="14" t="str">
        <f t="shared" si="8"/>
        <v/>
      </c>
      <c r="AA128" s="14" t="str">
        <f t="shared" si="9"/>
        <v/>
      </c>
      <c r="AB128" s="14" t="str">
        <f t="shared" si="10"/>
        <v>Fully Accessible</v>
      </c>
      <c r="AC128" s="14">
        <f t="shared" si="11"/>
        <v>0.092319172</v>
      </c>
      <c r="AE128" s="15" t="s">
        <v>188</v>
      </c>
      <c r="AF128" s="16" t="s">
        <v>53</v>
      </c>
      <c r="AH128" s="17" t="str">
        <f t="shared" si="12"/>
        <v>Europe &amp; Central Asia</v>
      </c>
      <c r="AI128" s="21"/>
      <c r="AJ128" s="21"/>
      <c r="AK128" s="15">
        <f t="shared" si="13"/>
        <v>0.00000008000000093</v>
      </c>
      <c r="AL128" s="24"/>
      <c r="AM128" s="21"/>
      <c r="AN128" s="21"/>
      <c r="AO128" s="15">
        <f t="shared" si="16"/>
        <v>0</v>
      </c>
      <c r="AP128" s="24"/>
      <c r="AQ128" s="21"/>
      <c r="AR128" s="21"/>
      <c r="AS128" s="15">
        <f t="shared" si="19"/>
        <v>0</v>
      </c>
      <c r="AT128" s="24"/>
      <c r="AU128" s="21"/>
      <c r="AX128" s="14">
        <f t="shared" si="22"/>
        <v>194776.9532</v>
      </c>
      <c r="AY128" s="14">
        <f t="shared" si="23"/>
        <v>85.5680008</v>
      </c>
      <c r="AZ128" s="14">
        <f t="shared" si="24"/>
        <v>194691.3852</v>
      </c>
      <c r="BA128" s="17"/>
    </row>
    <row r="129">
      <c r="A129" s="2" t="s">
        <v>125</v>
      </c>
      <c r="B129" s="2">
        <v>2020.0</v>
      </c>
      <c r="C129" s="2">
        <v>102334.4063</v>
      </c>
      <c r="D129" s="2">
        <v>42.78300095</v>
      </c>
      <c r="E129" s="2">
        <v>99.44017596</v>
      </c>
      <c r="F129" s="2">
        <v>0.2376091086</v>
      </c>
      <c r="G129" s="2">
        <v>0.3222149265</v>
      </c>
      <c r="H129" s="2">
        <v>0.0</v>
      </c>
      <c r="I129" s="2">
        <v>99.33283515</v>
      </c>
      <c r="J129" s="2">
        <v>0.3359418224</v>
      </c>
      <c r="K129" s="2">
        <v>0.3312230319</v>
      </c>
      <c r="L129" s="2">
        <v>0.0</v>
      </c>
      <c r="M129" s="2">
        <v>99.5837311</v>
      </c>
      <c r="N129" s="2">
        <v>0.1061012067</v>
      </c>
      <c r="O129" s="2">
        <v>0.3101676943</v>
      </c>
      <c r="P129" s="2">
        <v>0.0</v>
      </c>
      <c r="Q129" s="13" t="str">
        <f t="shared" si="1"/>
        <v>Egypt|2020</v>
      </c>
      <c r="R129" s="14" t="str">
        <f t="shared" si="2"/>
        <v> </v>
      </c>
      <c r="T129" s="14" t="b">
        <f t="shared" si="3"/>
        <v>0</v>
      </c>
      <c r="U129" s="14" t="b">
        <f t="shared" si="29"/>
        <v>0</v>
      </c>
      <c r="V129" s="14" t="b">
        <f t="shared" si="4"/>
        <v>0</v>
      </c>
      <c r="W129" s="14">
        <f t="shared" si="5"/>
        <v>99</v>
      </c>
      <c r="X129" s="14">
        <f t="shared" si="6"/>
        <v>99</v>
      </c>
      <c r="Y129" s="14">
        <f t="shared" si="7"/>
        <v>100</v>
      </c>
      <c r="Z129" s="14" t="str">
        <f t="shared" si="8"/>
        <v/>
      </c>
      <c r="AA129" s="14" t="str">
        <f t="shared" si="9"/>
        <v/>
      </c>
      <c r="AB129" s="14" t="str">
        <f t="shared" si="10"/>
        <v/>
      </c>
      <c r="AC129" s="14">
        <f t="shared" si="11"/>
        <v>0</v>
      </c>
      <c r="AE129" s="15" t="s">
        <v>189</v>
      </c>
      <c r="AF129" s="16" t="s">
        <v>51</v>
      </c>
      <c r="AH129" s="17" t="str">
        <f t="shared" si="12"/>
        <v>East Asia &amp; Pacific</v>
      </c>
      <c r="AI129" s="21"/>
      <c r="AJ129" s="21"/>
      <c r="AK129" s="15">
        <f t="shared" si="13"/>
        <v>0.045904672</v>
      </c>
      <c r="AL129" s="24"/>
      <c r="AM129" s="21"/>
      <c r="AN129" s="21"/>
      <c r="AO129" s="15">
        <f t="shared" si="16"/>
        <v>0.030272</v>
      </c>
      <c r="AP129" s="24"/>
      <c r="AQ129" s="21"/>
      <c r="AR129" s="21"/>
      <c r="AS129" s="15">
        <f t="shared" si="19"/>
        <v>0.090284526</v>
      </c>
      <c r="AT129" s="24"/>
      <c r="AU129" s="21"/>
      <c r="AX129" s="14" t="str">
        <f t="shared" si="22"/>
        <v>null</v>
      </c>
      <c r="AY129" s="14" t="str">
        <f t="shared" si="23"/>
        <v>null</v>
      </c>
      <c r="AZ129" s="14" t="str">
        <f t="shared" si="24"/>
        <v>null</v>
      </c>
      <c r="BA129" s="8"/>
    </row>
    <row r="130">
      <c r="A130" s="2" t="s">
        <v>126</v>
      </c>
      <c r="B130" s="2">
        <v>2015.0</v>
      </c>
      <c r="C130" s="2">
        <v>6325.121094</v>
      </c>
      <c r="D130" s="2">
        <v>69.69999695</v>
      </c>
      <c r="E130" s="2">
        <v>95.56213774</v>
      </c>
      <c r="F130" s="2">
        <v>0.580479777</v>
      </c>
      <c r="G130" s="2">
        <v>1.161950545</v>
      </c>
      <c r="H130" s="2">
        <v>2.695431942</v>
      </c>
      <c r="I130" s="2">
        <v>87.96121432</v>
      </c>
      <c r="J130" s="2">
        <v>1.734743718</v>
      </c>
      <c r="K130" s="2">
        <v>2.481033956</v>
      </c>
      <c r="L130" s="2">
        <v>7.823008005</v>
      </c>
      <c r="M130" s="2">
        <v>98.86641785</v>
      </c>
      <c r="N130" s="2">
        <v>0.07869797757</v>
      </c>
      <c r="O130" s="2">
        <v>0.5885128896</v>
      </c>
      <c r="P130" s="2">
        <v>0.4663712861</v>
      </c>
      <c r="Q130" s="13" t="str">
        <f t="shared" si="1"/>
        <v>El Salvador|2015</v>
      </c>
      <c r="R130" s="14">
        <f t="shared" si="2"/>
        <v>5</v>
      </c>
      <c r="T130" s="14">
        <f t="shared" si="3"/>
        <v>0.476887534</v>
      </c>
      <c r="U130" s="14">
        <f t="shared" si="29"/>
        <v>1.098636152</v>
      </c>
      <c r="V130" s="14">
        <f t="shared" si="4"/>
        <v>0.140890432</v>
      </c>
      <c r="W130" s="14">
        <f t="shared" si="5"/>
        <v>96</v>
      </c>
      <c r="X130" s="14">
        <f t="shared" si="6"/>
        <v>88</v>
      </c>
      <c r="Y130" s="14">
        <f t="shared" si="7"/>
        <v>99</v>
      </c>
      <c r="Z130" s="14" t="str">
        <f t="shared" si="8"/>
        <v/>
      </c>
      <c r="AA130" s="14" t="str">
        <f t="shared" si="9"/>
        <v/>
      </c>
      <c r="AB130" s="14" t="str">
        <f t="shared" si="10"/>
        <v>Fully Accessible</v>
      </c>
      <c r="AC130" s="14">
        <f t="shared" si="11"/>
        <v>0.95774572</v>
      </c>
      <c r="AE130" s="15" t="s">
        <v>190</v>
      </c>
      <c r="AF130" s="16" t="s">
        <v>57</v>
      </c>
      <c r="AH130" s="17" t="str">
        <f t="shared" si="12"/>
        <v>Latin America &amp; Caribbean</v>
      </c>
      <c r="AI130" s="21"/>
      <c r="AJ130" s="21"/>
      <c r="AK130" s="15">
        <f t="shared" si="13"/>
        <v>0.009188156</v>
      </c>
      <c r="AL130" s="24"/>
      <c r="AM130" s="21"/>
      <c r="AN130" s="21"/>
      <c r="AO130" s="15">
        <f t="shared" si="16"/>
        <v>0</v>
      </c>
      <c r="AP130" s="24"/>
      <c r="AQ130" s="21"/>
      <c r="AR130" s="21"/>
      <c r="AS130" s="15">
        <f t="shared" si="19"/>
        <v>0</v>
      </c>
      <c r="AT130" s="24"/>
      <c r="AU130" s="21"/>
      <c r="AX130" s="14">
        <f t="shared" si="22"/>
        <v>12811.32227</v>
      </c>
      <c r="AY130" s="14">
        <f t="shared" si="23"/>
        <v>143.1439972</v>
      </c>
      <c r="AZ130" s="14">
        <f t="shared" si="24"/>
        <v>12668.17827</v>
      </c>
      <c r="BA130" s="27"/>
    </row>
    <row r="131">
      <c r="A131" s="2" t="s">
        <v>126</v>
      </c>
      <c r="B131" s="2">
        <v>2020.0</v>
      </c>
      <c r="C131" s="2">
        <v>6486.201172</v>
      </c>
      <c r="D131" s="2">
        <v>73.44400024</v>
      </c>
      <c r="E131" s="2">
        <v>97.94657541</v>
      </c>
      <c r="F131" s="2">
        <v>0.2072632319</v>
      </c>
      <c r="G131" s="2">
        <v>0.3151739969</v>
      </c>
      <c r="H131" s="2">
        <v>1.530987366</v>
      </c>
      <c r="I131" s="2">
        <v>93.45439508</v>
      </c>
      <c r="J131" s="2">
        <v>0.7804762049</v>
      </c>
      <c r="K131" s="2">
        <v>0.0</v>
      </c>
      <c r="L131" s="2">
        <v>5.765128712</v>
      </c>
      <c r="M131" s="2">
        <v>99.57087001</v>
      </c>
      <c r="N131" s="2">
        <v>0.0</v>
      </c>
      <c r="O131" s="2">
        <v>0.4291299944</v>
      </c>
      <c r="P131" s="2">
        <v>0.0</v>
      </c>
      <c r="Q131" s="13" t="str">
        <f t="shared" si="1"/>
        <v>El Salvador|2020</v>
      </c>
      <c r="R131" s="14" t="str">
        <f t="shared" si="2"/>
        <v> </v>
      </c>
      <c r="T131" s="14" t="b">
        <f t="shared" si="3"/>
        <v>0</v>
      </c>
      <c r="U131" s="14" t="b">
        <f t="shared" si="29"/>
        <v>0</v>
      </c>
      <c r="V131" s="14" t="b">
        <f t="shared" si="4"/>
        <v>0</v>
      </c>
      <c r="W131" s="14">
        <f t="shared" si="5"/>
        <v>98</v>
      </c>
      <c r="X131" s="14">
        <f t="shared" si="6"/>
        <v>93</v>
      </c>
      <c r="Y131" s="14">
        <f t="shared" si="7"/>
        <v>100</v>
      </c>
      <c r="Z131" s="14" t="str">
        <f t="shared" si="8"/>
        <v/>
      </c>
      <c r="AA131" s="14" t="str">
        <f t="shared" si="9"/>
        <v/>
      </c>
      <c r="AB131" s="14" t="str">
        <f t="shared" si="10"/>
        <v/>
      </c>
      <c r="AC131" s="14">
        <f t="shared" si="11"/>
        <v>0</v>
      </c>
      <c r="AE131" s="15" t="s">
        <v>191</v>
      </c>
      <c r="AF131" s="16" t="s">
        <v>63</v>
      </c>
      <c r="AH131" s="17" t="str">
        <f t="shared" si="12"/>
        <v>Sub-Saharan Africa</v>
      </c>
      <c r="AI131" s="21"/>
      <c r="AJ131" s="21"/>
      <c r="AK131" s="15">
        <f t="shared" si="13"/>
        <v>0.941547966</v>
      </c>
      <c r="AL131" s="24"/>
      <c r="AM131" s="21"/>
      <c r="AN131" s="21"/>
      <c r="AO131" s="15">
        <f t="shared" si="16"/>
        <v>0.643699344</v>
      </c>
      <c r="AP131" s="24"/>
      <c r="AQ131" s="21"/>
      <c r="AR131" s="21"/>
      <c r="AS131" s="15">
        <f t="shared" si="19"/>
        <v>0.573901212</v>
      </c>
      <c r="AT131" s="24"/>
      <c r="AU131" s="21"/>
      <c r="AX131" s="14" t="str">
        <f t="shared" si="22"/>
        <v>null</v>
      </c>
      <c r="AY131" s="14" t="str">
        <f t="shared" si="23"/>
        <v>null</v>
      </c>
      <c r="AZ131" s="14" t="str">
        <f t="shared" si="24"/>
        <v>null</v>
      </c>
      <c r="BA131" s="17"/>
    </row>
    <row r="132">
      <c r="A132" s="2" t="s">
        <v>127</v>
      </c>
      <c r="B132" s="2">
        <v>2015.0</v>
      </c>
      <c r="C132" s="2">
        <v>1168.574951</v>
      </c>
      <c r="D132" s="2">
        <v>70.61600494</v>
      </c>
      <c r="E132" s="2">
        <v>64.17860165</v>
      </c>
      <c r="F132" s="2">
        <v>2.934933836</v>
      </c>
      <c r="G132" s="2">
        <v>26.32879888</v>
      </c>
      <c r="H132" s="2">
        <v>6.557665631</v>
      </c>
      <c r="I132" s="2">
        <v>30.77536932</v>
      </c>
      <c r="J132" s="2">
        <v>1.353579774</v>
      </c>
      <c r="K132" s="2">
        <v>46.28605636</v>
      </c>
      <c r="L132" s="2">
        <v>21.58499455</v>
      </c>
      <c r="M132" s="2">
        <v>78.07800598</v>
      </c>
      <c r="N132" s="2">
        <v>3.592950383</v>
      </c>
      <c r="O132" s="2">
        <v>18.02439455</v>
      </c>
      <c r="P132" s="2">
        <v>0.3046490909</v>
      </c>
      <c r="Q132" s="13" t="str">
        <f t="shared" si="1"/>
        <v>Equatorial Guinea|2015</v>
      </c>
      <c r="R132" s="14">
        <f t="shared" si="2"/>
        <v>2</v>
      </c>
      <c r="T132" s="14">
        <f t="shared" si="3"/>
        <v>0.243607205</v>
      </c>
      <c r="U132" s="14">
        <f t="shared" si="29"/>
        <v>0</v>
      </c>
      <c r="V132" s="14">
        <f t="shared" si="4"/>
        <v>0</v>
      </c>
      <c r="W132" s="14">
        <f t="shared" si="5"/>
        <v>64</v>
      </c>
      <c r="X132" s="14">
        <f t="shared" si="6"/>
        <v>31</v>
      </c>
      <c r="Y132" s="14">
        <f t="shared" si="7"/>
        <v>78</v>
      </c>
      <c r="Z132" s="14" t="str">
        <f t="shared" si="8"/>
        <v/>
      </c>
      <c r="AA132" s="14" t="str">
        <f t="shared" si="9"/>
        <v/>
      </c>
      <c r="AB132" s="14" t="str">
        <f t="shared" si="10"/>
        <v>Fully Accessible</v>
      </c>
      <c r="AC132" s="14">
        <f t="shared" si="11"/>
        <v>0</v>
      </c>
      <c r="AE132" s="15" t="s">
        <v>192</v>
      </c>
      <c r="AF132" s="16" t="s">
        <v>63</v>
      </c>
      <c r="AH132" s="17" t="str">
        <f t="shared" si="12"/>
        <v>Sub-Saharan Africa</v>
      </c>
      <c r="AI132" s="21"/>
      <c r="AJ132" s="21"/>
      <c r="AK132" s="15">
        <f t="shared" si="13"/>
        <v>-0.000045424</v>
      </c>
      <c r="AL132" s="24"/>
      <c r="AM132" s="21"/>
      <c r="AN132" s="21"/>
      <c r="AO132" s="15">
        <f t="shared" si="16"/>
        <v>0</v>
      </c>
      <c r="AP132" s="24"/>
      <c r="AQ132" s="21"/>
      <c r="AR132" s="21"/>
      <c r="AS132" s="15">
        <f t="shared" si="19"/>
        <v>0</v>
      </c>
      <c r="AT132" s="24"/>
      <c r="AU132" s="21"/>
      <c r="AX132" s="14">
        <f t="shared" si="22"/>
        <v>2430.583008</v>
      </c>
      <c r="AY132" s="14">
        <f t="shared" si="23"/>
        <v>142.262001</v>
      </c>
      <c r="AZ132" s="14">
        <f t="shared" si="24"/>
        <v>2288.321007</v>
      </c>
      <c r="BA132" s="27"/>
    </row>
    <row r="133">
      <c r="A133" s="2" t="s">
        <v>127</v>
      </c>
      <c r="B133" s="2">
        <v>2017.0</v>
      </c>
      <c r="C133" s="2">
        <v>1262.008057</v>
      </c>
      <c r="D133" s="2">
        <v>71.64599609</v>
      </c>
      <c r="E133" s="2">
        <v>64.66581606</v>
      </c>
      <c r="F133" s="2">
        <v>2.957999225</v>
      </c>
      <c r="G133" s="2">
        <v>26.03770633</v>
      </c>
      <c r="H133" s="2">
        <v>6.338478386</v>
      </c>
      <c r="I133" s="2">
        <v>30.77536932</v>
      </c>
      <c r="J133" s="2">
        <v>1.353579774</v>
      </c>
      <c r="K133" s="2">
        <v>46.28605636</v>
      </c>
      <c r="L133" s="2">
        <v>21.58499455</v>
      </c>
      <c r="M133" s="2">
        <v>78.07800598</v>
      </c>
      <c r="N133" s="2">
        <v>3.592950383</v>
      </c>
      <c r="O133" s="2">
        <v>18.02439455</v>
      </c>
      <c r="P133" s="2">
        <v>0.3046490909</v>
      </c>
      <c r="Q133" s="13" t="str">
        <f t="shared" si="1"/>
        <v>Equatorial Guinea|2017</v>
      </c>
      <c r="R133" s="14" t="str">
        <f t="shared" si="2"/>
        <v> </v>
      </c>
      <c r="T133" s="14" t="b">
        <f t="shared" si="3"/>
        <v>0</v>
      </c>
      <c r="U133" s="14" t="b">
        <f t="shared" si="29"/>
        <v>0</v>
      </c>
      <c r="V133" s="14" t="b">
        <f t="shared" si="4"/>
        <v>0</v>
      </c>
      <c r="W133" s="14">
        <f t="shared" si="5"/>
        <v>65</v>
      </c>
      <c r="X133" s="14">
        <f t="shared" si="6"/>
        <v>31</v>
      </c>
      <c r="Y133" s="14">
        <f t="shared" si="7"/>
        <v>78</v>
      </c>
      <c r="Z133" s="14" t="str">
        <f t="shared" si="8"/>
        <v/>
      </c>
      <c r="AA133" s="14" t="str">
        <f t="shared" si="9"/>
        <v/>
      </c>
      <c r="AB133" s="14" t="str">
        <f t="shared" si="10"/>
        <v/>
      </c>
      <c r="AC133" s="14">
        <f t="shared" si="11"/>
        <v>0</v>
      </c>
      <c r="AE133" s="15" t="s">
        <v>193</v>
      </c>
      <c r="AF133" s="16" t="s">
        <v>63</v>
      </c>
      <c r="AH133" s="17" t="str">
        <f t="shared" si="12"/>
        <v>Sub-Saharan Africa</v>
      </c>
      <c r="AI133" s="21"/>
      <c r="AJ133" s="21"/>
      <c r="AK133" s="15">
        <f t="shared" si="13"/>
        <v>-0.093326314</v>
      </c>
      <c r="AL133" s="24"/>
      <c r="AM133" s="21"/>
      <c r="AN133" s="21"/>
      <c r="AO133" s="15">
        <f t="shared" si="16"/>
        <v>0</v>
      </c>
      <c r="AP133" s="24"/>
      <c r="AQ133" s="21"/>
      <c r="AR133" s="21"/>
      <c r="AS133" s="15">
        <f t="shared" si="19"/>
        <v>0</v>
      </c>
      <c r="AT133" s="24"/>
      <c r="AU133" s="21"/>
      <c r="AX133" s="14" t="str">
        <f t="shared" si="22"/>
        <v>null</v>
      </c>
      <c r="AY133" s="14" t="str">
        <f t="shared" si="23"/>
        <v>null</v>
      </c>
      <c r="AZ133" s="14" t="str">
        <f t="shared" si="24"/>
        <v>null</v>
      </c>
      <c r="BA133" s="27"/>
    </row>
    <row r="134">
      <c r="A134" s="2" t="s">
        <v>128</v>
      </c>
      <c r="B134" s="2">
        <v>2015.0</v>
      </c>
      <c r="C134" s="2">
        <v>3342.818115</v>
      </c>
      <c r="D134" s="2">
        <v>38.20600128</v>
      </c>
      <c r="E134" s="2">
        <v>51.46509353</v>
      </c>
      <c r="F134" s="2">
        <v>17.70763334</v>
      </c>
      <c r="G134" s="2">
        <v>13.55609825</v>
      </c>
      <c r="H134" s="2">
        <v>17.27117488</v>
      </c>
      <c r="I134" s="2">
        <v>27.80157647</v>
      </c>
      <c r="J134" s="2">
        <v>24.49842353</v>
      </c>
      <c r="K134" s="2">
        <v>20.075</v>
      </c>
      <c r="L134" s="2">
        <v>27.625</v>
      </c>
      <c r="M134" s="2">
        <v>89.73822453</v>
      </c>
      <c r="N134" s="2">
        <v>6.724275474</v>
      </c>
      <c r="O134" s="2">
        <v>3.0125</v>
      </c>
      <c r="P134" s="2">
        <v>0.525</v>
      </c>
      <c r="Q134" s="13" t="str">
        <f t="shared" si="1"/>
        <v>Eritrea|2015</v>
      </c>
      <c r="R134" s="14">
        <f t="shared" si="2"/>
        <v>1</v>
      </c>
      <c r="T134" s="14">
        <f t="shared" si="3"/>
        <v>0.38462665</v>
      </c>
      <c r="U134" s="14">
        <f t="shared" si="29"/>
        <v>0</v>
      </c>
      <c r="V134" s="14">
        <f t="shared" si="4"/>
        <v>0</v>
      </c>
      <c r="W134" s="14">
        <f t="shared" si="5"/>
        <v>51</v>
      </c>
      <c r="X134" s="14">
        <f t="shared" si="6"/>
        <v>28</v>
      </c>
      <c r="Y134" s="14">
        <f t="shared" si="7"/>
        <v>90</v>
      </c>
      <c r="Z134" s="14" t="str">
        <f t="shared" si="8"/>
        <v/>
      </c>
      <c r="AA134" s="14" t="str">
        <f t="shared" si="9"/>
        <v/>
      </c>
      <c r="AB134" s="14" t="str">
        <f t="shared" si="10"/>
        <v>Fully Accessible</v>
      </c>
      <c r="AC134" s="14">
        <f t="shared" si="11"/>
        <v>0</v>
      </c>
      <c r="AE134" s="15" t="s">
        <v>194</v>
      </c>
      <c r="AF134" s="16" t="s">
        <v>57</v>
      </c>
      <c r="AH134" s="17" t="str">
        <f t="shared" si="12"/>
        <v>Latin America &amp; Caribbean</v>
      </c>
      <c r="AI134" s="21"/>
      <c r="AJ134" s="21"/>
      <c r="AK134" s="15">
        <f t="shared" si="13"/>
        <v>0.330824948</v>
      </c>
      <c r="AL134" s="24"/>
      <c r="AM134" s="21"/>
      <c r="AN134" s="21"/>
      <c r="AO134" s="15">
        <f t="shared" si="16"/>
        <v>1.01007498</v>
      </c>
      <c r="AP134" s="24"/>
      <c r="AQ134" s="21"/>
      <c r="AR134" s="21"/>
      <c r="AS134" s="15">
        <f t="shared" si="19"/>
        <v>0.14728942</v>
      </c>
      <c r="AT134" s="24"/>
      <c r="AU134" s="21"/>
      <c r="AX134" s="14">
        <f t="shared" si="22"/>
        <v>6719.37622</v>
      </c>
      <c r="AY134" s="14">
        <f t="shared" si="23"/>
        <v>77.03300094</v>
      </c>
      <c r="AZ134" s="14">
        <f t="shared" si="24"/>
        <v>6642.343219</v>
      </c>
      <c r="BA134" s="17"/>
    </row>
    <row r="135">
      <c r="A135" s="2" t="s">
        <v>128</v>
      </c>
      <c r="B135" s="2">
        <v>2016.0</v>
      </c>
      <c r="C135" s="2">
        <v>3376.558105</v>
      </c>
      <c r="D135" s="2">
        <v>38.82699966</v>
      </c>
      <c r="E135" s="2">
        <v>51.84972018</v>
      </c>
      <c r="F135" s="2">
        <v>17.59725585</v>
      </c>
      <c r="G135" s="2">
        <v>13.45014014</v>
      </c>
      <c r="H135" s="2">
        <v>17.10288384</v>
      </c>
      <c r="I135" s="2">
        <v>27.80157647</v>
      </c>
      <c r="J135" s="2">
        <v>24.49842353</v>
      </c>
      <c r="K135" s="2">
        <v>20.075</v>
      </c>
      <c r="L135" s="2">
        <v>27.625</v>
      </c>
      <c r="M135" s="2">
        <v>89.73822453</v>
      </c>
      <c r="N135" s="2">
        <v>6.724275474</v>
      </c>
      <c r="O135" s="2">
        <v>3.0125</v>
      </c>
      <c r="P135" s="2">
        <v>0.525</v>
      </c>
      <c r="Q135" s="13" t="str">
        <f t="shared" si="1"/>
        <v>Eritrea|2016</v>
      </c>
      <c r="R135" s="14" t="str">
        <f t="shared" si="2"/>
        <v> </v>
      </c>
      <c r="T135" s="14" t="b">
        <f t="shared" si="3"/>
        <v>0</v>
      </c>
      <c r="U135" s="14" t="b">
        <f t="shared" si="29"/>
        <v>0</v>
      </c>
      <c r="V135" s="14" t="b">
        <f t="shared" si="4"/>
        <v>0</v>
      </c>
      <c r="W135" s="14">
        <f t="shared" si="5"/>
        <v>52</v>
      </c>
      <c r="X135" s="14">
        <f t="shared" si="6"/>
        <v>28</v>
      </c>
      <c r="Y135" s="14">
        <f t="shared" si="7"/>
        <v>90</v>
      </c>
      <c r="Z135" s="14" t="str">
        <f t="shared" si="8"/>
        <v/>
      </c>
      <c r="AA135" s="14" t="str">
        <f t="shared" si="9"/>
        <v/>
      </c>
      <c r="AB135" s="14" t="str">
        <f t="shared" si="10"/>
        <v/>
      </c>
      <c r="AC135" s="14">
        <f t="shared" si="11"/>
        <v>0</v>
      </c>
      <c r="AE135" s="15" t="s">
        <v>195</v>
      </c>
      <c r="AF135" s="16" t="s">
        <v>51</v>
      </c>
      <c r="AH135" s="17" t="str">
        <f t="shared" si="12"/>
        <v>East Asia &amp; Pacific</v>
      </c>
      <c r="AI135" s="21"/>
      <c r="AJ135" s="21"/>
      <c r="AK135" s="15">
        <f t="shared" si="13"/>
        <v>0</v>
      </c>
      <c r="AL135" s="24"/>
      <c r="AM135" s="21"/>
      <c r="AN135" s="21"/>
      <c r="AO135" s="15">
        <f t="shared" si="16"/>
        <v>0</v>
      </c>
      <c r="AP135" s="24"/>
      <c r="AQ135" s="21"/>
      <c r="AR135" s="21"/>
      <c r="AS135" s="15">
        <f t="shared" si="19"/>
        <v>0</v>
      </c>
      <c r="AT135" s="24"/>
      <c r="AU135" s="21"/>
      <c r="AX135" s="14" t="str">
        <f t="shared" si="22"/>
        <v>null</v>
      </c>
      <c r="AY135" s="14" t="str">
        <f t="shared" si="23"/>
        <v>null</v>
      </c>
      <c r="AZ135" s="14" t="str">
        <f t="shared" si="24"/>
        <v>null</v>
      </c>
      <c r="BA135" s="17"/>
    </row>
    <row r="136">
      <c r="A136" s="2" t="s">
        <v>129</v>
      </c>
      <c r="B136" s="2">
        <v>2015.0</v>
      </c>
      <c r="C136" s="2">
        <v>1315.329956</v>
      </c>
      <c r="D136" s="2">
        <v>68.41600037</v>
      </c>
      <c r="E136" s="2">
        <v>99.75130757</v>
      </c>
      <c r="F136" s="2">
        <v>0.0</v>
      </c>
      <c r="G136" s="2">
        <v>0.2486924289</v>
      </c>
      <c r="H136" s="2">
        <v>0.0</v>
      </c>
      <c r="I136" s="2">
        <v>99.24411581</v>
      </c>
      <c r="J136" s="2">
        <v>0.0</v>
      </c>
      <c r="K136" s="2">
        <v>0.7558841903</v>
      </c>
      <c r="L136" s="2">
        <v>0.0</v>
      </c>
      <c r="M136" s="2">
        <v>99.98545421</v>
      </c>
      <c r="N136" s="2">
        <v>0.0</v>
      </c>
      <c r="O136" s="2">
        <v>0.01454579307</v>
      </c>
      <c r="P136" s="2">
        <v>0.0</v>
      </c>
      <c r="Q136" s="13" t="str">
        <f t="shared" si="1"/>
        <v>Estonia|2015</v>
      </c>
      <c r="R136" s="14">
        <f t="shared" si="2"/>
        <v>5</v>
      </c>
      <c r="T136" s="14">
        <f t="shared" si="3"/>
        <v>-0.032105158</v>
      </c>
      <c r="U136" s="14" t="str">
        <f t="shared" si="29"/>
        <v>null</v>
      </c>
      <c r="V136" s="14">
        <f t="shared" si="4"/>
        <v>0</v>
      </c>
      <c r="W136" s="14">
        <f t="shared" si="5"/>
        <v>100</v>
      </c>
      <c r="X136" s="14">
        <f t="shared" si="6"/>
        <v>99</v>
      </c>
      <c r="Y136" s="14">
        <f t="shared" si="7"/>
        <v>100</v>
      </c>
      <c r="Z136" s="14" t="str">
        <f t="shared" si="8"/>
        <v/>
      </c>
      <c r="AA136" s="14" t="str">
        <f t="shared" si="9"/>
        <v/>
      </c>
      <c r="AB136" s="14" t="str">
        <f t="shared" si="10"/>
        <v>Fully Accessible</v>
      </c>
      <c r="AC136" s="14" t="b">
        <f t="shared" si="11"/>
        <v>0</v>
      </c>
      <c r="AE136" s="15" t="s">
        <v>196</v>
      </c>
      <c r="AF136" s="16" t="s">
        <v>53</v>
      </c>
      <c r="AH136" s="17" t="str">
        <f t="shared" si="12"/>
        <v>Europe &amp; Central Asia</v>
      </c>
      <c r="AI136" s="21"/>
      <c r="AJ136" s="21"/>
      <c r="AK136" s="15">
        <f t="shared" si="13"/>
        <v>0</v>
      </c>
      <c r="AL136" s="24"/>
      <c r="AM136" s="21"/>
      <c r="AN136" s="21"/>
      <c r="AO136" s="15">
        <f t="shared" si="16"/>
        <v>0</v>
      </c>
      <c r="AP136" s="24"/>
      <c r="AQ136" s="21"/>
      <c r="AR136" s="21"/>
      <c r="AS136" s="15">
        <f t="shared" si="19"/>
        <v>0</v>
      </c>
      <c r="AT136" s="24"/>
      <c r="AU136" s="21"/>
      <c r="AX136" s="14">
        <f t="shared" si="22"/>
        <v>2641.868896</v>
      </c>
      <c r="AY136" s="14">
        <f t="shared" si="23"/>
        <v>137.6450043</v>
      </c>
      <c r="AZ136" s="14">
        <f t="shared" si="24"/>
        <v>2504.223892</v>
      </c>
      <c r="BA136" s="17"/>
    </row>
    <row r="137">
      <c r="A137" s="2" t="s">
        <v>129</v>
      </c>
      <c r="B137" s="2">
        <v>2020.0</v>
      </c>
      <c r="C137" s="2">
        <v>1326.53894</v>
      </c>
      <c r="D137" s="2">
        <v>69.22900391</v>
      </c>
      <c r="E137" s="2">
        <v>99.59078178</v>
      </c>
      <c r="F137" s="2">
        <v>0.0</v>
      </c>
      <c r="G137" s="2">
        <v>0.4092182232</v>
      </c>
      <c r="H137" s="2">
        <v>0.0</v>
      </c>
      <c r="I137" s="2" t="s">
        <v>64</v>
      </c>
      <c r="J137" s="2" t="s">
        <v>64</v>
      </c>
      <c r="K137" s="2" t="s">
        <v>64</v>
      </c>
      <c r="L137" s="2" t="s">
        <v>64</v>
      </c>
      <c r="M137" s="2">
        <v>99.98545421</v>
      </c>
      <c r="N137" s="2">
        <v>0.0</v>
      </c>
      <c r="O137" s="2">
        <v>0.01454579307</v>
      </c>
      <c r="P137" s="2">
        <v>0.0</v>
      </c>
      <c r="Q137" s="13" t="str">
        <f t="shared" si="1"/>
        <v>Estonia|2020</v>
      </c>
      <c r="R137" s="14" t="str">
        <f t="shared" si="2"/>
        <v> </v>
      </c>
      <c r="T137" s="14" t="b">
        <f t="shared" si="3"/>
        <v>0</v>
      </c>
      <c r="U137" s="14" t="b">
        <f t="shared" si="29"/>
        <v>0</v>
      </c>
      <c r="V137" s="14" t="b">
        <f t="shared" si="4"/>
        <v>0</v>
      </c>
      <c r="W137" s="14">
        <f t="shared" si="5"/>
        <v>100</v>
      </c>
      <c r="X137" s="14" t="b">
        <f t="shared" si="6"/>
        <v>0</v>
      </c>
      <c r="Y137" s="14">
        <f t="shared" si="7"/>
        <v>100</v>
      </c>
      <c r="Z137" s="14" t="str">
        <f t="shared" si="8"/>
        <v/>
      </c>
      <c r="AA137" s="14" t="str">
        <f t="shared" si="9"/>
        <v/>
      </c>
      <c r="AB137" s="14" t="str">
        <f t="shared" si="10"/>
        <v/>
      </c>
      <c r="AC137" s="14">
        <f t="shared" si="11"/>
        <v>0</v>
      </c>
      <c r="AE137" s="15" t="s">
        <v>197</v>
      </c>
      <c r="AF137" s="16" t="s">
        <v>51</v>
      </c>
      <c r="AH137" s="17" t="str">
        <f t="shared" si="12"/>
        <v>East Asia &amp; Pacific</v>
      </c>
      <c r="AI137" s="21"/>
      <c r="AJ137" s="21"/>
      <c r="AK137" s="15">
        <f t="shared" si="13"/>
        <v>0.936522636</v>
      </c>
      <c r="AL137" s="24"/>
      <c r="AM137" s="21"/>
      <c r="AN137" s="21"/>
      <c r="AO137" s="15">
        <f t="shared" si="16"/>
        <v>1.795372626</v>
      </c>
      <c r="AP137" s="24"/>
      <c r="AQ137" s="21"/>
      <c r="AR137" s="21"/>
      <c r="AS137" s="15">
        <f t="shared" si="19"/>
        <v>0.492087668</v>
      </c>
      <c r="AT137" s="24"/>
      <c r="AU137" s="21"/>
      <c r="AX137" s="14" t="str">
        <f t="shared" si="22"/>
        <v>null</v>
      </c>
      <c r="AY137" s="14" t="str">
        <f t="shared" si="23"/>
        <v>null</v>
      </c>
      <c r="AZ137" s="14" t="str">
        <f t="shared" si="24"/>
        <v>null</v>
      </c>
      <c r="BA137" s="8"/>
    </row>
    <row r="138">
      <c r="A138" s="2" t="s">
        <v>130</v>
      </c>
      <c r="B138" s="2">
        <v>2015.0</v>
      </c>
      <c r="C138" s="2">
        <v>1104.037964</v>
      </c>
      <c r="D138" s="2">
        <v>23.29999924</v>
      </c>
      <c r="E138" s="2">
        <v>66.70395522</v>
      </c>
      <c r="F138" s="2">
        <v>8.767617333</v>
      </c>
      <c r="G138" s="2">
        <v>10.89011026</v>
      </c>
      <c r="H138" s="2">
        <v>13.63831719</v>
      </c>
      <c r="I138" s="2">
        <v>58.1249849</v>
      </c>
      <c r="J138" s="2">
        <v>11.1820493</v>
      </c>
      <c r="K138" s="2">
        <v>13.43987898</v>
      </c>
      <c r="L138" s="2">
        <v>17.25308683</v>
      </c>
      <c r="M138" s="2">
        <v>94.94460013</v>
      </c>
      <c r="N138" s="2">
        <v>0.8196803222</v>
      </c>
      <c r="O138" s="2">
        <v>2.496665561</v>
      </c>
      <c r="P138" s="2">
        <v>1.73905399</v>
      </c>
      <c r="Q138" s="13" t="str">
        <f t="shared" si="1"/>
        <v>Eswatini|2015</v>
      </c>
      <c r="R138" s="14">
        <f t="shared" si="2"/>
        <v>5</v>
      </c>
      <c r="T138" s="14">
        <f t="shared" si="3"/>
        <v>0.809823146</v>
      </c>
      <c r="U138" s="14">
        <f t="shared" si="29"/>
        <v>0.868292768</v>
      </c>
      <c r="V138" s="14">
        <f t="shared" si="4"/>
        <v>0.361032584</v>
      </c>
      <c r="W138" s="14">
        <f t="shared" si="5"/>
        <v>67</v>
      </c>
      <c r="X138" s="14">
        <f t="shared" si="6"/>
        <v>58</v>
      </c>
      <c r="Y138" s="14">
        <f t="shared" si="7"/>
        <v>95</v>
      </c>
      <c r="Z138" s="14" t="str">
        <f t="shared" si="8"/>
        <v/>
      </c>
      <c r="AA138" s="14" t="str">
        <f t="shared" si="9"/>
        <v/>
      </c>
      <c r="AB138" s="14" t="str">
        <f t="shared" si="10"/>
        <v>Fully Accessible</v>
      </c>
      <c r="AC138" s="14">
        <f t="shared" si="11"/>
        <v>0.507260184</v>
      </c>
      <c r="AE138" s="15" t="s">
        <v>198</v>
      </c>
      <c r="AF138" s="16" t="s">
        <v>53</v>
      </c>
      <c r="AH138" s="17" t="str">
        <f t="shared" si="12"/>
        <v>Europe &amp; Central Asia</v>
      </c>
      <c r="AI138" s="21"/>
      <c r="AJ138" s="21"/>
      <c r="AK138" s="15">
        <f t="shared" si="13"/>
        <v>0.29312423</v>
      </c>
      <c r="AL138" s="24"/>
      <c r="AM138" s="21"/>
      <c r="AN138" s="21"/>
      <c r="AO138" s="15">
        <f t="shared" si="16"/>
        <v>0.440245072</v>
      </c>
      <c r="AP138" s="24"/>
      <c r="AQ138" s="21"/>
      <c r="AR138" s="21"/>
      <c r="AS138" s="15">
        <f t="shared" si="19"/>
        <v>0.211412228</v>
      </c>
      <c r="AT138" s="24"/>
      <c r="AU138" s="21"/>
      <c r="AX138" s="14">
        <f t="shared" si="22"/>
        <v>2264.201904</v>
      </c>
      <c r="AY138" s="14">
        <f t="shared" si="23"/>
        <v>47.47100067</v>
      </c>
      <c r="AZ138" s="14">
        <f t="shared" si="24"/>
        <v>2216.730903</v>
      </c>
      <c r="BA138" s="27"/>
    </row>
    <row r="139">
      <c r="A139" s="2" t="s">
        <v>130</v>
      </c>
      <c r="B139" s="2">
        <v>2020.0</v>
      </c>
      <c r="C139" s="2">
        <v>1160.16394</v>
      </c>
      <c r="D139" s="2">
        <v>24.17100143</v>
      </c>
      <c r="E139" s="2">
        <v>70.75307095</v>
      </c>
      <c r="F139" s="2">
        <v>9.507067163</v>
      </c>
      <c r="G139" s="2">
        <v>9.835567931</v>
      </c>
      <c r="H139" s="2">
        <v>9.904293959</v>
      </c>
      <c r="I139" s="2">
        <v>62.46644874</v>
      </c>
      <c r="J139" s="2">
        <v>12.29969513</v>
      </c>
      <c r="K139" s="2">
        <v>12.45046093</v>
      </c>
      <c r="L139" s="2">
        <v>12.78339519</v>
      </c>
      <c r="M139" s="2">
        <v>96.74976305</v>
      </c>
      <c r="N139" s="2">
        <v>0.7460644731</v>
      </c>
      <c r="O139" s="2">
        <v>1.632164244</v>
      </c>
      <c r="P139" s="2">
        <v>0.8720082294</v>
      </c>
      <c r="Q139" s="13" t="str">
        <f t="shared" si="1"/>
        <v>Eswatini|2020</v>
      </c>
      <c r="R139" s="14" t="str">
        <f t="shared" si="2"/>
        <v> </v>
      </c>
      <c r="T139" s="14" t="b">
        <f t="shared" si="3"/>
        <v>0</v>
      </c>
      <c r="U139" s="14" t="b">
        <f t="shared" si="29"/>
        <v>0</v>
      </c>
      <c r="V139" s="14" t="b">
        <f t="shared" si="4"/>
        <v>0</v>
      </c>
      <c r="W139" s="14">
        <f t="shared" si="5"/>
        <v>71</v>
      </c>
      <c r="X139" s="14">
        <f t="shared" si="6"/>
        <v>62</v>
      </c>
      <c r="Y139" s="14">
        <f t="shared" si="7"/>
        <v>97</v>
      </c>
      <c r="Z139" s="14" t="str">
        <f t="shared" si="8"/>
        <v/>
      </c>
      <c r="AA139" s="14" t="str">
        <f t="shared" si="9"/>
        <v/>
      </c>
      <c r="AB139" s="14" t="str">
        <f t="shared" si="10"/>
        <v/>
      </c>
      <c r="AC139" s="14">
        <f t="shared" si="11"/>
        <v>0</v>
      </c>
      <c r="AE139" s="15" t="s">
        <v>199</v>
      </c>
      <c r="AF139" s="16" t="s">
        <v>57</v>
      </c>
      <c r="AH139" s="17" t="str">
        <f t="shared" si="12"/>
        <v>Latin America &amp; Caribbean</v>
      </c>
      <c r="AI139" s="21"/>
      <c r="AJ139" s="21"/>
      <c r="AK139" s="15">
        <f t="shared" si="13"/>
        <v>0.001332412</v>
      </c>
      <c r="AL139" s="24"/>
      <c r="AM139" s="21"/>
      <c r="AN139" s="21"/>
      <c r="AO139" s="15">
        <f t="shared" si="16"/>
        <v>0</v>
      </c>
      <c r="AP139" s="24"/>
      <c r="AQ139" s="21"/>
      <c r="AR139" s="21"/>
      <c r="AS139" s="15">
        <f t="shared" si="19"/>
        <v>0</v>
      </c>
      <c r="AT139" s="24"/>
      <c r="AU139" s="21"/>
      <c r="AX139" s="14" t="str">
        <f t="shared" si="22"/>
        <v>null</v>
      </c>
      <c r="AY139" s="14" t="str">
        <f t="shared" si="23"/>
        <v>null</v>
      </c>
      <c r="AZ139" s="14" t="str">
        <f t="shared" si="24"/>
        <v>null</v>
      </c>
      <c r="BA139" s="17"/>
    </row>
    <row r="140">
      <c r="A140" s="2" t="s">
        <v>131</v>
      </c>
      <c r="B140" s="2">
        <v>2015.0</v>
      </c>
      <c r="C140" s="2">
        <v>100835.4531</v>
      </c>
      <c r="D140" s="2">
        <v>19.4280014</v>
      </c>
      <c r="E140" s="2">
        <v>42.0700672</v>
      </c>
      <c r="F140" s="2">
        <v>21.73879027</v>
      </c>
      <c r="G140" s="2">
        <v>24.47785615</v>
      </c>
      <c r="H140" s="2">
        <v>11.71328639</v>
      </c>
      <c r="I140" s="2">
        <v>32.45176743</v>
      </c>
      <c r="J140" s="2">
        <v>23.5985521</v>
      </c>
      <c r="K140" s="2">
        <v>29.78155581</v>
      </c>
      <c r="L140" s="2">
        <v>14.16812467</v>
      </c>
      <c r="M140" s="2">
        <v>81.95917654</v>
      </c>
      <c r="N140" s="2">
        <v>14.02596733</v>
      </c>
      <c r="O140" s="2">
        <v>2.482299691</v>
      </c>
      <c r="P140" s="2">
        <v>1.532556439</v>
      </c>
      <c r="Q140" s="13" t="str">
        <f t="shared" si="1"/>
        <v>Ethiopia|2015</v>
      </c>
      <c r="R140" s="14">
        <f t="shared" si="2"/>
        <v>5</v>
      </c>
      <c r="T140" s="14">
        <f t="shared" si="3"/>
        <v>1.509101108</v>
      </c>
      <c r="U140" s="14">
        <f t="shared" si="29"/>
        <v>1.515674352</v>
      </c>
      <c r="V140" s="14">
        <f t="shared" si="4"/>
        <v>0.450730324</v>
      </c>
      <c r="W140" s="14">
        <f t="shared" si="5"/>
        <v>42</v>
      </c>
      <c r="X140" s="14">
        <f t="shared" si="6"/>
        <v>32</v>
      </c>
      <c r="Y140" s="14">
        <f t="shared" si="7"/>
        <v>82</v>
      </c>
      <c r="Z140" s="14" t="str">
        <f t="shared" si="8"/>
        <v/>
      </c>
      <c r="AA140" s="14" t="str">
        <f t="shared" si="9"/>
        <v/>
      </c>
      <c r="AB140" s="14" t="str">
        <f t="shared" si="10"/>
        <v>Fully Accessible</v>
      </c>
      <c r="AC140" s="14">
        <f t="shared" si="11"/>
        <v>1.064944028</v>
      </c>
      <c r="AE140" s="15" t="s">
        <v>200</v>
      </c>
      <c r="AF140" s="16" t="s">
        <v>56</v>
      </c>
      <c r="AH140" s="17" t="str">
        <f t="shared" si="12"/>
        <v>Middle East &amp; North Africa</v>
      </c>
      <c r="AI140" s="21"/>
      <c r="AJ140" s="21"/>
      <c r="AK140" s="15">
        <f t="shared" si="13"/>
        <v>1.33024236</v>
      </c>
      <c r="AL140" s="24"/>
      <c r="AM140" s="21"/>
      <c r="AN140" s="21"/>
      <c r="AO140" s="15">
        <f t="shared" si="16"/>
        <v>2.634720044</v>
      </c>
      <c r="AP140" s="24"/>
      <c r="AQ140" s="21"/>
      <c r="AR140" s="21"/>
      <c r="AS140" s="15">
        <f t="shared" si="19"/>
        <v>0.305466198</v>
      </c>
      <c r="AT140" s="24"/>
      <c r="AU140" s="21"/>
      <c r="AX140" s="14">
        <f t="shared" si="22"/>
        <v>215799.039</v>
      </c>
      <c r="AY140" s="14">
        <f t="shared" si="23"/>
        <v>41.12300109</v>
      </c>
      <c r="AZ140" s="14">
        <f t="shared" si="24"/>
        <v>215757.916</v>
      </c>
      <c r="BA140" s="27"/>
    </row>
    <row r="141">
      <c r="A141" s="2" t="s">
        <v>131</v>
      </c>
      <c r="B141" s="2">
        <v>2020.0</v>
      </c>
      <c r="C141" s="2">
        <v>114963.5859</v>
      </c>
      <c r="D141" s="2">
        <v>21.69499969</v>
      </c>
      <c r="E141" s="2">
        <v>49.61557274</v>
      </c>
      <c r="F141" s="2">
        <v>26.74071964</v>
      </c>
      <c r="G141" s="2">
        <v>18.63506013</v>
      </c>
      <c r="H141" s="2">
        <v>5.008647486</v>
      </c>
      <c r="I141" s="2">
        <v>40.03013919</v>
      </c>
      <c r="J141" s="2">
        <v>30.18668334</v>
      </c>
      <c r="K141" s="2">
        <v>23.49561327</v>
      </c>
      <c r="L141" s="2">
        <v>6.287564203</v>
      </c>
      <c r="M141" s="2">
        <v>84.21282816</v>
      </c>
      <c r="N141" s="2">
        <v>14.30300858</v>
      </c>
      <c r="O141" s="2">
        <v>1.091582355</v>
      </c>
      <c r="P141" s="2">
        <v>0.392580896</v>
      </c>
      <c r="Q141" s="13" t="str">
        <f t="shared" si="1"/>
        <v>Ethiopia|2020</v>
      </c>
      <c r="R141" s="14" t="str">
        <f t="shared" si="2"/>
        <v> </v>
      </c>
      <c r="T141" s="14" t="b">
        <f t="shared" si="3"/>
        <v>0</v>
      </c>
      <c r="U141" s="14" t="b">
        <f t="shared" si="29"/>
        <v>0</v>
      </c>
      <c r="V141" s="14" t="b">
        <f t="shared" si="4"/>
        <v>0</v>
      </c>
      <c r="W141" s="14">
        <f t="shared" si="5"/>
        <v>50</v>
      </c>
      <c r="X141" s="14">
        <f t="shared" si="6"/>
        <v>40</v>
      </c>
      <c r="Y141" s="14">
        <f t="shared" si="7"/>
        <v>84</v>
      </c>
      <c r="Z141" s="14" t="str">
        <f t="shared" si="8"/>
        <v/>
      </c>
      <c r="AA141" s="14" t="str">
        <f t="shared" si="9"/>
        <v/>
      </c>
      <c r="AB141" s="14" t="str">
        <f t="shared" si="10"/>
        <v/>
      </c>
      <c r="AC141" s="14">
        <f t="shared" si="11"/>
        <v>0</v>
      </c>
      <c r="AE141" s="15" t="s">
        <v>201</v>
      </c>
      <c r="AF141" s="16" t="s">
        <v>63</v>
      </c>
      <c r="AH141" s="17" t="str">
        <f t="shared" si="12"/>
        <v>Sub-Saharan Africa</v>
      </c>
      <c r="AI141" s="21"/>
      <c r="AJ141" s="21"/>
      <c r="AK141" s="15">
        <f t="shared" si="13"/>
        <v>2.438650084</v>
      </c>
      <c r="AL141" s="24"/>
      <c r="AM141" s="21"/>
      <c r="AN141" s="21"/>
      <c r="AO141" s="15">
        <f t="shared" si="16"/>
        <v>2.579061548</v>
      </c>
      <c r="AP141" s="24"/>
      <c r="AQ141" s="21"/>
      <c r="AR141" s="21"/>
      <c r="AS141" s="15">
        <f t="shared" si="19"/>
        <v>1.562736418</v>
      </c>
      <c r="AT141" s="24"/>
      <c r="AU141" s="21"/>
      <c r="AX141" s="14" t="str">
        <f t="shared" si="22"/>
        <v>null</v>
      </c>
      <c r="AY141" s="14" t="str">
        <f t="shared" si="23"/>
        <v>null</v>
      </c>
      <c r="AZ141" s="14" t="str">
        <f t="shared" si="24"/>
        <v>null</v>
      </c>
      <c r="BA141" s="27"/>
    </row>
    <row r="142">
      <c r="A142" s="2" t="s">
        <v>132</v>
      </c>
      <c r="B142" s="2">
        <v>2015.0</v>
      </c>
      <c r="C142" s="2">
        <v>48.05500031</v>
      </c>
      <c r="D142" s="2">
        <v>41.63799667</v>
      </c>
      <c r="E142" s="2">
        <v>100.0</v>
      </c>
      <c r="F142" s="2">
        <v>0.0</v>
      </c>
      <c r="G142" s="2">
        <v>0.0</v>
      </c>
      <c r="H142" s="2">
        <v>0.0</v>
      </c>
      <c r="I142" s="2" t="s">
        <v>64</v>
      </c>
      <c r="J142" s="2" t="s">
        <v>64</v>
      </c>
      <c r="K142" s="2" t="s">
        <v>64</v>
      </c>
      <c r="L142" s="2" t="s">
        <v>64</v>
      </c>
      <c r="M142" s="2" t="s">
        <v>64</v>
      </c>
      <c r="N142" s="2" t="s">
        <v>64</v>
      </c>
      <c r="O142" s="2" t="s">
        <v>64</v>
      </c>
      <c r="P142" s="2" t="s">
        <v>64</v>
      </c>
      <c r="Q142" s="13" t="str">
        <f t="shared" si="1"/>
        <v>Faeroe Islands|2015</v>
      </c>
      <c r="R142" s="14">
        <f t="shared" si="2"/>
        <v>5</v>
      </c>
      <c r="T142" s="14">
        <f t="shared" si="3"/>
        <v>0</v>
      </c>
      <c r="U142" s="14" t="str">
        <f t="shared" si="29"/>
        <v>null</v>
      </c>
      <c r="V142" s="14" t="str">
        <f t="shared" si="4"/>
        <v>null</v>
      </c>
      <c r="W142" s="14">
        <f t="shared" si="5"/>
        <v>100</v>
      </c>
      <c r="X142" s="14" t="b">
        <f t="shared" si="6"/>
        <v>0</v>
      </c>
      <c r="Y142" s="14" t="b">
        <f t="shared" si="7"/>
        <v>0</v>
      </c>
      <c r="Z142" s="14" t="str">
        <f t="shared" si="8"/>
        <v/>
      </c>
      <c r="AA142" s="14" t="str">
        <f t="shared" si="9"/>
        <v>Fully Accessible</v>
      </c>
      <c r="AB142" s="14" t="str">
        <f t="shared" si="10"/>
        <v>Fully Accessible</v>
      </c>
      <c r="AC142" s="14" t="b">
        <f t="shared" si="11"/>
        <v>0</v>
      </c>
      <c r="AE142" s="15" t="s">
        <v>202</v>
      </c>
      <c r="AF142" s="16" t="s">
        <v>51</v>
      </c>
      <c r="AH142" s="17" t="str">
        <f t="shared" si="12"/>
        <v>East Asia &amp; Pacific</v>
      </c>
      <c r="AI142" s="21"/>
      <c r="AJ142" s="21"/>
      <c r="AK142" s="15">
        <f t="shared" si="13"/>
        <v>2.026144282</v>
      </c>
      <c r="AL142" s="24"/>
      <c r="AM142" s="21"/>
      <c r="AN142" s="21"/>
      <c r="AO142" s="15">
        <f t="shared" si="16"/>
        <v>2.23459023</v>
      </c>
      <c r="AP142" s="24"/>
      <c r="AQ142" s="21"/>
      <c r="AR142" s="21"/>
      <c r="AS142" s="15">
        <f t="shared" si="19"/>
        <v>1.390321954</v>
      </c>
      <c r="AT142" s="24"/>
      <c r="AU142" s="21"/>
      <c r="AX142" s="14">
        <f t="shared" si="22"/>
        <v>96.92000199</v>
      </c>
      <c r="AY142" s="14">
        <f t="shared" si="23"/>
        <v>84.03599548</v>
      </c>
      <c r="AZ142" s="14">
        <f t="shared" si="24"/>
        <v>12.88400651</v>
      </c>
      <c r="BA142" s="17"/>
    </row>
    <row r="143">
      <c r="A143" s="2" t="s">
        <v>132</v>
      </c>
      <c r="B143" s="2">
        <v>2020.0</v>
      </c>
      <c r="C143" s="2">
        <v>48.86500168</v>
      </c>
      <c r="D143" s="2">
        <v>42.39799881</v>
      </c>
      <c r="E143" s="2">
        <v>100.0</v>
      </c>
      <c r="F143" s="2">
        <v>0.0</v>
      </c>
      <c r="G143" s="2">
        <v>0.0</v>
      </c>
      <c r="H143" s="2">
        <v>0.0</v>
      </c>
      <c r="I143" s="2" t="s">
        <v>64</v>
      </c>
      <c r="J143" s="2" t="s">
        <v>64</v>
      </c>
      <c r="K143" s="2" t="s">
        <v>64</v>
      </c>
      <c r="L143" s="2" t="s">
        <v>64</v>
      </c>
      <c r="M143" s="2" t="s">
        <v>64</v>
      </c>
      <c r="N143" s="2" t="s">
        <v>64</v>
      </c>
      <c r="O143" s="2" t="s">
        <v>64</v>
      </c>
      <c r="P143" s="2" t="s">
        <v>64</v>
      </c>
      <c r="Q143" s="13" t="str">
        <f t="shared" si="1"/>
        <v>Faeroe Islands|2020</v>
      </c>
      <c r="R143" s="14" t="str">
        <f t="shared" si="2"/>
        <v> </v>
      </c>
      <c r="T143" s="14" t="b">
        <f t="shared" si="3"/>
        <v>0</v>
      </c>
      <c r="U143" s="14" t="b">
        <f t="shared" si="29"/>
        <v>0</v>
      </c>
      <c r="V143" s="14" t="b">
        <f t="shared" si="4"/>
        <v>0</v>
      </c>
      <c r="W143" s="14">
        <f t="shared" si="5"/>
        <v>100</v>
      </c>
      <c r="X143" s="14" t="b">
        <f t="shared" si="6"/>
        <v>0</v>
      </c>
      <c r="Y143" s="14" t="b">
        <f t="shared" si="7"/>
        <v>0</v>
      </c>
      <c r="Z143" s="14" t="str">
        <f t="shared" si="8"/>
        <v/>
      </c>
      <c r="AA143" s="14" t="str">
        <f t="shared" si="9"/>
        <v/>
      </c>
      <c r="AB143" s="14" t="str">
        <f t="shared" si="10"/>
        <v/>
      </c>
      <c r="AC143" s="14">
        <f t="shared" si="11"/>
        <v>0</v>
      </c>
      <c r="AE143" s="15" t="s">
        <v>203</v>
      </c>
      <c r="AF143" s="16" t="s">
        <v>63</v>
      </c>
      <c r="AH143" s="17" t="str">
        <f t="shared" si="12"/>
        <v>Sub-Saharan Africa</v>
      </c>
      <c r="AI143" s="21"/>
      <c r="AJ143" s="21"/>
      <c r="AK143" s="15">
        <f t="shared" si="13"/>
        <v>0.349180226</v>
      </c>
      <c r="AL143" s="24"/>
      <c r="AM143" s="21"/>
      <c r="AN143" s="21"/>
      <c r="AO143" s="15">
        <f t="shared" si="16"/>
        <v>0.22302721</v>
      </c>
      <c r="AP143" s="24"/>
      <c r="AQ143" s="21"/>
      <c r="AR143" s="21"/>
      <c r="AS143" s="15">
        <f t="shared" si="19"/>
        <v>-0.055454054</v>
      </c>
      <c r="AT143" s="24"/>
      <c r="AU143" s="21"/>
      <c r="AX143" s="14" t="str">
        <f t="shared" si="22"/>
        <v>null</v>
      </c>
      <c r="AY143" s="14" t="str">
        <f t="shared" si="23"/>
        <v>null</v>
      </c>
      <c r="AZ143" s="14" t="str">
        <f t="shared" si="24"/>
        <v>null</v>
      </c>
      <c r="BA143" s="17"/>
    </row>
    <row r="144">
      <c r="A144" s="2" t="s">
        <v>133</v>
      </c>
      <c r="B144" s="2">
        <v>2015.0</v>
      </c>
      <c r="C144" s="2">
        <v>2.835999966</v>
      </c>
      <c r="D144" s="2">
        <v>76.26800537</v>
      </c>
      <c r="E144" s="2">
        <v>94.82000666</v>
      </c>
      <c r="F144" s="2">
        <v>0.0</v>
      </c>
      <c r="G144" s="2">
        <v>5.179993343</v>
      </c>
      <c r="H144" s="2">
        <v>0.0</v>
      </c>
      <c r="I144" s="2">
        <v>78.17294282</v>
      </c>
      <c r="J144" s="2">
        <v>0.0</v>
      </c>
      <c r="K144" s="2">
        <v>21.82705718</v>
      </c>
      <c r="L144" s="2">
        <v>0.0</v>
      </c>
      <c r="M144" s="2">
        <v>100.0</v>
      </c>
      <c r="N144" s="2">
        <v>0.0</v>
      </c>
      <c r="O144" s="2">
        <v>0.0</v>
      </c>
      <c r="P144" s="2">
        <v>0.0</v>
      </c>
      <c r="Q144" s="13" t="str">
        <f t="shared" si="1"/>
        <v>Falkland Islands (Malvinas)|2015</v>
      </c>
      <c r="R144" s="14">
        <f t="shared" si="2"/>
        <v>5</v>
      </c>
      <c r="T144" s="14">
        <f t="shared" si="3"/>
        <v>0.097784148</v>
      </c>
      <c r="U144" s="14">
        <f t="shared" si="29"/>
        <v>0</v>
      </c>
      <c r="V144" s="14">
        <f t="shared" si="4"/>
        <v>0</v>
      </c>
      <c r="W144" s="14">
        <f t="shared" si="5"/>
        <v>95</v>
      </c>
      <c r="X144" s="14">
        <f t="shared" si="6"/>
        <v>78</v>
      </c>
      <c r="Y144" s="14">
        <f t="shared" si="7"/>
        <v>100</v>
      </c>
      <c r="Z144" s="14" t="str">
        <f t="shared" si="8"/>
        <v/>
      </c>
      <c r="AA144" s="14" t="str">
        <f t="shared" si="9"/>
        <v/>
      </c>
      <c r="AB144" s="14" t="str">
        <f t="shared" si="10"/>
        <v>Fully Accessible</v>
      </c>
      <c r="AC144" s="14">
        <f t="shared" si="11"/>
        <v>0</v>
      </c>
      <c r="AE144" s="15" t="s">
        <v>204</v>
      </c>
      <c r="AF144" s="16" t="s">
        <v>51</v>
      </c>
      <c r="AH144" s="17" t="str">
        <f t="shared" si="12"/>
        <v>East Asia &amp; Pacific</v>
      </c>
      <c r="AI144" s="21"/>
      <c r="AJ144" s="21"/>
      <c r="AK144" s="15">
        <f t="shared" si="13"/>
        <v>0</v>
      </c>
      <c r="AL144" s="24"/>
      <c r="AM144" s="21"/>
      <c r="AN144" s="21"/>
      <c r="AO144" s="15">
        <f t="shared" si="16"/>
        <v>0</v>
      </c>
      <c r="AP144" s="24"/>
      <c r="AQ144" s="21"/>
      <c r="AR144" s="21"/>
      <c r="AS144" s="15">
        <f t="shared" si="19"/>
        <v>0</v>
      </c>
      <c r="AT144" s="24"/>
      <c r="AU144" s="21"/>
      <c r="AX144" s="14">
        <f t="shared" si="22"/>
        <v>6.319000006</v>
      </c>
      <c r="AY144" s="14">
        <f t="shared" si="23"/>
        <v>154.776001</v>
      </c>
      <c r="AZ144" s="14">
        <f t="shared" si="24"/>
        <v>-148.457001</v>
      </c>
      <c r="BA144" s="17"/>
    </row>
    <row r="145">
      <c r="A145" s="2" t="s">
        <v>133</v>
      </c>
      <c r="B145" s="2">
        <v>2020.0</v>
      </c>
      <c r="C145" s="2">
        <v>3.48300004</v>
      </c>
      <c r="D145" s="2">
        <v>78.50799561</v>
      </c>
      <c r="E145" s="2">
        <v>95.3089274</v>
      </c>
      <c r="F145" s="2">
        <v>0.0</v>
      </c>
      <c r="G145" s="2">
        <v>4.691072596</v>
      </c>
      <c r="H145" s="2">
        <v>0.0</v>
      </c>
      <c r="I145" s="2">
        <v>78.17294282</v>
      </c>
      <c r="J145" s="2">
        <v>0.0</v>
      </c>
      <c r="K145" s="2">
        <v>21.82705718</v>
      </c>
      <c r="L145" s="2">
        <v>0.0</v>
      </c>
      <c r="M145" s="2">
        <v>100.0</v>
      </c>
      <c r="N145" s="2">
        <v>0.0</v>
      </c>
      <c r="O145" s="2">
        <v>0.0</v>
      </c>
      <c r="P145" s="2">
        <v>0.0</v>
      </c>
      <c r="Q145" s="13" t="str">
        <f t="shared" si="1"/>
        <v>Falkland Islands (Malvinas)|2020</v>
      </c>
      <c r="R145" s="14" t="str">
        <f t="shared" si="2"/>
        <v> </v>
      </c>
      <c r="T145" s="14" t="b">
        <f t="shared" si="3"/>
        <v>0</v>
      </c>
      <c r="U145" s="14" t="b">
        <f t="shared" si="29"/>
        <v>0</v>
      </c>
      <c r="V145" s="14" t="b">
        <f t="shared" si="4"/>
        <v>0</v>
      </c>
      <c r="W145" s="14">
        <f t="shared" si="5"/>
        <v>95</v>
      </c>
      <c r="X145" s="14">
        <f t="shared" si="6"/>
        <v>78</v>
      </c>
      <c r="Y145" s="14">
        <f t="shared" si="7"/>
        <v>100</v>
      </c>
      <c r="Z145" s="14" t="str">
        <f t="shared" si="8"/>
        <v/>
      </c>
      <c r="AA145" s="14" t="str">
        <f t="shared" si="9"/>
        <v/>
      </c>
      <c r="AB145" s="14" t="str">
        <f t="shared" si="10"/>
        <v/>
      </c>
      <c r="AC145" s="14">
        <f t="shared" si="11"/>
        <v>0</v>
      </c>
      <c r="AE145" s="15" t="s">
        <v>205</v>
      </c>
      <c r="AF145" s="16" t="s">
        <v>50</v>
      </c>
      <c r="AH145" s="17" t="str">
        <f t="shared" si="12"/>
        <v>South Asia</v>
      </c>
      <c r="AI145" s="21"/>
      <c r="AJ145" s="21"/>
      <c r="AK145" s="15">
        <f t="shared" si="13"/>
        <v>0.45321484</v>
      </c>
      <c r="AL145" s="24"/>
      <c r="AM145" s="21"/>
      <c r="AN145" s="21"/>
      <c r="AO145" s="15">
        <f t="shared" si="16"/>
        <v>0.592258402</v>
      </c>
      <c r="AP145" s="24"/>
      <c r="AQ145" s="21"/>
      <c r="AR145" s="21"/>
      <c r="AS145" s="15">
        <f t="shared" si="19"/>
        <v>-0.143407588</v>
      </c>
      <c r="AT145" s="24"/>
      <c r="AU145" s="21"/>
      <c r="AX145" s="14" t="str">
        <f t="shared" si="22"/>
        <v>null</v>
      </c>
      <c r="AY145" s="14" t="str">
        <f t="shared" si="23"/>
        <v>null</v>
      </c>
      <c r="AZ145" s="14" t="str">
        <f t="shared" si="24"/>
        <v>null</v>
      </c>
      <c r="BA145" s="8"/>
    </row>
    <row r="146">
      <c r="A146" s="2" t="s">
        <v>134</v>
      </c>
      <c r="B146" s="2">
        <v>2015.0</v>
      </c>
      <c r="C146" s="2">
        <v>868.632019</v>
      </c>
      <c r="D146" s="2">
        <v>54.72599792</v>
      </c>
      <c r="E146" s="2">
        <v>94.26255867</v>
      </c>
      <c r="F146" s="2">
        <v>0.0</v>
      </c>
      <c r="G146" s="2">
        <v>3.419365936</v>
      </c>
      <c r="H146" s="2">
        <v>2.318075395</v>
      </c>
      <c r="I146" s="2">
        <v>89.37852739</v>
      </c>
      <c r="J146" s="2">
        <v>0.0</v>
      </c>
      <c r="K146" s="2">
        <v>5.829467811</v>
      </c>
      <c r="L146" s="2">
        <v>4.792004795</v>
      </c>
      <c r="M146" s="2">
        <v>98.30304467</v>
      </c>
      <c r="N146" s="2">
        <v>0.0</v>
      </c>
      <c r="O146" s="2">
        <v>1.425524712</v>
      </c>
      <c r="P146" s="2">
        <v>0.2714306142</v>
      </c>
      <c r="Q146" s="13" t="str">
        <f t="shared" si="1"/>
        <v>Fiji|2015</v>
      </c>
      <c r="R146" s="14">
        <f t="shared" si="2"/>
        <v>5</v>
      </c>
      <c r="T146" s="14">
        <f t="shared" si="3"/>
        <v>0.007701314</v>
      </c>
      <c r="U146" s="14">
        <f t="shared" si="29"/>
        <v>-0.058100668</v>
      </c>
      <c r="V146" s="14">
        <f t="shared" si="4"/>
        <v>-0.021760122</v>
      </c>
      <c r="W146" s="14">
        <f t="shared" si="5"/>
        <v>94</v>
      </c>
      <c r="X146" s="14">
        <f t="shared" si="6"/>
        <v>89</v>
      </c>
      <c r="Y146" s="14">
        <f t="shared" si="7"/>
        <v>98</v>
      </c>
      <c r="Z146" s="14" t="str">
        <f t="shared" si="8"/>
        <v/>
      </c>
      <c r="AA146" s="14" t="str">
        <f t="shared" si="9"/>
        <v/>
      </c>
      <c r="AB146" s="14" t="str">
        <f t="shared" si="10"/>
        <v>Fully Accessible</v>
      </c>
      <c r="AC146" s="14">
        <f t="shared" si="11"/>
        <v>-0.036340546</v>
      </c>
      <c r="AE146" s="15" t="s">
        <v>206</v>
      </c>
      <c r="AF146" s="16" t="s">
        <v>53</v>
      </c>
      <c r="AH146" s="17" t="str">
        <f t="shared" si="12"/>
        <v>Europe &amp; Central Asia</v>
      </c>
      <c r="AI146" s="21"/>
      <c r="AJ146" s="21"/>
      <c r="AK146" s="15">
        <f t="shared" si="13"/>
        <v>0.0000001460000021</v>
      </c>
      <c r="AL146" s="24"/>
      <c r="AM146" s="21"/>
      <c r="AN146" s="21"/>
      <c r="AO146" s="15">
        <f t="shared" si="16"/>
        <v>0</v>
      </c>
      <c r="AP146" s="24"/>
      <c r="AQ146" s="21"/>
      <c r="AR146" s="21"/>
      <c r="AS146" s="15">
        <f t="shared" si="19"/>
        <v>0</v>
      </c>
      <c r="AT146" s="24"/>
      <c r="AU146" s="21"/>
      <c r="AX146" s="14">
        <f t="shared" si="22"/>
        <v>1765.075989</v>
      </c>
      <c r="AY146" s="14">
        <f t="shared" si="23"/>
        <v>111.9730034</v>
      </c>
      <c r="AZ146" s="14">
        <f t="shared" si="24"/>
        <v>1653.102985</v>
      </c>
      <c r="BA146" s="27"/>
    </row>
    <row r="147">
      <c r="A147" s="2" t="s">
        <v>134</v>
      </c>
      <c r="B147" s="2">
        <v>2020.0</v>
      </c>
      <c r="C147" s="2">
        <v>896.4439697</v>
      </c>
      <c r="D147" s="2">
        <v>57.24700546</v>
      </c>
      <c r="E147" s="2">
        <v>94.30106524</v>
      </c>
      <c r="F147" s="2">
        <v>0.0</v>
      </c>
      <c r="G147" s="2">
        <v>3.318602766</v>
      </c>
      <c r="H147" s="2">
        <v>2.380331999</v>
      </c>
      <c r="I147" s="2">
        <v>89.08802405</v>
      </c>
      <c r="J147" s="2">
        <v>0.0</v>
      </c>
      <c r="K147" s="2">
        <v>5.759897938</v>
      </c>
      <c r="L147" s="2">
        <v>5.152078012</v>
      </c>
      <c r="M147" s="2">
        <v>98.19424406</v>
      </c>
      <c r="N147" s="2">
        <v>0.0</v>
      </c>
      <c r="O147" s="2">
        <v>1.495409344</v>
      </c>
      <c r="P147" s="2">
        <v>0.3103465922</v>
      </c>
      <c r="Q147" s="13" t="str">
        <f t="shared" si="1"/>
        <v>Fiji|2020</v>
      </c>
      <c r="R147" s="14" t="str">
        <f t="shared" si="2"/>
        <v> </v>
      </c>
      <c r="T147" s="14" t="b">
        <f t="shared" si="3"/>
        <v>0</v>
      </c>
      <c r="U147" s="14" t="b">
        <f t="shared" si="29"/>
        <v>0</v>
      </c>
      <c r="V147" s="14" t="b">
        <f t="shared" si="4"/>
        <v>0</v>
      </c>
      <c r="W147" s="14">
        <f t="shared" si="5"/>
        <v>94</v>
      </c>
      <c r="X147" s="14">
        <f t="shared" si="6"/>
        <v>89</v>
      </c>
      <c r="Y147" s="14">
        <f t="shared" si="7"/>
        <v>98</v>
      </c>
      <c r="Z147" s="14" t="str">
        <f t="shared" si="8"/>
        <v/>
      </c>
      <c r="AA147" s="14" t="str">
        <f t="shared" si="9"/>
        <v/>
      </c>
      <c r="AB147" s="14" t="str">
        <f t="shared" si="10"/>
        <v/>
      </c>
      <c r="AC147" s="14">
        <f t="shared" si="11"/>
        <v>0</v>
      </c>
      <c r="AE147" s="15" t="s">
        <v>207</v>
      </c>
      <c r="AF147" s="16" t="s">
        <v>51</v>
      </c>
      <c r="AH147" s="17" t="str">
        <f t="shared" si="12"/>
        <v>East Asia &amp; Pacific</v>
      </c>
      <c r="AI147" s="21"/>
      <c r="AJ147" s="21"/>
      <c r="AK147" s="15">
        <f t="shared" si="13"/>
        <v>0.233352416</v>
      </c>
      <c r="AL147" s="24"/>
      <c r="AM147" s="21"/>
      <c r="AN147" s="21"/>
      <c r="AO147" s="15">
        <f t="shared" si="16"/>
        <v>0</v>
      </c>
      <c r="AP147" s="24"/>
      <c r="AQ147" s="21"/>
      <c r="AR147" s="21"/>
      <c r="AS147" s="15">
        <f t="shared" si="19"/>
        <v>0</v>
      </c>
      <c r="AT147" s="24"/>
      <c r="AU147" s="21"/>
      <c r="AX147" s="14" t="str">
        <f t="shared" si="22"/>
        <v>null</v>
      </c>
      <c r="AY147" s="14" t="str">
        <f t="shared" si="23"/>
        <v>null</v>
      </c>
      <c r="AZ147" s="14" t="str">
        <f t="shared" si="24"/>
        <v>null</v>
      </c>
      <c r="BA147" s="17"/>
    </row>
    <row r="148">
      <c r="A148" s="2" t="s">
        <v>135</v>
      </c>
      <c r="B148" s="2">
        <v>2015.0</v>
      </c>
      <c r="C148" s="2">
        <v>5481.12793</v>
      </c>
      <c r="D148" s="2">
        <v>85.22499847</v>
      </c>
      <c r="E148" s="2">
        <v>99.99999666</v>
      </c>
      <c r="F148" s="2">
        <v>0.0</v>
      </c>
      <c r="G148" s="2">
        <v>3.34065308E-6</v>
      </c>
      <c r="H148" s="2">
        <v>0.0</v>
      </c>
      <c r="I148" s="2">
        <v>100.0</v>
      </c>
      <c r="J148" s="2">
        <v>0.0</v>
      </c>
      <c r="K148" s="2">
        <v>0.0</v>
      </c>
      <c r="L148" s="2">
        <v>0.0</v>
      </c>
      <c r="M148" s="2">
        <v>100.0</v>
      </c>
      <c r="N148" s="2">
        <v>0.0</v>
      </c>
      <c r="O148" s="2">
        <v>0.0</v>
      </c>
      <c r="P148" s="2">
        <v>0.0</v>
      </c>
      <c r="Q148" s="13" t="str">
        <f t="shared" si="1"/>
        <v>Finland|2015</v>
      </c>
      <c r="R148" s="14">
        <f t="shared" si="2"/>
        <v>5</v>
      </c>
      <c r="T148" s="14">
        <f t="shared" si="3"/>
        <v>0.000001328000002</v>
      </c>
      <c r="U148" s="14">
        <f t="shared" si="29"/>
        <v>0</v>
      </c>
      <c r="V148" s="14">
        <f t="shared" si="4"/>
        <v>0</v>
      </c>
      <c r="W148" s="14">
        <f t="shared" si="5"/>
        <v>100</v>
      </c>
      <c r="X148" s="14">
        <f t="shared" si="6"/>
        <v>100</v>
      </c>
      <c r="Y148" s="14">
        <f t="shared" si="7"/>
        <v>100</v>
      </c>
      <c r="Z148" s="14" t="str">
        <f t="shared" si="8"/>
        <v/>
      </c>
      <c r="AA148" s="14" t="str">
        <f t="shared" si="9"/>
        <v/>
      </c>
      <c r="AB148" s="14" t="str">
        <f t="shared" si="10"/>
        <v>Fully Accessible</v>
      </c>
      <c r="AC148" s="14">
        <f t="shared" si="11"/>
        <v>0</v>
      </c>
      <c r="AE148" s="15" t="s">
        <v>208</v>
      </c>
      <c r="AF148" s="16" t="s">
        <v>51</v>
      </c>
      <c r="AH148" s="17" t="str">
        <f t="shared" si="12"/>
        <v>East Asia &amp; Pacific</v>
      </c>
      <c r="AI148" s="21"/>
      <c r="AJ148" s="21"/>
      <c r="AK148" s="15">
        <f t="shared" si="13"/>
        <v>0.0000007899999986</v>
      </c>
      <c r="AL148" s="24"/>
      <c r="AM148" s="21"/>
      <c r="AN148" s="21"/>
      <c r="AO148" s="15">
        <f t="shared" si="16"/>
        <v>0</v>
      </c>
      <c r="AP148" s="24"/>
      <c r="AQ148" s="21"/>
      <c r="AR148" s="21"/>
      <c r="AS148" s="15">
        <f t="shared" si="19"/>
        <v>0</v>
      </c>
      <c r="AT148" s="24"/>
      <c r="AU148" s="21"/>
      <c r="AX148" s="14">
        <f t="shared" si="22"/>
        <v>11021.8457</v>
      </c>
      <c r="AY148" s="14">
        <f t="shared" si="23"/>
        <v>170.7420044</v>
      </c>
      <c r="AZ148" s="14">
        <f t="shared" si="24"/>
        <v>10851.1037</v>
      </c>
      <c r="BA148" s="27"/>
    </row>
    <row r="149">
      <c r="A149" s="2" t="s">
        <v>135</v>
      </c>
      <c r="B149" s="2">
        <v>2020.0</v>
      </c>
      <c r="C149" s="2">
        <v>5540.717773</v>
      </c>
      <c r="D149" s="2">
        <v>85.51700592</v>
      </c>
      <c r="E149" s="2">
        <v>100.0000033</v>
      </c>
      <c r="F149" s="2">
        <v>0.0</v>
      </c>
      <c r="G149" s="2">
        <v>0.0</v>
      </c>
      <c r="H149" s="2">
        <v>0.0</v>
      </c>
      <c r="I149" s="2">
        <v>100.0</v>
      </c>
      <c r="J149" s="2">
        <v>0.0</v>
      </c>
      <c r="K149" s="2">
        <v>0.0</v>
      </c>
      <c r="L149" s="2">
        <v>0.0</v>
      </c>
      <c r="M149" s="2">
        <v>100.0</v>
      </c>
      <c r="N149" s="2">
        <v>0.0</v>
      </c>
      <c r="O149" s="2">
        <v>0.0</v>
      </c>
      <c r="P149" s="2">
        <v>0.0</v>
      </c>
      <c r="Q149" s="13" t="str">
        <f t="shared" si="1"/>
        <v>Finland|2020</v>
      </c>
      <c r="R149" s="14" t="str">
        <f t="shared" si="2"/>
        <v> </v>
      </c>
      <c r="T149" s="14" t="b">
        <f t="shared" si="3"/>
        <v>0</v>
      </c>
      <c r="U149" s="14" t="b">
        <f t="shared" si="29"/>
        <v>0</v>
      </c>
      <c r="V149" s="14" t="b">
        <f t="shared" si="4"/>
        <v>0</v>
      </c>
      <c r="W149" s="14">
        <f t="shared" si="5"/>
        <v>100</v>
      </c>
      <c r="X149" s="14">
        <f t="shared" si="6"/>
        <v>100</v>
      </c>
      <c r="Y149" s="14">
        <f t="shared" si="7"/>
        <v>100</v>
      </c>
      <c r="Z149" s="14" t="str">
        <f t="shared" si="8"/>
        <v/>
      </c>
      <c r="AA149" s="14" t="str">
        <f t="shared" si="9"/>
        <v/>
      </c>
      <c r="AB149" s="14" t="str">
        <f t="shared" si="10"/>
        <v/>
      </c>
      <c r="AC149" s="14">
        <f t="shared" si="11"/>
        <v>0</v>
      </c>
      <c r="AE149" s="15" t="s">
        <v>209</v>
      </c>
      <c r="AF149" s="16" t="s">
        <v>57</v>
      </c>
      <c r="AH149" s="17" t="str">
        <f t="shared" si="12"/>
        <v>Latin America &amp; Caribbean</v>
      </c>
      <c r="AI149" s="21"/>
      <c r="AJ149" s="21"/>
      <c r="AK149" s="15">
        <f t="shared" si="13"/>
        <v>0.071125052</v>
      </c>
      <c r="AL149" s="24"/>
      <c r="AM149" s="21"/>
      <c r="AN149" s="21"/>
      <c r="AO149" s="15">
        <f t="shared" si="16"/>
        <v>-0.079442242</v>
      </c>
      <c r="AP149" s="24"/>
      <c r="AQ149" s="21"/>
      <c r="AR149" s="21"/>
      <c r="AS149" s="15">
        <f t="shared" si="19"/>
        <v>0.032840346</v>
      </c>
      <c r="AT149" s="24"/>
      <c r="AU149" s="21"/>
      <c r="AX149" s="14" t="str">
        <f t="shared" si="22"/>
        <v>null</v>
      </c>
      <c r="AY149" s="14" t="str">
        <f t="shared" si="23"/>
        <v>null</v>
      </c>
      <c r="AZ149" s="14" t="str">
        <f t="shared" si="24"/>
        <v>null</v>
      </c>
      <c r="BA149" s="27"/>
    </row>
    <row r="150">
      <c r="A150" s="2" t="s">
        <v>136</v>
      </c>
      <c r="B150" s="2">
        <v>2015.0</v>
      </c>
      <c r="C150" s="2">
        <v>64453.19531</v>
      </c>
      <c r="D150" s="2">
        <v>79.65499878</v>
      </c>
      <c r="E150" s="2">
        <v>100.0</v>
      </c>
      <c r="F150" s="2">
        <v>0.0</v>
      </c>
      <c r="G150" s="2">
        <v>0.0</v>
      </c>
      <c r="H150" s="2">
        <v>0.0</v>
      </c>
      <c r="I150" s="2">
        <v>100.0</v>
      </c>
      <c r="J150" s="2">
        <v>0.0</v>
      </c>
      <c r="K150" s="2">
        <v>0.0</v>
      </c>
      <c r="L150" s="2">
        <v>0.0</v>
      </c>
      <c r="M150" s="2">
        <v>100.0</v>
      </c>
      <c r="N150" s="2">
        <v>0.0</v>
      </c>
      <c r="O150" s="2">
        <v>0.0</v>
      </c>
      <c r="P150" s="2">
        <v>0.0</v>
      </c>
      <c r="Q150" s="13" t="str">
        <f t="shared" si="1"/>
        <v>France|2015</v>
      </c>
      <c r="R150" s="14">
        <f t="shared" si="2"/>
        <v>5</v>
      </c>
      <c r="T150" s="14">
        <f t="shared" si="3"/>
        <v>-0.0000002999999992</v>
      </c>
      <c r="U150" s="14">
        <f t="shared" si="29"/>
        <v>0</v>
      </c>
      <c r="V150" s="14">
        <f t="shared" si="4"/>
        <v>0</v>
      </c>
      <c r="W150" s="14">
        <f t="shared" si="5"/>
        <v>100</v>
      </c>
      <c r="X150" s="14">
        <f t="shared" si="6"/>
        <v>100</v>
      </c>
      <c r="Y150" s="14">
        <f t="shared" si="7"/>
        <v>100</v>
      </c>
      <c r="Z150" s="14" t="str">
        <f t="shared" si="8"/>
        <v/>
      </c>
      <c r="AA150" s="14" t="str">
        <f t="shared" si="9"/>
        <v/>
      </c>
      <c r="AB150" s="14" t="str">
        <f t="shared" si="10"/>
        <v>Fully Accessible</v>
      </c>
      <c r="AC150" s="14">
        <f t="shared" si="11"/>
        <v>0</v>
      </c>
      <c r="AE150" s="15" t="s">
        <v>210</v>
      </c>
      <c r="AF150" s="16" t="s">
        <v>63</v>
      </c>
      <c r="AH150" s="17" t="str">
        <f t="shared" si="12"/>
        <v>Sub-Saharan Africa</v>
      </c>
      <c r="AI150" s="21"/>
      <c r="AJ150" s="21"/>
      <c r="AK150" s="15">
        <f t="shared" si="13"/>
        <v>0.285867882</v>
      </c>
      <c r="AL150" s="24"/>
      <c r="AM150" s="21"/>
      <c r="AN150" s="21"/>
      <c r="AO150" s="15">
        <f t="shared" si="16"/>
        <v>0.364843534</v>
      </c>
      <c r="AP150" s="24"/>
      <c r="AQ150" s="21"/>
      <c r="AR150" s="21"/>
      <c r="AS150" s="15">
        <f t="shared" si="19"/>
        <v>-0.338939856</v>
      </c>
      <c r="AT150" s="24"/>
      <c r="AU150" s="21"/>
      <c r="AX150" s="14">
        <f t="shared" si="22"/>
        <v>129726.707</v>
      </c>
      <c r="AY150" s="14">
        <f t="shared" si="23"/>
        <v>160.6299973</v>
      </c>
      <c r="AZ150" s="14">
        <f t="shared" si="24"/>
        <v>129566.077</v>
      </c>
      <c r="BA150" s="17"/>
    </row>
    <row r="151">
      <c r="A151" s="2" t="s">
        <v>136</v>
      </c>
      <c r="B151" s="2">
        <v>2020.0</v>
      </c>
      <c r="C151" s="2">
        <v>65273.51172</v>
      </c>
      <c r="D151" s="2">
        <v>80.97499847</v>
      </c>
      <c r="E151" s="2">
        <v>99.9999985</v>
      </c>
      <c r="F151" s="2">
        <v>0.0</v>
      </c>
      <c r="G151" s="2">
        <v>1.49610841E-6</v>
      </c>
      <c r="H151" s="2">
        <v>0.0</v>
      </c>
      <c r="I151" s="2">
        <v>100.0</v>
      </c>
      <c r="J151" s="2">
        <v>0.0</v>
      </c>
      <c r="K151" s="2">
        <v>0.0</v>
      </c>
      <c r="L151" s="2">
        <v>0.0</v>
      </c>
      <c r="M151" s="2">
        <v>100.0</v>
      </c>
      <c r="N151" s="2">
        <v>0.0</v>
      </c>
      <c r="O151" s="2">
        <v>0.0</v>
      </c>
      <c r="P151" s="2">
        <v>0.0</v>
      </c>
      <c r="Q151" s="13" t="str">
        <f t="shared" si="1"/>
        <v>France|2020</v>
      </c>
      <c r="R151" s="14" t="str">
        <f t="shared" si="2"/>
        <v> </v>
      </c>
      <c r="T151" s="14" t="b">
        <f t="shared" si="3"/>
        <v>0</v>
      </c>
      <c r="U151" s="14" t="b">
        <f t="shared" si="29"/>
        <v>0</v>
      </c>
      <c r="V151" s="14" t="b">
        <f t="shared" si="4"/>
        <v>0</v>
      </c>
      <c r="W151" s="14">
        <f t="shared" si="5"/>
        <v>100</v>
      </c>
      <c r="X151" s="14">
        <f t="shared" si="6"/>
        <v>100</v>
      </c>
      <c r="Y151" s="14">
        <f t="shared" si="7"/>
        <v>100</v>
      </c>
      <c r="Z151" s="14" t="str">
        <f t="shared" si="8"/>
        <v/>
      </c>
      <c r="AA151" s="14" t="str">
        <f t="shared" si="9"/>
        <v/>
      </c>
      <c r="AB151" s="14" t="str">
        <f t="shared" si="10"/>
        <v/>
      </c>
      <c r="AC151" s="14">
        <f t="shared" si="11"/>
        <v>0</v>
      </c>
      <c r="AE151" s="15" t="s">
        <v>211</v>
      </c>
      <c r="AF151" s="16" t="s">
        <v>63</v>
      </c>
      <c r="AH151" s="17" t="str">
        <f t="shared" si="12"/>
        <v>Sub-Saharan Africa</v>
      </c>
      <c r="AI151" s="21"/>
      <c r="AJ151" s="21"/>
      <c r="AK151" s="15">
        <f t="shared" si="13"/>
        <v>1.765859584</v>
      </c>
      <c r="AL151" s="24"/>
      <c r="AM151" s="21"/>
      <c r="AN151" s="21"/>
      <c r="AO151" s="15">
        <f t="shared" si="16"/>
        <v>1.633152206</v>
      </c>
      <c r="AP151" s="24"/>
      <c r="AQ151" s="21"/>
      <c r="AR151" s="21"/>
      <c r="AS151" s="15">
        <f t="shared" si="19"/>
        <v>1.381769374</v>
      </c>
      <c r="AT151" s="24"/>
      <c r="AU151" s="21"/>
      <c r="AX151" s="14" t="str">
        <f t="shared" si="22"/>
        <v>null</v>
      </c>
      <c r="AY151" s="14" t="str">
        <f t="shared" si="23"/>
        <v>null</v>
      </c>
      <c r="AZ151" s="14" t="str">
        <f t="shared" si="24"/>
        <v>null</v>
      </c>
      <c r="BA151" s="17"/>
    </row>
    <row r="152">
      <c r="A152" s="2" t="s">
        <v>137</v>
      </c>
      <c r="B152" s="2">
        <v>2015.0</v>
      </c>
      <c r="C152" s="2">
        <v>261.0079956</v>
      </c>
      <c r="D152" s="2">
        <v>84.48200226</v>
      </c>
      <c r="E152" s="2">
        <v>93.56205657</v>
      </c>
      <c r="F152" s="2">
        <v>0.0</v>
      </c>
      <c r="G152" s="2">
        <v>6.437943425</v>
      </c>
      <c r="H152" s="2">
        <v>0.0</v>
      </c>
      <c r="I152" s="2" t="s">
        <v>64</v>
      </c>
      <c r="J152" s="2" t="s">
        <v>64</v>
      </c>
      <c r="K152" s="2" t="s">
        <v>64</v>
      </c>
      <c r="L152" s="2" t="s">
        <v>64</v>
      </c>
      <c r="M152" s="2" t="s">
        <v>64</v>
      </c>
      <c r="N152" s="2" t="s">
        <v>64</v>
      </c>
      <c r="O152" s="2" t="s">
        <v>64</v>
      </c>
      <c r="P152" s="2" t="s">
        <v>64</v>
      </c>
      <c r="Q152" s="13" t="str">
        <f t="shared" si="1"/>
        <v>French Guiana|2015</v>
      </c>
      <c r="R152" s="14">
        <f t="shared" si="2"/>
        <v>5</v>
      </c>
      <c r="T152" s="14">
        <f t="shared" si="3"/>
        <v>0.044031956</v>
      </c>
      <c r="U152" s="14" t="str">
        <f t="shared" si="29"/>
        <v>null</v>
      </c>
      <c r="V152" s="14" t="str">
        <f t="shared" si="4"/>
        <v>null</v>
      </c>
      <c r="W152" s="14">
        <f t="shared" si="5"/>
        <v>94</v>
      </c>
      <c r="X152" s="14" t="b">
        <f t="shared" si="6"/>
        <v>0</v>
      </c>
      <c r="Y152" s="14" t="b">
        <f t="shared" si="7"/>
        <v>0</v>
      </c>
      <c r="Z152" s="14" t="str">
        <f t="shared" si="8"/>
        <v/>
      </c>
      <c r="AA152" s="14" t="str">
        <f t="shared" si="9"/>
        <v>Fully Accessible</v>
      </c>
      <c r="AB152" s="14" t="str">
        <f t="shared" si="10"/>
        <v>Fully Accessible</v>
      </c>
      <c r="AC152" s="14" t="b">
        <f t="shared" si="11"/>
        <v>0</v>
      </c>
      <c r="AE152" s="15" t="s">
        <v>212</v>
      </c>
      <c r="AF152" s="16" t="s">
        <v>51</v>
      </c>
      <c r="AH152" s="17" t="str">
        <f t="shared" si="12"/>
        <v>East Asia &amp; Pacific</v>
      </c>
      <c r="AI152" s="21"/>
      <c r="AJ152" s="21"/>
      <c r="AK152" s="15">
        <f t="shared" si="13"/>
        <v>-0.119052646</v>
      </c>
      <c r="AL152" s="24"/>
      <c r="AM152" s="21"/>
      <c r="AN152" s="21"/>
      <c r="AO152" s="15">
        <f t="shared" si="16"/>
        <v>0</v>
      </c>
      <c r="AP152" s="24"/>
      <c r="AQ152" s="21"/>
      <c r="AR152" s="21"/>
      <c r="AS152" s="15">
        <f t="shared" si="19"/>
        <v>0</v>
      </c>
      <c r="AT152" s="24"/>
      <c r="AU152" s="21"/>
      <c r="AX152" s="14">
        <f t="shared" si="22"/>
        <v>559.6900024</v>
      </c>
      <c r="AY152" s="14">
        <f t="shared" si="23"/>
        <v>170.302002</v>
      </c>
      <c r="AZ152" s="14">
        <f t="shared" si="24"/>
        <v>389.3880005</v>
      </c>
      <c r="BA152" s="17"/>
    </row>
    <row r="153">
      <c r="A153" s="2" t="s">
        <v>137</v>
      </c>
      <c r="B153" s="2">
        <v>2020.0</v>
      </c>
      <c r="C153" s="2">
        <v>298.6820068</v>
      </c>
      <c r="D153" s="2">
        <v>85.81999969</v>
      </c>
      <c r="E153" s="2">
        <v>93.78221635</v>
      </c>
      <c r="F153" s="2">
        <v>0.0</v>
      </c>
      <c r="G153" s="2">
        <v>6.217783652</v>
      </c>
      <c r="H153" s="2">
        <v>0.0</v>
      </c>
      <c r="I153" s="2" t="s">
        <v>64</v>
      </c>
      <c r="J153" s="2" t="s">
        <v>64</v>
      </c>
      <c r="K153" s="2" t="s">
        <v>64</v>
      </c>
      <c r="L153" s="2" t="s">
        <v>64</v>
      </c>
      <c r="M153" s="2" t="s">
        <v>64</v>
      </c>
      <c r="N153" s="2" t="s">
        <v>64</v>
      </c>
      <c r="O153" s="2" t="s">
        <v>64</v>
      </c>
      <c r="P153" s="2" t="s">
        <v>64</v>
      </c>
      <c r="Q153" s="13" t="str">
        <f t="shared" si="1"/>
        <v>French Guiana|2020</v>
      </c>
      <c r="R153" s="14" t="str">
        <f t="shared" si="2"/>
        <v> </v>
      </c>
      <c r="T153" s="14" t="b">
        <f t="shared" si="3"/>
        <v>0</v>
      </c>
      <c r="U153" s="14" t="b">
        <f t="shared" si="29"/>
        <v>0</v>
      </c>
      <c r="V153" s="14" t="b">
        <f t="shared" si="4"/>
        <v>0</v>
      </c>
      <c r="W153" s="14">
        <f t="shared" si="5"/>
        <v>94</v>
      </c>
      <c r="X153" s="14" t="b">
        <f t="shared" si="6"/>
        <v>0</v>
      </c>
      <c r="Y153" s="14" t="b">
        <f t="shared" si="7"/>
        <v>0</v>
      </c>
      <c r="Z153" s="14" t="str">
        <f t="shared" si="8"/>
        <v/>
      </c>
      <c r="AA153" s="14" t="str">
        <f t="shared" si="9"/>
        <v/>
      </c>
      <c r="AB153" s="14" t="str">
        <f t="shared" si="10"/>
        <v/>
      </c>
      <c r="AC153" s="14">
        <f t="shared" si="11"/>
        <v>0</v>
      </c>
      <c r="AE153" s="15" t="s">
        <v>213</v>
      </c>
      <c r="AF153" s="16" t="s">
        <v>53</v>
      </c>
      <c r="AH153" s="17" t="str">
        <f t="shared" si="12"/>
        <v>Europe &amp; Central Asia</v>
      </c>
      <c r="AI153" s="21"/>
      <c r="AJ153" s="21"/>
      <c r="AK153" s="15">
        <f t="shared" si="13"/>
        <v>0.054096592</v>
      </c>
      <c r="AL153" s="24"/>
      <c r="AM153" s="21"/>
      <c r="AN153" s="21"/>
      <c r="AO153" s="15">
        <f t="shared" si="16"/>
        <v>-0.032903712</v>
      </c>
      <c r="AP153" s="24"/>
      <c r="AQ153" s="21"/>
      <c r="AR153" s="21"/>
      <c r="AS153" s="15">
        <f t="shared" si="19"/>
        <v>0.116888982</v>
      </c>
      <c r="AT153" s="24"/>
      <c r="AU153" s="21"/>
      <c r="AX153" s="14" t="str">
        <f t="shared" si="22"/>
        <v>null</v>
      </c>
      <c r="AY153" s="14" t="str">
        <f t="shared" si="23"/>
        <v>null</v>
      </c>
      <c r="AZ153" s="14" t="str">
        <f t="shared" si="24"/>
        <v>null</v>
      </c>
      <c r="BA153" s="8"/>
    </row>
    <row r="154">
      <c r="A154" s="2" t="s">
        <v>138</v>
      </c>
      <c r="B154" s="2">
        <v>2015.0</v>
      </c>
      <c r="C154" s="2">
        <v>273.118988</v>
      </c>
      <c r="D154" s="2">
        <v>61.68300247</v>
      </c>
      <c r="E154" s="2">
        <v>100.0</v>
      </c>
      <c r="F154" s="2">
        <v>0.0</v>
      </c>
      <c r="G154" s="2">
        <v>0.0</v>
      </c>
      <c r="H154" s="2">
        <v>0.0</v>
      </c>
      <c r="I154" s="2" t="s">
        <v>64</v>
      </c>
      <c r="J154" s="2" t="s">
        <v>64</v>
      </c>
      <c r="K154" s="2" t="s">
        <v>64</v>
      </c>
      <c r="L154" s="2" t="s">
        <v>64</v>
      </c>
      <c r="M154" s="2" t="s">
        <v>64</v>
      </c>
      <c r="N154" s="2" t="s">
        <v>64</v>
      </c>
      <c r="O154" s="2" t="s">
        <v>64</v>
      </c>
      <c r="P154" s="2" t="s">
        <v>64</v>
      </c>
      <c r="Q154" s="13" t="str">
        <f t="shared" si="1"/>
        <v>French Polynesia|2015</v>
      </c>
      <c r="R154" s="14">
        <f t="shared" si="2"/>
        <v>5</v>
      </c>
      <c r="T154" s="14">
        <f t="shared" si="3"/>
        <v>0</v>
      </c>
      <c r="U154" s="14" t="str">
        <f t="shared" si="29"/>
        <v>null</v>
      </c>
      <c r="V154" s="14" t="str">
        <f t="shared" si="4"/>
        <v>null</v>
      </c>
      <c r="W154" s="14">
        <f t="shared" si="5"/>
        <v>100</v>
      </c>
      <c r="X154" s="14" t="b">
        <f t="shared" si="6"/>
        <v>0</v>
      </c>
      <c r="Y154" s="14" t="b">
        <f t="shared" si="7"/>
        <v>0</v>
      </c>
      <c r="Z154" s="14" t="str">
        <f t="shared" si="8"/>
        <v/>
      </c>
      <c r="AA154" s="14" t="str">
        <f t="shared" si="9"/>
        <v>Fully Accessible</v>
      </c>
      <c r="AB154" s="14" t="str">
        <f t="shared" si="10"/>
        <v>Fully Accessible</v>
      </c>
      <c r="AC154" s="14" t="b">
        <f t="shared" si="11"/>
        <v>0</v>
      </c>
      <c r="AE154" s="15" t="s">
        <v>214</v>
      </c>
      <c r="AF154" s="16" t="s">
        <v>51</v>
      </c>
      <c r="AH154" s="17" t="str">
        <f t="shared" si="12"/>
        <v>East Asia &amp; Pacific</v>
      </c>
      <c r="AI154" s="21"/>
      <c r="AJ154" s="21"/>
      <c r="AK154" s="15">
        <f t="shared" si="13"/>
        <v>0.003963322</v>
      </c>
      <c r="AL154" s="24"/>
      <c r="AM154" s="21"/>
      <c r="AN154" s="21"/>
      <c r="AO154" s="15">
        <f t="shared" si="16"/>
        <v>0</v>
      </c>
      <c r="AP154" s="24"/>
      <c r="AQ154" s="21"/>
      <c r="AR154" s="21"/>
      <c r="AS154" s="15">
        <f t="shared" si="19"/>
        <v>0</v>
      </c>
      <c r="AT154" s="24"/>
      <c r="AU154" s="21"/>
      <c r="AX154" s="14">
        <f t="shared" si="22"/>
        <v>554.0229797</v>
      </c>
      <c r="AY154" s="14">
        <f t="shared" si="23"/>
        <v>123.6580048</v>
      </c>
      <c r="AZ154" s="14">
        <f t="shared" si="24"/>
        <v>430.3649749</v>
      </c>
      <c r="BA154" s="27"/>
    </row>
    <row r="155">
      <c r="A155" s="2" t="s">
        <v>138</v>
      </c>
      <c r="B155" s="2">
        <v>2020.0</v>
      </c>
      <c r="C155" s="2">
        <v>280.9039917</v>
      </c>
      <c r="D155" s="2">
        <v>61.97500229</v>
      </c>
      <c r="E155" s="2">
        <v>100.0</v>
      </c>
      <c r="F155" s="2">
        <v>0.0</v>
      </c>
      <c r="G155" s="2">
        <v>0.0</v>
      </c>
      <c r="H155" s="2">
        <v>0.0</v>
      </c>
      <c r="I155" s="2" t="s">
        <v>64</v>
      </c>
      <c r="J155" s="2" t="s">
        <v>64</v>
      </c>
      <c r="K155" s="2" t="s">
        <v>64</v>
      </c>
      <c r="L155" s="2" t="s">
        <v>64</v>
      </c>
      <c r="M155" s="2" t="s">
        <v>64</v>
      </c>
      <c r="N155" s="2" t="s">
        <v>64</v>
      </c>
      <c r="O155" s="2" t="s">
        <v>64</v>
      </c>
      <c r="P155" s="2" t="s">
        <v>64</v>
      </c>
      <c r="Q155" s="13" t="str">
        <f t="shared" si="1"/>
        <v>French Polynesia|2020</v>
      </c>
      <c r="R155" s="14" t="str">
        <f t="shared" si="2"/>
        <v> </v>
      </c>
      <c r="T155" s="14" t="b">
        <f t="shared" si="3"/>
        <v>0</v>
      </c>
      <c r="U155" s="14" t="b">
        <f t="shared" si="29"/>
        <v>0</v>
      </c>
      <c r="V155" s="14" t="b">
        <f t="shared" si="4"/>
        <v>0</v>
      </c>
      <c r="W155" s="14">
        <f t="shared" si="5"/>
        <v>100</v>
      </c>
      <c r="X155" s="14" t="b">
        <f t="shared" si="6"/>
        <v>0</v>
      </c>
      <c r="Y155" s="14" t="b">
        <f t="shared" si="7"/>
        <v>0</v>
      </c>
      <c r="Z155" s="14" t="str">
        <f t="shared" si="8"/>
        <v/>
      </c>
      <c r="AA155" s="14" t="str">
        <f t="shared" si="9"/>
        <v/>
      </c>
      <c r="AB155" s="14" t="str">
        <f t="shared" si="10"/>
        <v/>
      </c>
      <c r="AC155" s="14">
        <f t="shared" si="11"/>
        <v>0</v>
      </c>
      <c r="AE155" s="15" t="s">
        <v>215</v>
      </c>
      <c r="AF155" s="16" t="s">
        <v>53</v>
      </c>
      <c r="AH155" s="17" t="str">
        <f t="shared" si="12"/>
        <v>Europe &amp; Central Asia</v>
      </c>
      <c r="AI155" s="21"/>
      <c r="AJ155" s="21"/>
      <c r="AK155" s="15">
        <f t="shared" si="13"/>
        <v>-0.000001140000001</v>
      </c>
      <c r="AL155" s="24"/>
      <c r="AM155" s="21"/>
      <c r="AN155" s="21"/>
      <c r="AO155" s="15">
        <f t="shared" si="16"/>
        <v>0</v>
      </c>
      <c r="AP155" s="24"/>
      <c r="AQ155" s="21"/>
      <c r="AR155" s="21"/>
      <c r="AS155" s="15">
        <f t="shared" si="19"/>
        <v>0</v>
      </c>
      <c r="AT155" s="24"/>
      <c r="AU155" s="21"/>
      <c r="AX155" s="14" t="str">
        <f t="shared" si="22"/>
        <v>null</v>
      </c>
      <c r="AY155" s="14" t="str">
        <f t="shared" si="23"/>
        <v>null</v>
      </c>
      <c r="AZ155" s="14" t="str">
        <f t="shared" si="24"/>
        <v>null</v>
      </c>
      <c r="BA155" s="17"/>
    </row>
    <row r="156">
      <c r="A156" s="2" t="s">
        <v>139</v>
      </c>
      <c r="B156" s="2">
        <v>2015.0</v>
      </c>
      <c r="C156" s="2">
        <v>1947.689941</v>
      </c>
      <c r="D156" s="2">
        <v>88.11799622</v>
      </c>
      <c r="E156" s="2">
        <v>83.85848655</v>
      </c>
      <c r="F156" s="2">
        <v>7.722430434</v>
      </c>
      <c r="G156" s="2">
        <v>4.92418211</v>
      </c>
      <c r="H156" s="2">
        <v>3.494900901</v>
      </c>
      <c r="I156" s="2">
        <v>43.39003316</v>
      </c>
      <c r="J156" s="2">
        <v>10.19264777</v>
      </c>
      <c r="K156" s="2">
        <v>21.81093263</v>
      </c>
      <c r="L156" s="2">
        <v>24.60638644</v>
      </c>
      <c r="M156" s="2">
        <v>89.31533187</v>
      </c>
      <c r="N156" s="2">
        <v>7.389341617</v>
      </c>
      <c r="O156" s="2">
        <v>2.647139145</v>
      </c>
      <c r="P156" s="2">
        <v>0.6481873668</v>
      </c>
      <c r="Q156" s="13" t="str">
        <f t="shared" si="1"/>
        <v>Gabon|2015</v>
      </c>
      <c r="R156" s="14">
        <f t="shared" si="2"/>
        <v>5</v>
      </c>
      <c r="T156" s="14">
        <f t="shared" si="3"/>
        <v>0.29668881</v>
      </c>
      <c r="U156" s="14">
        <f t="shared" si="29"/>
        <v>0.27117117</v>
      </c>
      <c r="V156" s="14">
        <f t="shared" si="4"/>
        <v>0.09824146</v>
      </c>
      <c r="W156" s="14">
        <f t="shared" si="5"/>
        <v>84</v>
      </c>
      <c r="X156" s="14">
        <f t="shared" si="6"/>
        <v>43</v>
      </c>
      <c r="Y156" s="14">
        <f t="shared" si="7"/>
        <v>89</v>
      </c>
      <c r="Z156" s="14" t="str">
        <f t="shared" si="8"/>
        <v/>
      </c>
      <c r="AA156" s="14" t="str">
        <f t="shared" si="9"/>
        <v/>
      </c>
      <c r="AB156" s="14" t="str">
        <f t="shared" si="10"/>
        <v>Fully Accessible</v>
      </c>
      <c r="AC156" s="14">
        <f t="shared" si="11"/>
        <v>0.17292971</v>
      </c>
      <c r="AE156" s="15" t="s">
        <v>216</v>
      </c>
      <c r="AF156" s="16" t="s">
        <v>56</v>
      </c>
      <c r="AH156" s="17" t="str">
        <f t="shared" si="12"/>
        <v>Middle East &amp; North Africa</v>
      </c>
      <c r="AI156" s="21"/>
      <c r="AJ156" s="21"/>
      <c r="AK156" s="15">
        <f t="shared" si="13"/>
        <v>0.38590781</v>
      </c>
      <c r="AL156" s="24"/>
      <c r="AM156" s="21"/>
      <c r="AN156" s="21"/>
      <c r="AO156" s="15">
        <f t="shared" si="16"/>
        <v>0.37677429</v>
      </c>
      <c r="AP156" s="24"/>
      <c r="AQ156" s="21"/>
      <c r="AR156" s="21"/>
      <c r="AS156" s="15">
        <f t="shared" si="19"/>
        <v>0.164570984</v>
      </c>
      <c r="AT156" s="24"/>
      <c r="AU156" s="21"/>
      <c r="AX156" s="14">
        <f t="shared" si="22"/>
        <v>4173.417968</v>
      </c>
      <c r="AY156" s="14">
        <f t="shared" si="23"/>
        <v>178.2099991</v>
      </c>
      <c r="AZ156" s="14">
        <f t="shared" si="24"/>
        <v>3995.207969</v>
      </c>
      <c r="BA156" s="27"/>
    </row>
    <row r="157">
      <c r="A157" s="2" t="s">
        <v>139</v>
      </c>
      <c r="B157" s="2">
        <v>2020.0</v>
      </c>
      <c r="C157" s="2">
        <v>2225.728027</v>
      </c>
      <c r="D157" s="2">
        <v>90.09200287</v>
      </c>
      <c r="E157" s="2">
        <v>85.3419306</v>
      </c>
      <c r="F157" s="2">
        <v>7.735263103</v>
      </c>
      <c r="G157" s="2">
        <v>6.922808357</v>
      </c>
      <c r="H157" s="2" t="s">
        <v>64</v>
      </c>
      <c r="I157" s="2">
        <v>44.74588901</v>
      </c>
      <c r="J157" s="2">
        <v>10.51114859</v>
      </c>
      <c r="K157" s="2">
        <v>44.7429624</v>
      </c>
      <c r="L157" s="2" t="s">
        <v>64</v>
      </c>
      <c r="M157" s="2">
        <v>89.80653917</v>
      </c>
      <c r="N157" s="2">
        <v>7.42998076</v>
      </c>
      <c r="O157" s="2">
        <v>2.763480072</v>
      </c>
      <c r="P157" s="2" t="s">
        <v>64</v>
      </c>
      <c r="Q157" s="13" t="str">
        <f t="shared" si="1"/>
        <v>Gabon|2020</v>
      </c>
      <c r="R157" s="14" t="str">
        <f t="shared" si="2"/>
        <v> </v>
      </c>
      <c r="T157" s="14" t="b">
        <f t="shared" si="3"/>
        <v>0</v>
      </c>
      <c r="U157" s="14" t="b">
        <f t="shared" si="29"/>
        <v>0</v>
      </c>
      <c r="V157" s="14" t="b">
        <f t="shared" si="4"/>
        <v>0</v>
      </c>
      <c r="W157" s="14">
        <f t="shared" si="5"/>
        <v>85</v>
      </c>
      <c r="X157" s="14">
        <f t="shared" si="6"/>
        <v>45</v>
      </c>
      <c r="Y157" s="14">
        <f t="shared" si="7"/>
        <v>90</v>
      </c>
      <c r="Z157" s="14" t="str">
        <f t="shared" si="8"/>
        <v/>
      </c>
      <c r="AA157" s="14" t="str">
        <f t="shared" si="9"/>
        <v/>
      </c>
      <c r="AB157" s="14" t="str">
        <f t="shared" si="10"/>
        <v/>
      </c>
      <c r="AC157" s="14">
        <f t="shared" si="11"/>
        <v>0</v>
      </c>
      <c r="AE157" s="15" t="s">
        <v>217</v>
      </c>
      <c r="AF157" s="16" t="s">
        <v>50</v>
      </c>
      <c r="AH157" s="17" t="str">
        <f t="shared" si="12"/>
        <v>South Asia</v>
      </c>
      <c r="AI157" s="21"/>
      <c r="AJ157" s="21"/>
      <c r="AK157" s="15">
        <f t="shared" si="13"/>
        <v>0.138796548</v>
      </c>
      <c r="AL157" s="24"/>
      <c r="AM157" s="21"/>
      <c r="AN157" s="21"/>
      <c r="AO157" s="15">
        <f t="shared" si="16"/>
        <v>0.2897808</v>
      </c>
      <c r="AP157" s="24"/>
      <c r="AQ157" s="21"/>
      <c r="AR157" s="21"/>
      <c r="AS157" s="15">
        <f t="shared" si="19"/>
        <v>-0.155671798</v>
      </c>
      <c r="AT157" s="24"/>
      <c r="AU157" s="21"/>
      <c r="AX157" s="14" t="str">
        <f t="shared" si="22"/>
        <v>null</v>
      </c>
      <c r="AY157" s="14" t="str">
        <f t="shared" si="23"/>
        <v>null</v>
      </c>
      <c r="AZ157" s="14" t="str">
        <f t="shared" si="24"/>
        <v>null</v>
      </c>
      <c r="BA157" s="27"/>
    </row>
    <row r="158">
      <c r="A158" s="2" t="s">
        <v>140</v>
      </c>
      <c r="B158" s="2">
        <v>2015.0</v>
      </c>
      <c r="C158" s="2">
        <v>2085.860107</v>
      </c>
      <c r="D158" s="2">
        <v>59.22800064</v>
      </c>
      <c r="E158" s="2">
        <v>79.2101665</v>
      </c>
      <c r="F158" s="2">
        <v>9.073370006</v>
      </c>
      <c r="G158" s="2">
        <v>11.62401462</v>
      </c>
      <c r="H158" s="2">
        <v>0.09244887038</v>
      </c>
      <c r="I158" s="2">
        <v>68.25489257</v>
      </c>
      <c r="J158" s="2">
        <v>15.34008454</v>
      </c>
      <c r="K158" s="2">
        <v>16.32238996</v>
      </c>
      <c r="L158" s="2">
        <v>0.08263292471</v>
      </c>
      <c r="M158" s="2">
        <v>86.75167126</v>
      </c>
      <c r="N158" s="2">
        <v>4.759421567</v>
      </c>
      <c r="O158" s="2">
        <v>8.389701102</v>
      </c>
      <c r="P158" s="2">
        <v>0.0992060715</v>
      </c>
      <c r="Q158" s="13" t="str">
        <f t="shared" si="1"/>
        <v>Gambia|2015</v>
      </c>
      <c r="R158" s="14">
        <f t="shared" si="2"/>
        <v>5</v>
      </c>
      <c r="T158" s="14">
        <f t="shared" si="3"/>
        <v>0.346048128</v>
      </c>
      <c r="U158" s="14">
        <f t="shared" si="29"/>
        <v>0.186726128</v>
      </c>
      <c r="V158" s="14">
        <f t="shared" si="4"/>
        <v>0.243046602</v>
      </c>
      <c r="W158" s="14">
        <f t="shared" si="5"/>
        <v>79</v>
      </c>
      <c r="X158" s="14">
        <f t="shared" si="6"/>
        <v>68</v>
      </c>
      <c r="Y158" s="14">
        <f t="shared" si="7"/>
        <v>87</v>
      </c>
      <c r="Z158" s="14" t="str">
        <f t="shared" si="8"/>
        <v/>
      </c>
      <c r="AA158" s="14" t="str">
        <f t="shared" si="9"/>
        <v/>
      </c>
      <c r="AB158" s="14" t="str">
        <f t="shared" si="10"/>
        <v>Fully Accessible</v>
      </c>
      <c r="AC158" s="14">
        <f t="shared" si="11"/>
        <v>-0.056320474</v>
      </c>
      <c r="AE158" s="15" t="s">
        <v>218</v>
      </c>
      <c r="AF158" s="16" t="s">
        <v>51</v>
      </c>
      <c r="AH158" s="17" t="str">
        <f t="shared" si="12"/>
        <v>East Asia &amp; Pacific</v>
      </c>
      <c r="AI158" s="21"/>
      <c r="AJ158" s="21"/>
      <c r="AK158" s="15">
        <f t="shared" si="13"/>
        <v>0.00547893</v>
      </c>
      <c r="AL158" s="24"/>
      <c r="AM158" s="21"/>
      <c r="AN158" s="21"/>
      <c r="AO158" s="15">
        <f t="shared" si="16"/>
        <v>0.02862271</v>
      </c>
      <c r="AP158" s="24"/>
      <c r="AQ158" s="21"/>
      <c r="AR158" s="21"/>
      <c r="AS158" s="15">
        <f t="shared" si="19"/>
        <v>-0.000099948</v>
      </c>
      <c r="AT158" s="24"/>
      <c r="AU158" s="21"/>
      <c r="AX158" s="14">
        <f t="shared" si="22"/>
        <v>4502.52417</v>
      </c>
      <c r="AY158" s="14">
        <f t="shared" si="23"/>
        <v>121.8099976</v>
      </c>
      <c r="AZ158" s="14">
        <f t="shared" si="24"/>
        <v>4380.714172</v>
      </c>
      <c r="BA158" s="17"/>
    </row>
    <row r="159">
      <c r="A159" s="2" t="s">
        <v>140</v>
      </c>
      <c r="B159" s="2">
        <v>2020.0</v>
      </c>
      <c r="C159" s="2">
        <v>2416.664063</v>
      </c>
      <c r="D159" s="2">
        <v>62.58199692</v>
      </c>
      <c r="E159" s="2">
        <v>80.94040714</v>
      </c>
      <c r="F159" s="2">
        <v>8.597391391</v>
      </c>
      <c r="G159" s="2">
        <v>10.35285207</v>
      </c>
      <c r="H159" s="2">
        <v>0.1093493927</v>
      </c>
      <c r="I159" s="2">
        <v>69.18852321</v>
      </c>
      <c r="J159" s="2">
        <v>16.49783239</v>
      </c>
      <c r="K159" s="2">
        <v>14.24376547</v>
      </c>
      <c r="L159" s="2">
        <v>0.0698789368</v>
      </c>
      <c r="M159" s="2">
        <v>87.96690427</v>
      </c>
      <c r="N159" s="2">
        <v>3.873689522</v>
      </c>
      <c r="O159" s="2">
        <v>8.026457278</v>
      </c>
      <c r="P159" s="2">
        <v>0.1329489253</v>
      </c>
      <c r="Q159" s="13" t="str">
        <f t="shared" si="1"/>
        <v>Gambia|2020</v>
      </c>
      <c r="R159" s="14" t="str">
        <f t="shared" si="2"/>
        <v> </v>
      </c>
      <c r="T159" s="14" t="b">
        <f t="shared" si="3"/>
        <v>0</v>
      </c>
      <c r="U159" s="14" t="b">
        <f t="shared" si="29"/>
        <v>0</v>
      </c>
      <c r="V159" s="14" t="b">
        <f t="shared" si="4"/>
        <v>0</v>
      </c>
      <c r="W159" s="14">
        <f t="shared" si="5"/>
        <v>81</v>
      </c>
      <c r="X159" s="14">
        <f t="shared" si="6"/>
        <v>69</v>
      </c>
      <c r="Y159" s="14">
        <f t="shared" si="7"/>
        <v>88</v>
      </c>
      <c r="Z159" s="14" t="str">
        <f t="shared" si="8"/>
        <v/>
      </c>
      <c r="AA159" s="14" t="str">
        <f t="shared" si="9"/>
        <v/>
      </c>
      <c r="AB159" s="14" t="str">
        <f t="shared" si="10"/>
        <v/>
      </c>
      <c r="AC159" s="14">
        <f t="shared" si="11"/>
        <v>0</v>
      </c>
      <c r="AE159" s="15" t="s">
        <v>219</v>
      </c>
      <c r="AF159" s="16" t="s">
        <v>57</v>
      </c>
      <c r="AH159" s="17" t="str">
        <f t="shared" si="12"/>
        <v>Latin America &amp; Caribbean</v>
      </c>
      <c r="AI159" s="21"/>
      <c r="AJ159" s="21"/>
      <c r="AK159" s="15">
        <f t="shared" si="13"/>
        <v>0.29363575</v>
      </c>
      <c r="AL159" s="24"/>
      <c r="AM159" s="21"/>
      <c r="AN159" s="21"/>
      <c r="AO159" s="15">
        <f t="shared" si="16"/>
        <v>0.528700746</v>
      </c>
      <c r="AP159" s="24"/>
      <c r="AQ159" s="21"/>
      <c r="AR159" s="21"/>
      <c r="AS159" s="15">
        <f t="shared" si="19"/>
        <v>0.115643056</v>
      </c>
      <c r="AT159" s="24"/>
      <c r="AU159" s="21"/>
      <c r="AX159" s="14" t="str">
        <f t="shared" si="22"/>
        <v>null</v>
      </c>
      <c r="AY159" s="14" t="str">
        <f t="shared" si="23"/>
        <v>null</v>
      </c>
      <c r="AZ159" s="14" t="str">
        <f t="shared" si="24"/>
        <v>null</v>
      </c>
      <c r="BA159" s="17"/>
    </row>
    <row r="160">
      <c r="A160" s="2" t="s">
        <v>141</v>
      </c>
      <c r="B160" s="2">
        <v>2015.0</v>
      </c>
      <c r="C160" s="2">
        <v>4024.179932</v>
      </c>
      <c r="D160" s="2">
        <v>57.44799805</v>
      </c>
      <c r="E160" s="2">
        <v>95.75472951</v>
      </c>
      <c r="F160" s="2">
        <v>0.9519645583</v>
      </c>
      <c r="G160" s="2">
        <v>3.239894931</v>
      </c>
      <c r="H160" s="2">
        <v>0.0534109954</v>
      </c>
      <c r="I160" s="2">
        <v>91.29515059</v>
      </c>
      <c r="J160" s="2">
        <v>1.893756292</v>
      </c>
      <c r="K160" s="2">
        <v>6.700216388</v>
      </c>
      <c r="L160" s="2">
        <v>0.1108767321</v>
      </c>
      <c r="M160" s="2">
        <v>99.05796545</v>
      </c>
      <c r="N160" s="2">
        <v>0.2543750856</v>
      </c>
      <c r="O160" s="2">
        <v>0.6768136054</v>
      </c>
      <c r="P160" s="2">
        <v>0.01084585945</v>
      </c>
      <c r="Q160" s="13" t="str">
        <f t="shared" si="1"/>
        <v>Georgia|2015</v>
      </c>
      <c r="R160" s="14">
        <f t="shared" si="2"/>
        <v>5</v>
      </c>
      <c r="T160" s="14">
        <f t="shared" si="3"/>
        <v>0.318682038</v>
      </c>
      <c r="U160" s="14">
        <f t="shared" si="29"/>
        <v>0.595346722</v>
      </c>
      <c r="V160" s="14">
        <f t="shared" si="4"/>
        <v>0.077637698</v>
      </c>
      <c r="W160" s="14">
        <f t="shared" si="5"/>
        <v>96</v>
      </c>
      <c r="X160" s="14">
        <f t="shared" si="6"/>
        <v>91</v>
      </c>
      <c r="Y160" s="14">
        <f t="shared" si="7"/>
        <v>99</v>
      </c>
      <c r="Z160" s="14" t="str">
        <f t="shared" si="8"/>
        <v/>
      </c>
      <c r="AA160" s="14" t="str">
        <f t="shared" si="9"/>
        <v/>
      </c>
      <c r="AB160" s="14" t="str">
        <f t="shared" si="10"/>
        <v>Fully Accessible</v>
      </c>
      <c r="AC160" s="14">
        <f t="shared" si="11"/>
        <v>0.517709024</v>
      </c>
      <c r="AE160" s="15" t="s">
        <v>220</v>
      </c>
      <c r="AF160" s="16" t="s">
        <v>51</v>
      </c>
      <c r="AH160" s="17" t="str">
        <f t="shared" si="12"/>
        <v>East Asia &amp; Pacific</v>
      </c>
      <c r="AI160" s="21"/>
      <c r="AJ160" s="21"/>
      <c r="AK160" s="15">
        <f t="shared" si="13"/>
        <v>0.771701816</v>
      </c>
      <c r="AL160" s="24"/>
      <c r="AM160" s="21"/>
      <c r="AN160" s="21"/>
      <c r="AO160" s="15">
        <f t="shared" si="16"/>
        <v>0.816142134</v>
      </c>
      <c r="AP160" s="24"/>
      <c r="AQ160" s="21"/>
      <c r="AR160" s="21"/>
      <c r="AS160" s="15">
        <f t="shared" si="19"/>
        <v>0.234025716</v>
      </c>
      <c r="AT160" s="24"/>
      <c r="AU160" s="21"/>
      <c r="AX160" s="14">
        <f t="shared" si="22"/>
        <v>8013.354981</v>
      </c>
      <c r="AY160" s="14">
        <f t="shared" si="23"/>
        <v>116.9009934</v>
      </c>
      <c r="AZ160" s="14">
        <f t="shared" si="24"/>
        <v>7896.453988</v>
      </c>
      <c r="BA160" s="17"/>
    </row>
    <row r="161">
      <c r="A161" s="2" t="s">
        <v>141</v>
      </c>
      <c r="B161" s="2">
        <v>2020.0</v>
      </c>
      <c r="C161" s="2">
        <v>3989.175049</v>
      </c>
      <c r="D161" s="2">
        <v>59.4529953</v>
      </c>
      <c r="E161" s="2">
        <v>97.3481397</v>
      </c>
      <c r="F161" s="2">
        <v>0.0</v>
      </c>
      <c r="G161" s="2">
        <v>2.632761379</v>
      </c>
      <c r="H161" s="2">
        <v>0.01909892327</v>
      </c>
      <c r="I161" s="2">
        <v>94.2718842</v>
      </c>
      <c r="J161" s="2">
        <v>0.0</v>
      </c>
      <c r="K161" s="2">
        <v>5.703923618</v>
      </c>
      <c r="L161" s="2">
        <v>0.02419218345</v>
      </c>
      <c r="M161" s="2">
        <v>99.44615394</v>
      </c>
      <c r="N161" s="2">
        <v>0.0</v>
      </c>
      <c r="O161" s="2">
        <v>0.538220742</v>
      </c>
      <c r="P161" s="2">
        <v>0.01562531586</v>
      </c>
      <c r="Q161" s="13" t="str">
        <f t="shared" si="1"/>
        <v>Georgia|2020</v>
      </c>
      <c r="R161" s="14" t="str">
        <f t="shared" si="2"/>
        <v> </v>
      </c>
      <c r="T161" s="14" t="b">
        <f t="shared" si="3"/>
        <v>0</v>
      </c>
      <c r="U161" s="14" t="b">
        <f t="shared" si="29"/>
        <v>0</v>
      </c>
      <c r="V161" s="14" t="b">
        <f t="shared" si="4"/>
        <v>0</v>
      </c>
      <c r="W161" s="14">
        <f t="shared" si="5"/>
        <v>97</v>
      </c>
      <c r="X161" s="14">
        <f t="shared" si="6"/>
        <v>94</v>
      </c>
      <c r="Y161" s="14">
        <f t="shared" si="7"/>
        <v>99</v>
      </c>
      <c r="Z161" s="14" t="str">
        <f t="shared" si="8"/>
        <v/>
      </c>
      <c r="AA161" s="14" t="str">
        <f t="shared" si="9"/>
        <v/>
      </c>
      <c r="AB161" s="14" t="str">
        <f t="shared" si="10"/>
        <v/>
      </c>
      <c r="AC161" s="14">
        <f t="shared" si="11"/>
        <v>0</v>
      </c>
      <c r="AE161" s="15" t="s">
        <v>221</v>
      </c>
      <c r="AF161" s="16" t="s">
        <v>57</v>
      </c>
      <c r="AH161" s="17" t="str">
        <f t="shared" si="12"/>
        <v>Latin America &amp; Caribbean</v>
      </c>
      <c r="AI161" s="21"/>
      <c r="AJ161" s="21"/>
      <c r="AK161" s="15">
        <f t="shared" si="13"/>
        <v>0.55145036</v>
      </c>
      <c r="AL161" s="24"/>
      <c r="AM161" s="21"/>
      <c r="AN161" s="21"/>
      <c r="AO161" s="15">
        <f t="shared" si="16"/>
        <v>1.153305448</v>
      </c>
      <c r="AP161" s="24"/>
      <c r="AQ161" s="21"/>
      <c r="AR161" s="21"/>
      <c r="AS161" s="15">
        <f t="shared" si="19"/>
        <v>0.158939962</v>
      </c>
      <c r="AT161" s="24"/>
      <c r="AU161" s="21"/>
      <c r="AX161" s="14" t="str">
        <f t="shared" si="22"/>
        <v>null</v>
      </c>
      <c r="AY161" s="14" t="str">
        <f t="shared" si="23"/>
        <v>null</v>
      </c>
      <c r="AZ161" s="14" t="str">
        <f t="shared" si="24"/>
        <v>null</v>
      </c>
      <c r="BA161" s="8"/>
    </row>
    <row r="162">
      <c r="A162" s="2" t="s">
        <v>142</v>
      </c>
      <c r="B162" s="2">
        <v>2015.0</v>
      </c>
      <c r="C162" s="2">
        <v>81787.41406</v>
      </c>
      <c r="D162" s="2">
        <v>77.20000458</v>
      </c>
      <c r="E162" s="2">
        <v>100.0000024</v>
      </c>
      <c r="F162" s="2">
        <v>0.0</v>
      </c>
      <c r="G162" s="2">
        <v>0.0</v>
      </c>
      <c r="H162" s="2">
        <v>0.0</v>
      </c>
      <c r="I162" s="2">
        <v>100.0</v>
      </c>
      <c r="J162" s="2">
        <v>0.0</v>
      </c>
      <c r="K162" s="2">
        <v>0.0</v>
      </c>
      <c r="L162" s="2">
        <v>0.0</v>
      </c>
      <c r="M162" s="2">
        <v>100.0</v>
      </c>
      <c r="N162" s="2">
        <v>0.0</v>
      </c>
      <c r="O162" s="2">
        <v>0.0</v>
      </c>
      <c r="P162" s="2">
        <v>0.0</v>
      </c>
      <c r="Q162" s="13" t="str">
        <f t="shared" si="1"/>
        <v>Germany|2015</v>
      </c>
      <c r="R162" s="14">
        <f t="shared" si="2"/>
        <v>5</v>
      </c>
      <c r="T162" s="14">
        <f t="shared" si="3"/>
        <v>-0.00000001999999881</v>
      </c>
      <c r="U162" s="14">
        <f t="shared" si="29"/>
        <v>0</v>
      </c>
      <c r="V162" s="14">
        <f t="shared" si="4"/>
        <v>0</v>
      </c>
      <c r="W162" s="14">
        <f t="shared" si="5"/>
        <v>100</v>
      </c>
      <c r="X162" s="14">
        <f t="shared" si="6"/>
        <v>100</v>
      </c>
      <c r="Y162" s="14">
        <f t="shared" si="7"/>
        <v>100</v>
      </c>
      <c r="Z162" s="14" t="str">
        <f t="shared" si="8"/>
        <v/>
      </c>
      <c r="AA162" s="14" t="str">
        <f t="shared" si="9"/>
        <v/>
      </c>
      <c r="AB162" s="14" t="str">
        <f t="shared" si="10"/>
        <v>Fully Accessible</v>
      </c>
      <c r="AC162" s="14">
        <f t="shared" si="11"/>
        <v>0</v>
      </c>
      <c r="AE162" s="15" t="s">
        <v>222</v>
      </c>
      <c r="AF162" s="16" t="s">
        <v>57</v>
      </c>
      <c r="AH162" s="17" t="str">
        <f t="shared" si="12"/>
        <v>Latin America &amp; Caribbean</v>
      </c>
      <c r="AI162" s="21"/>
      <c r="AJ162" s="21"/>
      <c r="AK162" s="15">
        <f t="shared" si="13"/>
        <v>0.571472634</v>
      </c>
      <c r="AL162" s="24"/>
      <c r="AM162" s="21"/>
      <c r="AN162" s="21"/>
      <c r="AO162" s="15">
        <f t="shared" si="16"/>
        <v>1.50236293</v>
      </c>
      <c r="AP162" s="24"/>
      <c r="AQ162" s="21"/>
      <c r="AR162" s="21"/>
      <c r="AS162" s="15">
        <f t="shared" si="19"/>
        <v>0.260691412</v>
      </c>
      <c r="AT162" s="24"/>
      <c r="AU162" s="21"/>
      <c r="AX162" s="14">
        <f t="shared" si="22"/>
        <v>165571.3594</v>
      </c>
      <c r="AY162" s="14">
        <f t="shared" si="23"/>
        <v>154.6530075</v>
      </c>
      <c r="AZ162" s="14">
        <f t="shared" si="24"/>
        <v>165416.7064</v>
      </c>
      <c r="BA162" s="27"/>
    </row>
    <row r="163">
      <c r="A163" s="2" t="s">
        <v>142</v>
      </c>
      <c r="B163" s="2">
        <v>2020.0</v>
      </c>
      <c r="C163" s="2">
        <v>83783.94531</v>
      </c>
      <c r="D163" s="2">
        <v>77.45300293</v>
      </c>
      <c r="E163" s="2">
        <v>100.0000023</v>
      </c>
      <c r="F163" s="2">
        <v>0.0</v>
      </c>
      <c r="G163" s="2">
        <v>0.0</v>
      </c>
      <c r="H163" s="2">
        <v>0.0</v>
      </c>
      <c r="I163" s="2">
        <v>100.0</v>
      </c>
      <c r="J163" s="2">
        <v>0.0</v>
      </c>
      <c r="K163" s="2">
        <v>0.0</v>
      </c>
      <c r="L163" s="2">
        <v>0.0</v>
      </c>
      <c r="M163" s="2">
        <v>100.0</v>
      </c>
      <c r="N163" s="2">
        <v>0.0</v>
      </c>
      <c r="O163" s="2">
        <v>0.0</v>
      </c>
      <c r="P163" s="2">
        <v>0.0</v>
      </c>
      <c r="Q163" s="13" t="str">
        <f t="shared" si="1"/>
        <v>Germany|2020</v>
      </c>
      <c r="R163" s="14" t="str">
        <f t="shared" si="2"/>
        <v> </v>
      </c>
      <c r="T163" s="14" t="b">
        <f t="shared" si="3"/>
        <v>0</v>
      </c>
      <c r="U163" s="14" t="b">
        <f t="shared" si="29"/>
        <v>0</v>
      </c>
      <c r="V163" s="14" t="b">
        <f t="shared" si="4"/>
        <v>0</v>
      </c>
      <c r="W163" s="14">
        <f t="shared" si="5"/>
        <v>100</v>
      </c>
      <c r="X163" s="14">
        <f t="shared" si="6"/>
        <v>100</v>
      </c>
      <c r="Y163" s="14">
        <f t="shared" si="7"/>
        <v>100</v>
      </c>
      <c r="Z163" s="14" t="str">
        <f t="shared" si="8"/>
        <v/>
      </c>
      <c r="AA163" s="14" t="str">
        <f t="shared" si="9"/>
        <v/>
      </c>
      <c r="AB163" s="14" t="str">
        <f t="shared" si="10"/>
        <v/>
      </c>
      <c r="AC163" s="14">
        <f t="shared" si="11"/>
        <v>0</v>
      </c>
      <c r="AE163" s="15" t="s">
        <v>223</v>
      </c>
      <c r="AF163" s="16" t="s">
        <v>50</v>
      </c>
      <c r="AH163" s="17" t="str">
        <f t="shared" si="12"/>
        <v>South Asia</v>
      </c>
      <c r="AI163" s="21"/>
      <c r="AJ163" s="21"/>
      <c r="AK163" s="15">
        <f t="shared" si="13"/>
        <v>0.418266708</v>
      </c>
      <c r="AL163" s="24"/>
      <c r="AM163" s="21"/>
      <c r="AN163" s="21"/>
      <c r="AO163" s="15">
        <f t="shared" si="16"/>
        <v>0.570754178</v>
      </c>
      <c r="AP163" s="24"/>
      <c r="AQ163" s="21"/>
      <c r="AR163" s="21"/>
      <c r="AS163" s="15">
        <f t="shared" si="19"/>
        <v>0.210076072</v>
      </c>
      <c r="AT163" s="24"/>
      <c r="AU163" s="21"/>
      <c r="AX163" s="14" t="str">
        <f t="shared" si="22"/>
        <v>null</v>
      </c>
      <c r="AY163" s="14" t="str">
        <f t="shared" si="23"/>
        <v>null</v>
      </c>
      <c r="AZ163" s="14" t="str">
        <f t="shared" si="24"/>
        <v>null</v>
      </c>
      <c r="BA163" s="17"/>
    </row>
    <row r="164">
      <c r="A164" s="2" t="s">
        <v>143</v>
      </c>
      <c r="B164" s="2">
        <v>2015.0</v>
      </c>
      <c r="C164" s="2">
        <v>27849.20313</v>
      </c>
      <c r="D164" s="2">
        <v>54.08599854</v>
      </c>
      <c r="E164" s="2">
        <v>80.15796123</v>
      </c>
      <c r="F164" s="2">
        <v>7.89759919</v>
      </c>
      <c r="G164" s="2">
        <v>4.426643676</v>
      </c>
      <c r="H164" s="2">
        <v>7.517795899</v>
      </c>
      <c r="I164" s="2">
        <v>67.20830477</v>
      </c>
      <c r="J164" s="2">
        <v>11.1534648</v>
      </c>
      <c r="K164" s="2">
        <v>6.335259242</v>
      </c>
      <c r="L164" s="2">
        <v>15.30297119</v>
      </c>
      <c r="M164" s="2">
        <v>91.15101984</v>
      </c>
      <c r="N164" s="2">
        <v>5.133670929</v>
      </c>
      <c r="O164" s="2">
        <v>2.806405888</v>
      </c>
      <c r="P164" s="2">
        <v>0.9089033445</v>
      </c>
      <c r="Q164" s="13" t="str">
        <f t="shared" si="1"/>
        <v>Ghana|2015</v>
      </c>
      <c r="R164" s="14">
        <f t="shared" si="2"/>
        <v>5</v>
      </c>
      <c r="T164" s="14">
        <f t="shared" si="3"/>
        <v>1.126607084</v>
      </c>
      <c r="U164" s="14">
        <f t="shared" si="29"/>
        <v>0.936889056</v>
      </c>
      <c r="V164" s="14">
        <f t="shared" si="4"/>
        <v>0.995247936</v>
      </c>
      <c r="W164" s="14">
        <f t="shared" si="5"/>
        <v>80</v>
      </c>
      <c r="X164" s="14">
        <f t="shared" si="6"/>
        <v>67</v>
      </c>
      <c r="Y164" s="14">
        <f t="shared" si="7"/>
        <v>91</v>
      </c>
      <c r="Z164" s="14" t="str">
        <f t="shared" si="8"/>
        <v/>
      </c>
      <c r="AA164" s="14" t="str">
        <f t="shared" si="9"/>
        <v/>
      </c>
      <c r="AB164" s="14" t="str">
        <f t="shared" si="10"/>
        <v>Fully Accessible</v>
      </c>
      <c r="AC164" s="14">
        <f t="shared" si="11"/>
        <v>-0.05835888</v>
      </c>
      <c r="AE164" s="15" t="s">
        <v>224</v>
      </c>
      <c r="AF164" s="16" t="s">
        <v>53</v>
      </c>
      <c r="AH164" s="17" t="str">
        <f t="shared" si="12"/>
        <v>Europe &amp; Central Asia</v>
      </c>
      <c r="AI164" s="21"/>
      <c r="AJ164" s="21"/>
      <c r="AK164" s="15">
        <f t="shared" si="13"/>
        <v>0.146904334</v>
      </c>
      <c r="AL164" s="24"/>
      <c r="AM164" s="21"/>
      <c r="AN164" s="21"/>
      <c r="AO164" s="15">
        <f t="shared" si="16"/>
        <v>0.292419354</v>
      </c>
      <c r="AP164" s="24"/>
      <c r="AQ164" s="21"/>
      <c r="AR164" s="21"/>
      <c r="AS164" s="15">
        <f t="shared" si="19"/>
        <v>0.050967742</v>
      </c>
      <c r="AT164" s="24"/>
      <c r="AU164" s="21"/>
      <c r="AX164" s="14">
        <f t="shared" si="22"/>
        <v>58922.14844</v>
      </c>
      <c r="AY164" s="14">
        <f t="shared" si="23"/>
        <v>111.4349976</v>
      </c>
      <c r="AZ164" s="14">
        <f t="shared" si="24"/>
        <v>58810.71344</v>
      </c>
      <c r="BA164" s="27"/>
    </row>
    <row r="165">
      <c r="A165" s="2" t="s">
        <v>143</v>
      </c>
      <c r="B165" s="2">
        <v>2020.0</v>
      </c>
      <c r="C165" s="2">
        <v>31072.94531</v>
      </c>
      <c r="D165" s="2">
        <v>57.34899902</v>
      </c>
      <c r="E165" s="2">
        <v>85.79099665</v>
      </c>
      <c r="F165" s="2">
        <v>6.586062113</v>
      </c>
      <c r="G165" s="2">
        <v>2.812216176</v>
      </c>
      <c r="H165" s="2">
        <v>4.810725058</v>
      </c>
      <c r="I165" s="2">
        <v>71.89275005</v>
      </c>
      <c r="J165" s="2">
        <v>11.93454827</v>
      </c>
      <c r="K165" s="2">
        <v>4.999356483</v>
      </c>
      <c r="L165" s="2">
        <v>11.17334519</v>
      </c>
      <c r="M165" s="2">
        <v>96.12725952</v>
      </c>
      <c r="N165" s="2">
        <v>2.608342455</v>
      </c>
      <c r="O165" s="2">
        <v>1.185613803</v>
      </c>
      <c r="P165" s="2">
        <v>0.07878421819</v>
      </c>
      <c r="Q165" s="13" t="str">
        <f t="shared" si="1"/>
        <v>Ghana|2020</v>
      </c>
      <c r="R165" s="14" t="str">
        <f t="shared" si="2"/>
        <v> </v>
      </c>
      <c r="T165" s="14" t="b">
        <f t="shared" si="3"/>
        <v>0</v>
      </c>
      <c r="U165" s="14" t="b">
        <f t="shared" si="29"/>
        <v>0</v>
      </c>
      <c r="V165" s="14" t="b">
        <f t="shared" si="4"/>
        <v>0</v>
      </c>
      <c r="W165" s="14">
        <f t="shared" si="5"/>
        <v>86</v>
      </c>
      <c r="X165" s="14">
        <f t="shared" si="6"/>
        <v>72</v>
      </c>
      <c r="Y165" s="14">
        <f t="shared" si="7"/>
        <v>96</v>
      </c>
      <c r="Z165" s="14" t="str">
        <f t="shared" si="8"/>
        <v/>
      </c>
      <c r="AA165" s="14" t="str">
        <f t="shared" si="9"/>
        <v/>
      </c>
      <c r="AB165" s="14" t="str">
        <f t="shared" si="10"/>
        <v/>
      </c>
      <c r="AC165" s="14">
        <f t="shared" si="11"/>
        <v>0</v>
      </c>
      <c r="AE165" s="15" t="s">
        <v>225</v>
      </c>
      <c r="AF165" s="16" t="s">
        <v>53</v>
      </c>
      <c r="AH165" s="17" t="str">
        <f t="shared" si="12"/>
        <v>Europe &amp; Central Asia</v>
      </c>
      <c r="AI165" s="21"/>
      <c r="AJ165" s="21"/>
      <c r="AK165" s="15">
        <f t="shared" si="13"/>
        <v>0.001460766</v>
      </c>
      <c r="AL165" s="24"/>
      <c r="AM165" s="21"/>
      <c r="AN165" s="21"/>
      <c r="AO165" s="15">
        <f t="shared" si="16"/>
        <v>0</v>
      </c>
      <c r="AP165" s="24"/>
      <c r="AQ165" s="21"/>
      <c r="AR165" s="21"/>
      <c r="AS165" s="15">
        <f t="shared" si="19"/>
        <v>0</v>
      </c>
      <c r="AT165" s="24"/>
      <c r="AU165" s="21"/>
      <c r="AX165" s="14" t="str">
        <f t="shared" si="22"/>
        <v>null</v>
      </c>
      <c r="AY165" s="14" t="str">
        <f t="shared" si="23"/>
        <v>null</v>
      </c>
      <c r="AZ165" s="14" t="str">
        <f t="shared" si="24"/>
        <v>null</v>
      </c>
      <c r="BA165" s="27"/>
    </row>
    <row r="166">
      <c r="A166" s="2" t="s">
        <v>144</v>
      </c>
      <c r="B166" s="2">
        <v>2015.0</v>
      </c>
      <c r="C166" s="2">
        <v>33.74200058</v>
      </c>
      <c r="D166" s="2">
        <v>100.0</v>
      </c>
      <c r="E166" s="2">
        <v>100.0</v>
      </c>
      <c r="F166" s="2">
        <v>0.0</v>
      </c>
      <c r="G166" s="2">
        <v>0.0</v>
      </c>
      <c r="H166" s="2">
        <v>0.0</v>
      </c>
      <c r="I166" s="2" t="s">
        <v>64</v>
      </c>
      <c r="J166" s="2" t="s">
        <v>64</v>
      </c>
      <c r="K166" s="2" t="s">
        <v>64</v>
      </c>
      <c r="L166" s="2" t="s">
        <v>64</v>
      </c>
      <c r="M166" s="2">
        <v>100.0</v>
      </c>
      <c r="N166" s="2">
        <v>0.0</v>
      </c>
      <c r="O166" s="2">
        <v>0.0</v>
      </c>
      <c r="P166" s="2">
        <v>0.0</v>
      </c>
      <c r="Q166" s="13" t="str">
        <f t="shared" si="1"/>
        <v>Gibraltar|2015</v>
      </c>
      <c r="R166" s="14">
        <f t="shared" si="2"/>
        <v>5</v>
      </c>
      <c r="T166" s="14">
        <f t="shared" si="3"/>
        <v>0</v>
      </c>
      <c r="U166" s="14" t="str">
        <f t="shared" si="29"/>
        <v>null</v>
      </c>
      <c r="V166" s="14">
        <f t="shared" si="4"/>
        <v>0</v>
      </c>
      <c r="W166" s="14">
        <f t="shared" si="5"/>
        <v>100</v>
      </c>
      <c r="X166" s="14" t="b">
        <f t="shared" si="6"/>
        <v>0</v>
      </c>
      <c r="Y166" s="14">
        <f t="shared" si="7"/>
        <v>100</v>
      </c>
      <c r="Z166" s="14" t="str">
        <f t="shared" si="8"/>
        <v/>
      </c>
      <c r="AA166" s="14" t="str">
        <f t="shared" si="9"/>
        <v>Fully Accessible</v>
      </c>
      <c r="AB166" s="14" t="str">
        <f t="shared" si="10"/>
        <v>Fully Accessible</v>
      </c>
      <c r="AC166" s="14" t="b">
        <f t="shared" si="11"/>
        <v>0</v>
      </c>
      <c r="AE166" s="15" t="s">
        <v>226</v>
      </c>
      <c r="AF166" s="16" t="s">
        <v>57</v>
      </c>
      <c r="AH166" s="17" t="str">
        <f t="shared" si="12"/>
        <v>Latin America &amp; Caribbean</v>
      </c>
      <c r="AI166" s="21"/>
      <c r="AJ166" s="21"/>
      <c r="AK166" s="15">
        <f t="shared" si="13"/>
        <v>0.114910048</v>
      </c>
      <c r="AL166" s="24"/>
      <c r="AM166" s="21"/>
      <c r="AN166" s="21"/>
      <c r="AO166" s="15">
        <f t="shared" si="16"/>
        <v>0</v>
      </c>
      <c r="AP166" s="24"/>
      <c r="AQ166" s="21"/>
      <c r="AR166" s="21"/>
      <c r="AS166" s="15">
        <f t="shared" si="19"/>
        <v>0</v>
      </c>
      <c r="AT166" s="24"/>
      <c r="AU166" s="21"/>
      <c r="AX166" s="14">
        <f t="shared" si="22"/>
        <v>67.43300247</v>
      </c>
      <c r="AY166" s="14">
        <f t="shared" si="23"/>
        <v>200</v>
      </c>
      <c r="AZ166" s="14">
        <f t="shared" si="24"/>
        <v>-132.5669975</v>
      </c>
      <c r="BA166" s="17"/>
    </row>
    <row r="167">
      <c r="A167" s="2" t="s">
        <v>144</v>
      </c>
      <c r="B167" s="2">
        <v>2020.0</v>
      </c>
      <c r="C167" s="2">
        <v>33.69100189</v>
      </c>
      <c r="D167" s="2">
        <v>100.0</v>
      </c>
      <c r="E167" s="2">
        <v>100.0</v>
      </c>
      <c r="F167" s="2">
        <v>0.0</v>
      </c>
      <c r="G167" s="2">
        <v>0.0</v>
      </c>
      <c r="H167" s="2">
        <v>0.0</v>
      </c>
      <c r="I167" s="2" t="s">
        <v>64</v>
      </c>
      <c r="J167" s="2" t="s">
        <v>64</v>
      </c>
      <c r="K167" s="2" t="s">
        <v>64</v>
      </c>
      <c r="L167" s="2" t="s">
        <v>64</v>
      </c>
      <c r="M167" s="2">
        <v>100.0</v>
      </c>
      <c r="N167" s="2">
        <v>0.0</v>
      </c>
      <c r="O167" s="2">
        <v>0.0</v>
      </c>
      <c r="P167" s="2">
        <v>0.0</v>
      </c>
      <c r="Q167" s="13" t="str">
        <f t="shared" si="1"/>
        <v>Gibraltar|2020</v>
      </c>
      <c r="R167" s="14" t="str">
        <f t="shared" si="2"/>
        <v> </v>
      </c>
      <c r="T167" s="14" t="b">
        <f t="shared" si="3"/>
        <v>0</v>
      </c>
      <c r="U167" s="14" t="b">
        <f t="shared" si="29"/>
        <v>0</v>
      </c>
      <c r="V167" s="14" t="b">
        <f t="shared" si="4"/>
        <v>0</v>
      </c>
      <c r="W167" s="14">
        <f t="shared" si="5"/>
        <v>100</v>
      </c>
      <c r="X167" s="14" t="b">
        <f t="shared" si="6"/>
        <v>0</v>
      </c>
      <c r="Y167" s="14">
        <f t="shared" si="7"/>
        <v>100</v>
      </c>
      <c r="Z167" s="14" t="str">
        <f t="shared" si="8"/>
        <v/>
      </c>
      <c r="AA167" s="14" t="str">
        <f t="shared" si="9"/>
        <v/>
      </c>
      <c r="AB167" s="14" t="str">
        <f t="shared" si="10"/>
        <v/>
      </c>
      <c r="AC167" s="14">
        <f t="shared" si="11"/>
        <v>0</v>
      </c>
      <c r="AE167" s="15" t="s">
        <v>227</v>
      </c>
      <c r="AF167" s="16" t="s">
        <v>53</v>
      </c>
      <c r="AH167" s="17" t="str">
        <f t="shared" si="12"/>
        <v>Europe &amp; Central Asia</v>
      </c>
      <c r="AI167" s="21"/>
      <c r="AJ167" s="21"/>
      <c r="AK167" s="15">
        <f t="shared" si="13"/>
        <v>-0.024679888</v>
      </c>
      <c r="AL167" s="24"/>
      <c r="AM167" s="21"/>
      <c r="AN167" s="21"/>
      <c r="AO167" s="15">
        <f t="shared" si="16"/>
        <v>0</v>
      </c>
      <c r="AP167" s="24"/>
      <c r="AQ167" s="21"/>
      <c r="AR167" s="21"/>
      <c r="AS167" s="15">
        <f t="shared" si="19"/>
        <v>0</v>
      </c>
      <c r="AT167" s="24"/>
      <c r="AU167" s="21"/>
      <c r="AX167" s="14" t="str">
        <f t="shared" si="22"/>
        <v>null</v>
      </c>
      <c r="AY167" s="14" t="str">
        <f t="shared" si="23"/>
        <v>null</v>
      </c>
      <c r="AZ167" s="14" t="str">
        <f t="shared" si="24"/>
        <v>null</v>
      </c>
      <c r="BA167" s="17"/>
    </row>
    <row r="168">
      <c r="A168" s="2" t="s">
        <v>145</v>
      </c>
      <c r="B168" s="2">
        <v>2015.0</v>
      </c>
      <c r="C168" s="2">
        <v>10659.7373</v>
      </c>
      <c r="D168" s="2">
        <v>78.04600525</v>
      </c>
      <c r="E168" s="2">
        <v>100.0000046</v>
      </c>
      <c r="F168" s="2">
        <v>0.0</v>
      </c>
      <c r="G168" s="2">
        <v>0.0</v>
      </c>
      <c r="H168" s="2">
        <v>0.0</v>
      </c>
      <c r="I168" s="2">
        <v>100.0</v>
      </c>
      <c r="J168" s="2">
        <v>0.0</v>
      </c>
      <c r="K168" s="2">
        <v>0.0</v>
      </c>
      <c r="L168" s="2">
        <v>0.0</v>
      </c>
      <c r="M168" s="2">
        <v>100.0</v>
      </c>
      <c r="N168" s="2">
        <v>0.0</v>
      </c>
      <c r="O168" s="2">
        <v>0.0</v>
      </c>
      <c r="P168" s="2">
        <v>0.0</v>
      </c>
      <c r="Q168" s="13" t="str">
        <f t="shared" si="1"/>
        <v>Greece|2015</v>
      </c>
      <c r="R168" s="14">
        <f t="shared" si="2"/>
        <v>5</v>
      </c>
      <c r="T168" s="14">
        <f t="shared" si="3"/>
        <v>-0.0000004599999983</v>
      </c>
      <c r="U168" s="14">
        <f t="shared" si="29"/>
        <v>0</v>
      </c>
      <c r="V168" s="14">
        <f t="shared" si="4"/>
        <v>0</v>
      </c>
      <c r="W168" s="14">
        <f t="shared" si="5"/>
        <v>100</v>
      </c>
      <c r="X168" s="14">
        <f t="shared" si="6"/>
        <v>100</v>
      </c>
      <c r="Y168" s="14">
        <f t="shared" si="7"/>
        <v>100</v>
      </c>
      <c r="Z168" s="14" t="str">
        <f t="shared" si="8"/>
        <v/>
      </c>
      <c r="AA168" s="14" t="str">
        <f t="shared" si="9"/>
        <v/>
      </c>
      <c r="AB168" s="14" t="str">
        <f t="shared" si="10"/>
        <v>Fully Accessible</v>
      </c>
      <c r="AC168" s="14">
        <f t="shared" si="11"/>
        <v>0</v>
      </c>
      <c r="AE168" s="15" t="s">
        <v>228</v>
      </c>
      <c r="AF168" s="16" t="s">
        <v>51</v>
      </c>
      <c r="AH168" s="17" t="str">
        <f t="shared" si="12"/>
        <v>East Asia &amp; Pacific</v>
      </c>
      <c r="AI168" s="21"/>
      <c r="AJ168" s="21"/>
      <c r="AK168" s="15">
        <f t="shared" si="13"/>
        <v>0.091730048</v>
      </c>
      <c r="AL168" s="24"/>
      <c r="AM168" s="21"/>
      <c r="AN168" s="21"/>
      <c r="AO168" s="15">
        <f t="shared" si="16"/>
        <v>0</v>
      </c>
      <c r="AP168" s="24"/>
      <c r="AQ168" s="21"/>
      <c r="AR168" s="21"/>
      <c r="AS168" s="15">
        <f t="shared" si="19"/>
        <v>0</v>
      </c>
      <c r="AT168" s="24"/>
      <c r="AU168" s="21"/>
      <c r="AX168" s="14">
        <f t="shared" si="22"/>
        <v>21082.79296</v>
      </c>
      <c r="AY168" s="14">
        <f t="shared" si="23"/>
        <v>157.7610092</v>
      </c>
      <c r="AZ168" s="14">
        <f t="shared" si="24"/>
        <v>20925.03195</v>
      </c>
      <c r="BA168" s="17"/>
    </row>
    <row r="169">
      <c r="A169" s="2" t="s">
        <v>145</v>
      </c>
      <c r="B169" s="2">
        <v>2020.0</v>
      </c>
      <c r="C169" s="2">
        <v>10423.05566</v>
      </c>
      <c r="D169" s="2">
        <v>79.71500397</v>
      </c>
      <c r="E169" s="2">
        <v>100.0000023</v>
      </c>
      <c r="F169" s="2">
        <v>0.0</v>
      </c>
      <c r="G169" s="2">
        <v>0.0</v>
      </c>
      <c r="H169" s="2">
        <v>0.0</v>
      </c>
      <c r="I169" s="2">
        <v>100.0</v>
      </c>
      <c r="J169" s="2">
        <v>0.0</v>
      </c>
      <c r="K169" s="2">
        <v>0.0</v>
      </c>
      <c r="L169" s="2">
        <v>0.0</v>
      </c>
      <c r="M169" s="2">
        <v>100.0</v>
      </c>
      <c r="N169" s="2">
        <v>0.0</v>
      </c>
      <c r="O169" s="2">
        <v>0.0</v>
      </c>
      <c r="P169" s="2">
        <v>0.0</v>
      </c>
      <c r="Q169" s="13" t="str">
        <f t="shared" si="1"/>
        <v>Greece|2020</v>
      </c>
      <c r="R169" s="14" t="str">
        <f t="shared" si="2"/>
        <v> </v>
      </c>
      <c r="T169" s="14" t="b">
        <f t="shared" si="3"/>
        <v>0</v>
      </c>
      <c r="U169" s="14" t="b">
        <f t="shared" si="29"/>
        <v>0</v>
      </c>
      <c r="V169" s="14" t="b">
        <f t="shared" si="4"/>
        <v>0</v>
      </c>
      <c r="W169" s="14">
        <f t="shared" si="5"/>
        <v>100</v>
      </c>
      <c r="X169" s="14">
        <f t="shared" si="6"/>
        <v>100</v>
      </c>
      <c r="Y169" s="14">
        <f t="shared" si="7"/>
        <v>100</v>
      </c>
      <c r="Z169" s="14" t="str">
        <f t="shared" si="8"/>
        <v/>
      </c>
      <c r="AA169" s="14" t="str">
        <f t="shared" si="9"/>
        <v/>
      </c>
      <c r="AB169" s="14" t="str">
        <f t="shared" si="10"/>
        <v/>
      </c>
      <c r="AC169" s="14">
        <f t="shared" si="11"/>
        <v>0</v>
      </c>
      <c r="AE169" s="15" t="s">
        <v>229</v>
      </c>
      <c r="AF169" s="16" t="s">
        <v>53</v>
      </c>
      <c r="AH169" s="17" t="str">
        <f t="shared" si="12"/>
        <v>Europe &amp; Central Asia</v>
      </c>
      <c r="AI169" s="21"/>
      <c r="AJ169" s="21"/>
      <c r="AK169" s="15">
        <f t="shared" si="13"/>
        <v>0.398786068</v>
      </c>
      <c r="AL169" s="24"/>
      <c r="AM169" s="21"/>
      <c r="AN169" s="21"/>
      <c r="AO169" s="15">
        <f t="shared" si="16"/>
        <v>0.587709474</v>
      </c>
      <c r="AP169" s="24"/>
      <c r="AQ169" s="21"/>
      <c r="AR169" s="21"/>
      <c r="AS169" s="15">
        <f t="shared" si="19"/>
        <v>0.123009016</v>
      </c>
      <c r="AT169" s="24"/>
      <c r="AU169" s="21"/>
      <c r="AX169" s="14" t="str">
        <f t="shared" si="22"/>
        <v>null</v>
      </c>
      <c r="AY169" s="14" t="str">
        <f t="shared" si="23"/>
        <v>null</v>
      </c>
      <c r="AZ169" s="14" t="str">
        <f t="shared" si="24"/>
        <v>null</v>
      </c>
      <c r="BA169" s="8"/>
    </row>
    <row r="170">
      <c r="A170" s="2" t="s">
        <v>146</v>
      </c>
      <c r="B170" s="2">
        <v>2015.0</v>
      </c>
      <c r="C170" s="2">
        <v>56.37799835</v>
      </c>
      <c r="D170" s="2">
        <v>86.07099915</v>
      </c>
      <c r="E170" s="2">
        <v>100.0</v>
      </c>
      <c r="F170" s="2">
        <v>0.0</v>
      </c>
      <c r="G170" s="2">
        <v>0.0</v>
      </c>
      <c r="H170" s="2">
        <v>0.0</v>
      </c>
      <c r="I170" s="2">
        <v>100.0</v>
      </c>
      <c r="J170" s="2">
        <v>0.0</v>
      </c>
      <c r="K170" s="2">
        <v>0.0</v>
      </c>
      <c r="L170" s="2">
        <v>0.0</v>
      </c>
      <c r="M170" s="2">
        <v>100.0</v>
      </c>
      <c r="N170" s="2">
        <v>0.0</v>
      </c>
      <c r="O170" s="2">
        <v>0.0</v>
      </c>
      <c r="P170" s="2">
        <v>0.0</v>
      </c>
      <c r="Q170" s="13" t="str">
        <f t="shared" si="1"/>
        <v>Greenland|2015</v>
      </c>
      <c r="R170" s="14">
        <f t="shared" si="2"/>
        <v>5</v>
      </c>
      <c r="T170" s="14">
        <f t="shared" si="3"/>
        <v>0.0000003399999997</v>
      </c>
      <c r="U170" s="14">
        <f t="shared" si="29"/>
        <v>0</v>
      </c>
      <c r="V170" s="14">
        <f t="shared" si="4"/>
        <v>0</v>
      </c>
      <c r="W170" s="14">
        <f t="shared" si="5"/>
        <v>100</v>
      </c>
      <c r="X170" s="14">
        <f t="shared" si="6"/>
        <v>100</v>
      </c>
      <c r="Y170" s="14">
        <f t="shared" si="7"/>
        <v>100</v>
      </c>
      <c r="Z170" s="14" t="str">
        <f t="shared" si="8"/>
        <v/>
      </c>
      <c r="AA170" s="14" t="str">
        <f t="shared" si="9"/>
        <v/>
      </c>
      <c r="AB170" s="14" t="str">
        <f t="shared" si="10"/>
        <v>Fully Accessible</v>
      </c>
      <c r="AC170" s="14">
        <f t="shared" si="11"/>
        <v>0</v>
      </c>
      <c r="AE170" s="15" t="s">
        <v>230</v>
      </c>
      <c r="AF170" s="16" t="s">
        <v>63</v>
      </c>
      <c r="AH170" s="17" t="str">
        <f t="shared" si="12"/>
        <v>Sub-Saharan Africa</v>
      </c>
      <c r="AI170" s="21"/>
      <c r="AJ170" s="21"/>
      <c r="AK170" s="15">
        <f t="shared" si="13"/>
        <v>0.017693962</v>
      </c>
      <c r="AL170" s="24"/>
      <c r="AM170" s="21"/>
      <c r="AN170" s="21"/>
      <c r="AO170" s="15">
        <f t="shared" si="16"/>
        <v>0</v>
      </c>
      <c r="AP170" s="24"/>
      <c r="AQ170" s="21"/>
      <c r="AR170" s="21"/>
      <c r="AS170" s="15">
        <f t="shared" si="19"/>
        <v>0</v>
      </c>
      <c r="AT170" s="24"/>
      <c r="AU170" s="21"/>
      <c r="AX170" s="14">
        <f t="shared" si="22"/>
        <v>113.1499977</v>
      </c>
      <c r="AY170" s="14">
        <f t="shared" si="23"/>
        <v>173.3530045</v>
      </c>
      <c r="AZ170" s="14">
        <f t="shared" si="24"/>
        <v>-60.20300675</v>
      </c>
      <c r="BA170" s="27"/>
    </row>
    <row r="171">
      <c r="A171" s="2" t="s">
        <v>146</v>
      </c>
      <c r="B171" s="2">
        <v>2020.0</v>
      </c>
      <c r="C171" s="2">
        <v>56.77199936</v>
      </c>
      <c r="D171" s="2">
        <v>87.28200531</v>
      </c>
      <c r="E171" s="2">
        <v>100.0000017</v>
      </c>
      <c r="F171" s="2">
        <v>0.0</v>
      </c>
      <c r="G171" s="2">
        <v>0.0</v>
      </c>
      <c r="H171" s="2">
        <v>0.0</v>
      </c>
      <c r="I171" s="2">
        <v>100.0</v>
      </c>
      <c r="J171" s="2">
        <v>0.0</v>
      </c>
      <c r="K171" s="2">
        <v>0.0</v>
      </c>
      <c r="L171" s="2">
        <v>0.0</v>
      </c>
      <c r="M171" s="2">
        <v>100.0</v>
      </c>
      <c r="N171" s="2">
        <v>0.0</v>
      </c>
      <c r="O171" s="2">
        <v>0.0</v>
      </c>
      <c r="P171" s="2">
        <v>0.0</v>
      </c>
      <c r="Q171" s="13" t="str">
        <f t="shared" si="1"/>
        <v>Greenland|2020</v>
      </c>
      <c r="R171" s="14" t="str">
        <f t="shared" si="2"/>
        <v> </v>
      </c>
      <c r="T171" s="14" t="b">
        <f t="shared" si="3"/>
        <v>0</v>
      </c>
      <c r="U171" s="14" t="b">
        <f t="shared" si="29"/>
        <v>0</v>
      </c>
      <c r="V171" s="14" t="b">
        <f t="shared" si="4"/>
        <v>0</v>
      </c>
      <c r="W171" s="14">
        <f t="shared" si="5"/>
        <v>100</v>
      </c>
      <c r="X171" s="14">
        <f t="shared" si="6"/>
        <v>100</v>
      </c>
      <c r="Y171" s="14">
        <f t="shared" si="7"/>
        <v>100</v>
      </c>
      <c r="Z171" s="14" t="str">
        <f t="shared" si="8"/>
        <v/>
      </c>
      <c r="AA171" s="14" t="str">
        <f t="shared" si="9"/>
        <v/>
      </c>
      <c r="AB171" s="14" t="str">
        <f t="shared" si="10"/>
        <v/>
      </c>
      <c r="AC171" s="14">
        <f t="shared" si="11"/>
        <v>0</v>
      </c>
      <c r="AE171" s="15" t="s">
        <v>231</v>
      </c>
      <c r="AF171" s="16" t="s">
        <v>53</v>
      </c>
      <c r="AH171" s="17" t="str">
        <f t="shared" si="12"/>
        <v>Europe &amp; Central Asia</v>
      </c>
      <c r="AI171" s="21"/>
      <c r="AJ171" s="21"/>
      <c r="AK171" s="15">
        <f t="shared" si="13"/>
        <v>0</v>
      </c>
      <c r="AL171" s="24"/>
      <c r="AM171" s="21"/>
      <c r="AN171" s="21"/>
      <c r="AO171" s="15">
        <f t="shared" si="16"/>
        <v>0</v>
      </c>
      <c r="AP171" s="24"/>
      <c r="AQ171" s="21"/>
      <c r="AR171" s="21"/>
      <c r="AS171" s="15">
        <f t="shared" si="19"/>
        <v>0</v>
      </c>
      <c r="AT171" s="24"/>
      <c r="AU171" s="21"/>
      <c r="AX171" s="14" t="str">
        <f t="shared" si="22"/>
        <v>null</v>
      </c>
      <c r="AY171" s="14" t="str">
        <f t="shared" si="23"/>
        <v>null</v>
      </c>
      <c r="AZ171" s="14" t="str">
        <f t="shared" si="24"/>
        <v>null</v>
      </c>
      <c r="BA171" s="17"/>
    </row>
    <row r="172">
      <c r="A172" s="2" t="s">
        <v>147</v>
      </c>
      <c r="B172" s="2">
        <v>2015.0</v>
      </c>
      <c r="C172" s="2">
        <v>109.6029968</v>
      </c>
      <c r="D172" s="2">
        <v>35.99700165</v>
      </c>
      <c r="E172" s="2">
        <v>95.62865044</v>
      </c>
      <c r="F172" s="2">
        <v>1.161481584</v>
      </c>
      <c r="G172" s="2">
        <v>0.0</v>
      </c>
      <c r="H172" s="2">
        <v>3.209867972</v>
      </c>
      <c r="I172" s="2" t="s">
        <v>64</v>
      </c>
      <c r="J172" s="2" t="s">
        <v>64</v>
      </c>
      <c r="K172" s="2" t="s">
        <v>64</v>
      </c>
      <c r="L172" s="2" t="s">
        <v>64</v>
      </c>
      <c r="M172" s="2" t="s">
        <v>64</v>
      </c>
      <c r="N172" s="2" t="s">
        <v>64</v>
      </c>
      <c r="O172" s="2" t="s">
        <v>64</v>
      </c>
      <c r="P172" s="2" t="s">
        <v>64</v>
      </c>
      <c r="Q172" s="13" t="str">
        <f t="shared" si="1"/>
        <v>Grenada|2015</v>
      </c>
      <c r="R172" s="14">
        <f t="shared" si="2"/>
        <v>2</v>
      </c>
      <c r="T172" s="14">
        <f t="shared" si="3"/>
        <v>0</v>
      </c>
      <c r="U172" s="14" t="str">
        <f t="shared" si="29"/>
        <v>null</v>
      </c>
      <c r="V172" s="14" t="str">
        <f t="shared" si="4"/>
        <v>null</v>
      </c>
      <c r="W172" s="14">
        <f t="shared" si="5"/>
        <v>96</v>
      </c>
      <c r="X172" s="14" t="b">
        <f t="shared" si="6"/>
        <v>0</v>
      </c>
      <c r="Y172" s="14" t="b">
        <f t="shared" si="7"/>
        <v>0</v>
      </c>
      <c r="Z172" s="14" t="str">
        <f t="shared" si="8"/>
        <v/>
      </c>
      <c r="AA172" s="14" t="str">
        <f t="shared" si="9"/>
        <v>Fully Accessible</v>
      </c>
      <c r="AB172" s="14" t="str">
        <f t="shared" si="10"/>
        <v>Fully Accessible</v>
      </c>
      <c r="AC172" s="14" t="b">
        <f t="shared" si="11"/>
        <v>0</v>
      </c>
      <c r="AE172" s="15" t="s">
        <v>232</v>
      </c>
      <c r="AF172" s="16" t="s">
        <v>53</v>
      </c>
      <c r="AH172" s="17" t="str">
        <f t="shared" si="12"/>
        <v>Europe &amp; Central Asia</v>
      </c>
      <c r="AI172" s="21"/>
      <c r="AJ172" s="21"/>
      <c r="AK172" s="15">
        <f t="shared" si="13"/>
        <v>0.093078528</v>
      </c>
      <c r="AL172" s="24"/>
      <c r="AM172" s="21"/>
      <c r="AN172" s="21"/>
      <c r="AO172" s="15">
        <f t="shared" si="16"/>
        <v>0.28679859</v>
      </c>
      <c r="AP172" s="24"/>
      <c r="AQ172" s="21"/>
      <c r="AR172" s="21"/>
      <c r="AS172" s="15">
        <f t="shared" si="19"/>
        <v>0.011332944</v>
      </c>
      <c r="AT172" s="24"/>
      <c r="AU172" s="21"/>
      <c r="AX172" s="14">
        <f t="shared" si="22"/>
        <v>220.4769973</v>
      </c>
      <c r="AY172" s="14">
        <f t="shared" si="23"/>
        <v>72.16100311</v>
      </c>
      <c r="AZ172" s="14">
        <f t="shared" si="24"/>
        <v>148.3159942</v>
      </c>
      <c r="BA172" s="27"/>
    </row>
    <row r="173">
      <c r="A173" s="2" t="s">
        <v>147</v>
      </c>
      <c r="B173" s="2">
        <v>2017.0</v>
      </c>
      <c r="C173" s="2">
        <v>110.8740005</v>
      </c>
      <c r="D173" s="2">
        <v>36.16400146</v>
      </c>
      <c r="E173" s="2">
        <v>95.62865044</v>
      </c>
      <c r="F173" s="2">
        <v>1.161481584</v>
      </c>
      <c r="G173" s="2">
        <v>0.0</v>
      </c>
      <c r="H173" s="2">
        <v>3.209867972</v>
      </c>
      <c r="I173" s="2" t="s">
        <v>64</v>
      </c>
      <c r="J173" s="2" t="s">
        <v>64</v>
      </c>
      <c r="K173" s="2" t="s">
        <v>64</v>
      </c>
      <c r="L173" s="2" t="s">
        <v>64</v>
      </c>
      <c r="M173" s="2" t="s">
        <v>64</v>
      </c>
      <c r="N173" s="2" t="s">
        <v>64</v>
      </c>
      <c r="O173" s="2" t="s">
        <v>64</v>
      </c>
      <c r="P173" s="2" t="s">
        <v>64</v>
      </c>
      <c r="Q173" s="13" t="str">
        <f t="shared" si="1"/>
        <v>Grenada|2017</v>
      </c>
      <c r="R173" s="14" t="str">
        <f t="shared" si="2"/>
        <v> </v>
      </c>
      <c r="T173" s="14" t="b">
        <f t="shared" si="3"/>
        <v>0</v>
      </c>
      <c r="U173" s="14" t="b">
        <f t="shared" si="29"/>
        <v>0</v>
      </c>
      <c r="V173" s="14" t="b">
        <f t="shared" si="4"/>
        <v>0</v>
      </c>
      <c r="W173" s="14">
        <f t="shared" si="5"/>
        <v>96</v>
      </c>
      <c r="X173" s="14" t="b">
        <f t="shared" si="6"/>
        <v>0</v>
      </c>
      <c r="Y173" s="14" t="b">
        <f t="shared" si="7"/>
        <v>0</v>
      </c>
      <c r="Z173" s="14" t="str">
        <f t="shared" si="8"/>
        <v/>
      </c>
      <c r="AA173" s="14" t="str">
        <f t="shared" si="9"/>
        <v/>
      </c>
      <c r="AB173" s="14" t="str">
        <f t="shared" si="10"/>
        <v/>
      </c>
      <c r="AC173" s="14">
        <f t="shared" si="11"/>
        <v>0</v>
      </c>
      <c r="AE173" s="15" t="s">
        <v>233</v>
      </c>
      <c r="AF173" s="16" t="s">
        <v>63</v>
      </c>
      <c r="AH173" s="17" t="str">
        <f t="shared" si="12"/>
        <v>Sub-Saharan Africa</v>
      </c>
      <c r="AI173" s="21"/>
      <c r="AJ173" s="21"/>
      <c r="AK173" s="15">
        <f t="shared" si="13"/>
        <v>0.658545426</v>
      </c>
      <c r="AL173" s="24"/>
      <c r="AM173" s="21"/>
      <c r="AN173" s="21"/>
      <c r="AO173" s="15">
        <f t="shared" si="16"/>
        <v>0.657951734</v>
      </c>
      <c r="AP173" s="24"/>
      <c r="AQ173" s="21"/>
      <c r="AR173" s="21"/>
      <c r="AS173" s="15">
        <f t="shared" si="19"/>
        <v>0.523632384</v>
      </c>
      <c r="AT173" s="24"/>
      <c r="AU173" s="21"/>
      <c r="AX173" s="14" t="str">
        <f t="shared" si="22"/>
        <v>null</v>
      </c>
      <c r="AY173" s="14" t="str">
        <f t="shared" si="23"/>
        <v>null</v>
      </c>
      <c r="AZ173" s="14" t="str">
        <f t="shared" si="24"/>
        <v>null</v>
      </c>
      <c r="BA173" s="27"/>
    </row>
    <row r="174">
      <c r="A174" s="2" t="s">
        <v>148</v>
      </c>
      <c r="B174" s="2">
        <v>2015.0</v>
      </c>
      <c r="C174" s="2">
        <v>400.2600098</v>
      </c>
      <c r="D174" s="2">
        <v>98.44300079</v>
      </c>
      <c r="E174" s="2">
        <v>99.61102813</v>
      </c>
      <c r="F174" s="2">
        <v>0.0</v>
      </c>
      <c r="G174" s="2">
        <v>0.3889718724</v>
      </c>
      <c r="H174" s="2">
        <v>0.0</v>
      </c>
      <c r="I174" s="2" t="s">
        <v>64</v>
      </c>
      <c r="J174" s="2" t="s">
        <v>64</v>
      </c>
      <c r="K174" s="2" t="s">
        <v>64</v>
      </c>
      <c r="L174" s="2" t="s">
        <v>64</v>
      </c>
      <c r="M174" s="2" t="s">
        <v>64</v>
      </c>
      <c r="N174" s="2" t="s">
        <v>64</v>
      </c>
      <c r="O174" s="2" t="s">
        <v>64</v>
      </c>
      <c r="P174" s="2" t="s">
        <v>64</v>
      </c>
      <c r="Q174" s="13" t="str">
        <f t="shared" si="1"/>
        <v>Guadeloupe|2015</v>
      </c>
      <c r="R174" s="14">
        <f t="shared" si="2"/>
        <v>5</v>
      </c>
      <c r="T174" s="14">
        <f t="shared" si="3"/>
        <v>0.038419582</v>
      </c>
      <c r="U174" s="14" t="str">
        <f t="shared" si="29"/>
        <v>null</v>
      </c>
      <c r="V174" s="14" t="str">
        <f t="shared" si="4"/>
        <v>null</v>
      </c>
      <c r="W174" s="14">
        <f t="shared" si="5"/>
        <v>100</v>
      </c>
      <c r="X174" s="14" t="b">
        <f t="shared" si="6"/>
        <v>0</v>
      </c>
      <c r="Y174" s="14" t="b">
        <f t="shared" si="7"/>
        <v>0</v>
      </c>
      <c r="Z174" s="14" t="str">
        <f t="shared" si="8"/>
        <v/>
      </c>
      <c r="AA174" s="14" t="str">
        <f t="shared" si="9"/>
        <v>Fully Accessible</v>
      </c>
      <c r="AB174" s="14" t="str">
        <f t="shared" si="10"/>
        <v>Fully Accessible</v>
      </c>
      <c r="AC174" s="14" t="b">
        <f t="shared" si="11"/>
        <v>0</v>
      </c>
      <c r="AE174" s="15" t="s">
        <v>234</v>
      </c>
      <c r="AF174" s="16" t="s">
        <v>57</v>
      </c>
      <c r="AH174" s="17" t="str">
        <f t="shared" si="12"/>
        <v>Latin America &amp; Caribbean</v>
      </c>
      <c r="AI174" s="21"/>
      <c r="AJ174" s="21"/>
      <c r="AK174" s="15">
        <f t="shared" si="13"/>
        <v>0.007016146</v>
      </c>
      <c r="AL174" s="24"/>
      <c r="AM174" s="21"/>
      <c r="AN174" s="21"/>
      <c r="AO174" s="15">
        <f t="shared" si="16"/>
        <v>0</v>
      </c>
      <c r="AP174" s="24"/>
      <c r="AQ174" s="21"/>
      <c r="AR174" s="21"/>
      <c r="AS174" s="15">
        <f t="shared" si="19"/>
        <v>0.007016146</v>
      </c>
      <c r="AT174" s="24"/>
      <c r="AU174" s="21"/>
      <c r="AX174" s="14">
        <f t="shared" si="22"/>
        <v>800.387024</v>
      </c>
      <c r="AY174" s="14">
        <f t="shared" si="23"/>
        <v>196.9419937</v>
      </c>
      <c r="AZ174" s="14">
        <f t="shared" si="24"/>
        <v>603.4450303</v>
      </c>
      <c r="BA174" s="17"/>
    </row>
    <row r="175">
      <c r="A175" s="2" t="s">
        <v>148</v>
      </c>
      <c r="B175" s="2">
        <v>2020.0</v>
      </c>
      <c r="C175" s="2">
        <v>400.1270142</v>
      </c>
      <c r="D175" s="2">
        <v>98.49899292</v>
      </c>
      <c r="E175" s="2">
        <v>99.80312604</v>
      </c>
      <c r="F175" s="2">
        <v>0.0</v>
      </c>
      <c r="G175" s="2">
        <v>0.1968739613</v>
      </c>
      <c r="H175" s="2">
        <v>0.0</v>
      </c>
      <c r="I175" s="2" t="s">
        <v>64</v>
      </c>
      <c r="J175" s="2" t="s">
        <v>64</v>
      </c>
      <c r="K175" s="2" t="s">
        <v>64</v>
      </c>
      <c r="L175" s="2" t="s">
        <v>64</v>
      </c>
      <c r="M175" s="2" t="s">
        <v>64</v>
      </c>
      <c r="N175" s="2" t="s">
        <v>64</v>
      </c>
      <c r="O175" s="2" t="s">
        <v>64</v>
      </c>
      <c r="P175" s="2" t="s">
        <v>64</v>
      </c>
      <c r="Q175" s="13" t="str">
        <f t="shared" si="1"/>
        <v>Guadeloupe|2020</v>
      </c>
      <c r="R175" s="14" t="str">
        <f t="shared" si="2"/>
        <v> </v>
      </c>
      <c r="T175" s="14" t="b">
        <f t="shared" si="3"/>
        <v>0</v>
      </c>
      <c r="U175" s="14" t="b">
        <f t="shared" si="29"/>
        <v>0</v>
      </c>
      <c r="V175" s="14" t="b">
        <f t="shared" si="4"/>
        <v>0</v>
      </c>
      <c r="W175" s="14">
        <f t="shared" si="5"/>
        <v>100</v>
      </c>
      <c r="X175" s="14" t="b">
        <f t="shared" si="6"/>
        <v>0</v>
      </c>
      <c r="Y175" s="14" t="b">
        <f t="shared" si="7"/>
        <v>0</v>
      </c>
      <c r="Z175" s="14" t="str">
        <f t="shared" si="8"/>
        <v/>
      </c>
      <c r="AA175" s="14" t="str">
        <f t="shared" si="9"/>
        <v/>
      </c>
      <c r="AB175" s="14" t="str">
        <f t="shared" si="10"/>
        <v/>
      </c>
      <c r="AC175" s="14">
        <f t="shared" si="11"/>
        <v>0</v>
      </c>
      <c r="AE175" s="15" t="s">
        <v>235</v>
      </c>
      <c r="AF175" s="16" t="s">
        <v>63</v>
      </c>
      <c r="AH175" s="17" t="str">
        <f t="shared" si="12"/>
        <v>Sub-Saharan Africa</v>
      </c>
      <c r="AI175" s="21"/>
      <c r="AJ175" s="21"/>
      <c r="AK175" s="15">
        <f t="shared" si="13"/>
        <v>0.03</v>
      </c>
      <c r="AL175" s="24"/>
      <c r="AM175" s="21"/>
      <c r="AN175" s="21"/>
      <c r="AO175" s="15">
        <f t="shared" si="16"/>
        <v>0</v>
      </c>
      <c r="AP175" s="24"/>
      <c r="AQ175" s="21"/>
      <c r="AR175" s="21"/>
      <c r="AS175" s="15">
        <f t="shared" si="19"/>
        <v>0</v>
      </c>
      <c r="AT175" s="24"/>
      <c r="AU175" s="21"/>
      <c r="AX175" s="14" t="str">
        <f t="shared" si="22"/>
        <v>null</v>
      </c>
      <c r="AY175" s="14" t="str">
        <f t="shared" si="23"/>
        <v>null</v>
      </c>
      <c r="AZ175" s="14" t="str">
        <f t="shared" si="24"/>
        <v>null</v>
      </c>
      <c r="BA175" s="17"/>
    </row>
    <row r="176">
      <c r="A176" s="2" t="s">
        <v>149</v>
      </c>
      <c r="B176" s="2">
        <v>2015.0</v>
      </c>
      <c r="C176" s="2">
        <v>161.8509979</v>
      </c>
      <c r="D176" s="2">
        <v>94.53399658</v>
      </c>
      <c r="E176" s="2">
        <v>99.6952</v>
      </c>
      <c r="F176" s="2">
        <v>0.0</v>
      </c>
      <c r="G176" s="2">
        <v>0.3048</v>
      </c>
      <c r="H176" s="2">
        <v>0.0</v>
      </c>
      <c r="I176" s="2" t="s">
        <v>64</v>
      </c>
      <c r="J176" s="2" t="s">
        <v>64</v>
      </c>
      <c r="K176" s="2" t="s">
        <v>64</v>
      </c>
      <c r="L176" s="2" t="s">
        <v>64</v>
      </c>
      <c r="M176" s="2" t="s">
        <v>64</v>
      </c>
      <c r="N176" s="2" t="s">
        <v>64</v>
      </c>
      <c r="O176" s="2" t="s">
        <v>64</v>
      </c>
      <c r="P176" s="2" t="s">
        <v>64</v>
      </c>
      <c r="Q176" s="13" t="str">
        <f t="shared" si="1"/>
        <v>Guam|2015</v>
      </c>
      <c r="R176" s="14">
        <f t="shared" si="2"/>
        <v>5</v>
      </c>
      <c r="T176" s="14">
        <f t="shared" si="3"/>
        <v>0</v>
      </c>
      <c r="U176" s="14" t="str">
        <f t="shared" si="29"/>
        <v>null</v>
      </c>
      <c r="V176" s="14" t="str">
        <f t="shared" si="4"/>
        <v>null</v>
      </c>
      <c r="W176" s="14">
        <f t="shared" si="5"/>
        <v>100</v>
      </c>
      <c r="X176" s="14" t="b">
        <f t="shared" si="6"/>
        <v>0</v>
      </c>
      <c r="Y176" s="14" t="b">
        <f t="shared" si="7"/>
        <v>0</v>
      </c>
      <c r="Z176" s="14" t="str">
        <f t="shared" si="8"/>
        <v/>
      </c>
      <c r="AA176" s="14" t="str">
        <f t="shared" si="9"/>
        <v>Fully Accessible</v>
      </c>
      <c r="AB176" s="14" t="str">
        <f t="shared" si="10"/>
        <v>Fully Accessible</v>
      </c>
      <c r="AC176" s="14" t="b">
        <f t="shared" si="11"/>
        <v>0</v>
      </c>
      <c r="AE176" s="15" t="s">
        <v>236</v>
      </c>
      <c r="AF176" s="16" t="s">
        <v>57</v>
      </c>
      <c r="AH176" s="17" t="str">
        <f t="shared" si="12"/>
        <v>Latin America &amp; Caribbean</v>
      </c>
      <c r="AI176" s="21"/>
      <c r="AJ176" s="21"/>
      <c r="AK176" s="15">
        <f t="shared" si="13"/>
        <v>0</v>
      </c>
      <c r="AL176" s="24"/>
      <c r="AM176" s="21"/>
      <c r="AN176" s="21"/>
      <c r="AO176" s="15">
        <f t="shared" si="16"/>
        <v>0</v>
      </c>
      <c r="AP176" s="24"/>
      <c r="AQ176" s="21"/>
      <c r="AR176" s="21"/>
      <c r="AS176" s="15">
        <f t="shared" si="19"/>
        <v>0</v>
      </c>
      <c r="AT176" s="24"/>
      <c r="AU176" s="21"/>
      <c r="AX176" s="14">
        <f t="shared" si="22"/>
        <v>330.6340027</v>
      </c>
      <c r="AY176" s="14">
        <f t="shared" si="23"/>
        <v>189.4720001</v>
      </c>
      <c r="AZ176" s="14">
        <f t="shared" si="24"/>
        <v>141.1620026</v>
      </c>
      <c r="BA176" s="17"/>
    </row>
    <row r="177">
      <c r="A177" s="2" t="s">
        <v>149</v>
      </c>
      <c r="B177" s="2">
        <v>2020.0</v>
      </c>
      <c r="C177" s="2">
        <v>168.7830048</v>
      </c>
      <c r="D177" s="2">
        <v>94.93800354</v>
      </c>
      <c r="E177" s="2">
        <v>99.6952</v>
      </c>
      <c r="F177" s="2">
        <v>0.0</v>
      </c>
      <c r="G177" s="2">
        <v>0.3048</v>
      </c>
      <c r="H177" s="2">
        <v>0.0</v>
      </c>
      <c r="I177" s="2" t="s">
        <v>64</v>
      </c>
      <c r="J177" s="2" t="s">
        <v>64</v>
      </c>
      <c r="K177" s="2" t="s">
        <v>64</v>
      </c>
      <c r="L177" s="2" t="s">
        <v>64</v>
      </c>
      <c r="M177" s="2" t="s">
        <v>64</v>
      </c>
      <c r="N177" s="2" t="s">
        <v>64</v>
      </c>
      <c r="O177" s="2" t="s">
        <v>64</v>
      </c>
      <c r="P177" s="2" t="s">
        <v>64</v>
      </c>
      <c r="Q177" s="13" t="str">
        <f t="shared" si="1"/>
        <v>Guam|2020</v>
      </c>
      <c r="R177" s="14" t="str">
        <f t="shared" si="2"/>
        <v> </v>
      </c>
      <c r="T177" s="14" t="b">
        <f t="shared" si="3"/>
        <v>0</v>
      </c>
      <c r="U177" s="14" t="b">
        <f t="shared" si="29"/>
        <v>0</v>
      </c>
      <c r="V177" s="14" t="b">
        <f t="shared" si="4"/>
        <v>0</v>
      </c>
      <c r="W177" s="14">
        <f t="shared" si="5"/>
        <v>100</v>
      </c>
      <c r="X177" s="14" t="b">
        <f t="shared" si="6"/>
        <v>0</v>
      </c>
      <c r="Y177" s="14" t="b">
        <f t="shared" si="7"/>
        <v>0</v>
      </c>
      <c r="Z177" s="14" t="str">
        <f t="shared" si="8"/>
        <v/>
      </c>
      <c r="AA177" s="14" t="str">
        <f t="shared" si="9"/>
        <v/>
      </c>
      <c r="AB177" s="14" t="str">
        <f t="shared" si="10"/>
        <v/>
      </c>
      <c r="AC177" s="14">
        <f t="shared" si="11"/>
        <v>0</v>
      </c>
      <c r="AE177" s="15" t="s">
        <v>237</v>
      </c>
      <c r="AF177" s="16" t="s">
        <v>57</v>
      </c>
      <c r="AH177" s="17" t="str">
        <f t="shared" si="12"/>
        <v>Latin America &amp; Caribbean</v>
      </c>
      <c r="AI177" s="21"/>
      <c r="AJ177" s="21"/>
      <c r="AK177" s="15">
        <f t="shared" si="13"/>
        <v>0.263950058</v>
      </c>
      <c r="AL177" s="24"/>
      <c r="AM177" s="21"/>
      <c r="AN177" s="21"/>
      <c r="AO177" s="15">
        <f t="shared" si="16"/>
        <v>0.300352518</v>
      </c>
      <c r="AP177" s="24"/>
      <c r="AQ177" s="21"/>
      <c r="AR177" s="21"/>
      <c r="AS177" s="15">
        <f t="shared" si="19"/>
        <v>0.102357802</v>
      </c>
      <c r="AT177" s="24"/>
      <c r="AU177" s="21"/>
      <c r="AX177" s="14" t="str">
        <f t="shared" si="22"/>
        <v>null</v>
      </c>
      <c r="AY177" s="14" t="str">
        <f t="shared" si="23"/>
        <v>null</v>
      </c>
      <c r="AZ177" s="14" t="str">
        <f t="shared" si="24"/>
        <v>null</v>
      </c>
      <c r="BA177" s="8"/>
    </row>
    <row r="178">
      <c r="A178" s="2" t="s">
        <v>150</v>
      </c>
      <c r="B178" s="2">
        <v>2015.0</v>
      </c>
      <c r="C178" s="2">
        <v>16252.4248</v>
      </c>
      <c r="D178" s="2">
        <v>49.97100067</v>
      </c>
      <c r="E178" s="2">
        <v>92.13403385</v>
      </c>
      <c r="F178" s="2">
        <v>0.9684517485</v>
      </c>
      <c r="G178" s="2">
        <v>4.765261087</v>
      </c>
      <c r="H178" s="2">
        <v>2.132253313</v>
      </c>
      <c r="I178" s="2">
        <v>87.24275618</v>
      </c>
      <c r="J178" s="2">
        <v>1.650901287</v>
      </c>
      <c r="K178" s="2">
        <v>7.052091828</v>
      </c>
      <c r="L178" s="2">
        <v>4.054250709</v>
      </c>
      <c r="M178" s="2">
        <v>97.03098891</v>
      </c>
      <c r="N178" s="2">
        <v>0.2852100796</v>
      </c>
      <c r="O178" s="2">
        <v>2.475775984</v>
      </c>
      <c r="P178" s="2">
        <v>0.2080250227</v>
      </c>
      <c r="Q178" s="13" t="str">
        <f t="shared" si="1"/>
        <v>Guatemala|2015</v>
      </c>
      <c r="R178" s="14">
        <f t="shared" si="2"/>
        <v>5</v>
      </c>
      <c r="T178" s="14">
        <f t="shared" si="3"/>
        <v>0.374478884</v>
      </c>
      <c r="U178" s="14">
        <f t="shared" si="29"/>
        <v>0.575314724</v>
      </c>
      <c r="V178" s="14">
        <f t="shared" si="4"/>
        <v>0.117436106</v>
      </c>
      <c r="W178" s="14">
        <f t="shared" si="5"/>
        <v>92</v>
      </c>
      <c r="X178" s="14">
        <f t="shared" si="6"/>
        <v>87</v>
      </c>
      <c r="Y178" s="14">
        <f t="shared" si="7"/>
        <v>97</v>
      </c>
      <c r="Z178" s="14" t="str">
        <f t="shared" si="8"/>
        <v/>
      </c>
      <c r="AA178" s="14" t="str">
        <f t="shared" si="9"/>
        <v/>
      </c>
      <c r="AB178" s="14" t="str">
        <f t="shared" si="10"/>
        <v>Fully Accessible</v>
      </c>
      <c r="AC178" s="14">
        <f t="shared" si="11"/>
        <v>0.457878618</v>
      </c>
      <c r="AE178" s="15" t="s">
        <v>238</v>
      </c>
      <c r="AF178" s="16" t="s">
        <v>57</v>
      </c>
      <c r="AH178" s="17" t="str">
        <f t="shared" si="12"/>
        <v>Latin America &amp; Caribbean</v>
      </c>
      <c r="AI178" s="21"/>
      <c r="AJ178" s="21"/>
      <c r="AK178" s="15">
        <f t="shared" si="13"/>
        <v>-0.000100562</v>
      </c>
      <c r="AL178" s="24"/>
      <c r="AM178" s="21"/>
      <c r="AN178" s="21"/>
      <c r="AO178" s="15">
        <f t="shared" si="16"/>
        <v>0</v>
      </c>
      <c r="AP178" s="24"/>
      <c r="AQ178" s="21"/>
      <c r="AR178" s="21"/>
      <c r="AS178" s="15">
        <f t="shared" si="19"/>
        <v>-0.000100562</v>
      </c>
      <c r="AT178" s="24"/>
      <c r="AU178" s="21"/>
      <c r="AX178" s="14">
        <f t="shared" si="22"/>
        <v>34167.99121</v>
      </c>
      <c r="AY178" s="14">
        <f t="shared" si="23"/>
        <v>101.8069992</v>
      </c>
      <c r="AZ178" s="14">
        <f t="shared" si="24"/>
        <v>34066.18421</v>
      </c>
      <c r="BA178" s="27"/>
    </row>
    <row r="179">
      <c r="A179" s="2" t="s">
        <v>150</v>
      </c>
      <c r="B179" s="2">
        <v>2020.0</v>
      </c>
      <c r="C179" s="2">
        <v>17915.56641</v>
      </c>
      <c r="D179" s="2">
        <v>51.83599854</v>
      </c>
      <c r="E179" s="2">
        <v>94.00642827</v>
      </c>
      <c r="F179" s="2">
        <v>1.034150511</v>
      </c>
      <c r="G179" s="2">
        <v>3.215911815</v>
      </c>
      <c r="H179" s="2">
        <v>1.743509404</v>
      </c>
      <c r="I179" s="2">
        <v>90.1193298</v>
      </c>
      <c r="J179" s="2">
        <v>1.849169999</v>
      </c>
      <c r="K179" s="2">
        <v>4.583438691</v>
      </c>
      <c r="L179" s="2">
        <v>3.448061508</v>
      </c>
      <c r="M179" s="2">
        <v>97.61816944</v>
      </c>
      <c r="N179" s="2">
        <v>0.2768660057</v>
      </c>
      <c r="O179" s="2">
        <v>1.94525887</v>
      </c>
      <c r="P179" s="2">
        <v>0.1597056849</v>
      </c>
      <c r="Q179" s="13" t="str">
        <f t="shared" si="1"/>
        <v>Guatemala|2020</v>
      </c>
      <c r="R179" s="14" t="str">
        <f t="shared" si="2"/>
        <v> </v>
      </c>
      <c r="T179" s="14" t="b">
        <f t="shared" si="3"/>
        <v>0</v>
      </c>
      <c r="U179" s="14" t="b">
        <f t="shared" si="29"/>
        <v>0</v>
      </c>
      <c r="V179" s="14" t="b">
        <f t="shared" si="4"/>
        <v>0</v>
      </c>
      <c r="W179" s="14">
        <f t="shared" si="5"/>
        <v>94</v>
      </c>
      <c r="X179" s="14">
        <f t="shared" si="6"/>
        <v>90</v>
      </c>
      <c r="Y179" s="14">
        <f t="shared" si="7"/>
        <v>98</v>
      </c>
      <c r="Z179" s="14" t="str">
        <f t="shared" si="8"/>
        <v/>
      </c>
      <c r="AA179" s="14" t="str">
        <f t="shared" si="9"/>
        <v/>
      </c>
      <c r="AB179" s="14" t="str">
        <f t="shared" si="10"/>
        <v/>
      </c>
      <c r="AC179" s="14">
        <f t="shared" si="11"/>
        <v>0</v>
      </c>
      <c r="AE179" s="15" t="s">
        <v>239</v>
      </c>
      <c r="AF179" s="16" t="s">
        <v>61</v>
      </c>
      <c r="AH179" s="17" t="str">
        <f t="shared" si="12"/>
        <v>North America</v>
      </c>
      <c r="AI179" s="21"/>
      <c r="AJ179" s="21"/>
      <c r="AK179" s="15">
        <f t="shared" si="13"/>
        <v>0</v>
      </c>
      <c r="AL179" s="24"/>
      <c r="AM179" s="21"/>
      <c r="AN179" s="21"/>
      <c r="AO179" s="15">
        <f t="shared" si="16"/>
        <v>0</v>
      </c>
      <c r="AP179" s="24"/>
      <c r="AQ179" s="21"/>
      <c r="AR179" s="21"/>
      <c r="AS179" s="15">
        <f t="shared" si="19"/>
        <v>0</v>
      </c>
      <c r="AT179" s="24"/>
      <c r="AU179" s="21"/>
      <c r="AX179" s="14" t="str">
        <f t="shared" si="22"/>
        <v>null</v>
      </c>
      <c r="AY179" s="14" t="str">
        <f t="shared" si="23"/>
        <v>null</v>
      </c>
      <c r="AZ179" s="14" t="str">
        <f t="shared" si="24"/>
        <v>null</v>
      </c>
      <c r="BA179" s="17"/>
    </row>
    <row r="180">
      <c r="A180" s="2" t="s">
        <v>152</v>
      </c>
      <c r="B180" s="2">
        <v>2015.0</v>
      </c>
      <c r="C180" s="2">
        <v>1737.207031</v>
      </c>
      <c r="D180" s="2">
        <v>42.12299728</v>
      </c>
      <c r="E180" s="2">
        <v>58.76434762</v>
      </c>
      <c r="F180" s="2">
        <v>10.59149221</v>
      </c>
      <c r="G180" s="2">
        <v>29.74437907</v>
      </c>
      <c r="H180" s="2">
        <v>0.8997810926</v>
      </c>
      <c r="I180" s="2">
        <v>48.42273005</v>
      </c>
      <c r="J180" s="2">
        <v>7.566280361</v>
      </c>
      <c r="K180" s="2">
        <v>42.58264827</v>
      </c>
      <c r="L180" s="2">
        <v>1.428341318</v>
      </c>
      <c r="M180" s="2">
        <v>72.97373122</v>
      </c>
      <c r="N180" s="2">
        <v>14.7481336</v>
      </c>
      <c r="O180" s="2">
        <v>12.10459589</v>
      </c>
      <c r="P180" s="2">
        <v>0.173539289</v>
      </c>
      <c r="Q180" s="13" t="str">
        <f t="shared" si="1"/>
        <v>Guinea-Bissau|2015</v>
      </c>
      <c r="R180" s="14">
        <f t="shared" si="2"/>
        <v>5</v>
      </c>
      <c r="T180" s="14">
        <f t="shared" si="3"/>
        <v>0.050512918</v>
      </c>
      <c r="U180" s="14">
        <f t="shared" si="29"/>
        <v>0.28183505</v>
      </c>
      <c r="V180" s="14">
        <f t="shared" si="4"/>
        <v>-0.471876662</v>
      </c>
      <c r="W180" s="14">
        <f t="shared" si="5"/>
        <v>59</v>
      </c>
      <c r="X180" s="14">
        <f t="shared" si="6"/>
        <v>48</v>
      </c>
      <c r="Y180" s="14">
        <f t="shared" si="7"/>
        <v>73</v>
      </c>
      <c r="Z180" s="14" t="str">
        <f t="shared" si="8"/>
        <v/>
      </c>
      <c r="AA180" s="14" t="str">
        <f t="shared" si="9"/>
        <v/>
      </c>
      <c r="AB180" s="14" t="str">
        <f t="shared" si="10"/>
        <v>Fully Accessible</v>
      </c>
      <c r="AC180" s="14">
        <f t="shared" si="11"/>
        <v>0.753711712</v>
      </c>
      <c r="AE180" s="15" t="s">
        <v>240</v>
      </c>
      <c r="AF180" s="16" t="s">
        <v>57</v>
      </c>
      <c r="AH180" s="17" t="str">
        <f t="shared" si="12"/>
        <v>Latin America &amp; Caribbean</v>
      </c>
      <c r="AI180" s="21"/>
      <c r="AJ180" s="21"/>
      <c r="AK180" s="15">
        <f t="shared" si="13"/>
        <v>0</v>
      </c>
      <c r="AL180" s="24"/>
      <c r="AM180" s="21"/>
      <c r="AN180" s="21"/>
      <c r="AO180" s="15">
        <f t="shared" si="16"/>
        <v>0</v>
      </c>
      <c r="AP180" s="24"/>
      <c r="AQ180" s="21"/>
      <c r="AR180" s="21"/>
      <c r="AS180" s="15">
        <f t="shared" si="19"/>
        <v>0</v>
      </c>
      <c r="AT180" s="24"/>
      <c r="AU180" s="21"/>
      <c r="AX180" s="14">
        <f t="shared" si="22"/>
        <v>3705.205078</v>
      </c>
      <c r="AY180" s="14">
        <f t="shared" si="23"/>
        <v>86.31899643</v>
      </c>
      <c r="AZ180" s="14">
        <f t="shared" si="24"/>
        <v>3618.886082</v>
      </c>
      <c r="BA180" s="27"/>
    </row>
    <row r="181">
      <c r="A181" s="2" t="s">
        <v>152</v>
      </c>
      <c r="B181" s="2">
        <v>2020.0</v>
      </c>
      <c r="C181" s="2">
        <v>1967.998047</v>
      </c>
      <c r="D181" s="2">
        <v>44.19599915</v>
      </c>
      <c r="E181" s="2">
        <v>59.01691221</v>
      </c>
      <c r="F181" s="2">
        <v>14.03457137</v>
      </c>
      <c r="G181" s="2">
        <v>26.6263769</v>
      </c>
      <c r="H181" s="2">
        <v>0.3221395192</v>
      </c>
      <c r="I181" s="2">
        <v>49.8319053</v>
      </c>
      <c r="J181" s="2">
        <v>9.285773026</v>
      </c>
      <c r="K181" s="2">
        <v>40.31645129</v>
      </c>
      <c r="L181" s="2">
        <v>0.5658703845</v>
      </c>
      <c r="M181" s="2">
        <v>70.61434791</v>
      </c>
      <c r="N181" s="2">
        <v>20.03063358</v>
      </c>
      <c r="O181" s="2">
        <v>9.340625284</v>
      </c>
      <c r="P181" s="2">
        <v>0.01439322693</v>
      </c>
      <c r="Q181" s="13" t="str">
        <f t="shared" si="1"/>
        <v>Guinea-Bissau|2020</v>
      </c>
      <c r="R181" s="14" t="str">
        <f t="shared" si="2"/>
        <v> </v>
      </c>
      <c r="T181" s="14" t="b">
        <f t="shared" si="3"/>
        <v>0</v>
      </c>
      <c r="U181" s="14" t="b">
        <f t="shared" si="29"/>
        <v>0</v>
      </c>
      <c r="V181" s="14" t="b">
        <f t="shared" si="4"/>
        <v>0</v>
      </c>
      <c r="W181" s="14">
        <f t="shared" si="5"/>
        <v>59</v>
      </c>
      <c r="X181" s="14">
        <f t="shared" si="6"/>
        <v>50</v>
      </c>
      <c r="Y181" s="14">
        <f t="shared" si="7"/>
        <v>71</v>
      </c>
      <c r="Z181" s="14" t="str">
        <f t="shared" si="8"/>
        <v/>
      </c>
      <c r="AA181" s="14" t="str">
        <f t="shared" si="9"/>
        <v/>
      </c>
      <c r="AB181" s="14" t="str">
        <f t="shared" si="10"/>
        <v/>
      </c>
      <c r="AC181" s="14">
        <f t="shared" si="11"/>
        <v>0</v>
      </c>
      <c r="AE181" s="15" t="s">
        <v>241</v>
      </c>
      <c r="AF181" s="16" t="s">
        <v>51</v>
      </c>
      <c r="AH181" s="17" t="str">
        <f t="shared" si="12"/>
        <v>East Asia &amp; Pacific</v>
      </c>
      <c r="AI181" s="21"/>
      <c r="AJ181" s="21"/>
      <c r="AK181" s="15">
        <f t="shared" si="13"/>
        <v>0.103265438</v>
      </c>
      <c r="AL181" s="24"/>
      <c r="AM181" s="21"/>
      <c r="AN181" s="21"/>
      <c r="AO181" s="15">
        <f t="shared" si="16"/>
        <v>0.078781444</v>
      </c>
      <c r="AP181" s="24"/>
      <c r="AQ181" s="21"/>
      <c r="AR181" s="21"/>
      <c r="AS181" s="15">
        <f t="shared" si="19"/>
        <v>0.211708264</v>
      </c>
      <c r="AT181" s="24"/>
      <c r="AU181" s="21"/>
      <c r="AX181" s="14" t="str">
        <f t="shared" si="22"/>
        <v>null</v>
      </c>
      <c r="AY181" s="14" t="str">
        <f t="shared" si="23"/>
        <v>null</v>
      </c>
      <c r="AZ181" s="14" t="str">
        <f t="shared" si="24"/>
        <v>null</v>
      </c>
      <c r="BA181" s="27"/>
    </row>
    <row r="182">
      <c r="A182" s="2" t="s">
        <v>151</v>
      </c>
      <c r="B182" s="2">
        <v>2015.0</v>
      </c>
      <c r="C182" s="2">
        <v>11432.0957</v>
      </c>
      <c r="D182" s="2">
        <v>35.14099884</v>
      </c>
      <c r="E182" s="2">
        <v>63.61538954</v>
      </c>
      <c r="F182" s="2">
        <v>16.09025603</v>
      </c>
      <c r="G182" s="2">
        <v>9.757980444</v>
      </c>
      <c r="H182" s="2">
        <v>10.53637399</v>
      </c>
      <c r="I182" s="2">
        <v>51.94915534</v>
      </c>
      <c r="J182" s="2">
        <v>18.76062978</v>
      </c>
      <c r="K182" s="2">
        <v>13.30971721</v>
      </c>
      <c r="L182" s="2">
        <v>15.98049768</v>
      </c>
      <c r="M182" s="2">
        <v>85.14750769</v>
      </c>
      <c r="N182" s="2">
        <v>11.16160263</v>
      </c>
      <c r="O182" s="2">
        <v>3.202620418</v>
      </c>
      <c r="P182" s="2">
        <v>0.4882692651</v>
      </c>
      <c r="Q182" s="13" t="str">
        <f t="shared" si="1"/>
        <v>Guinea|2015</v>
      </c>
      <c r="R182" s="14">
        <f t="shared" si="2"/>
        <v>5</v>
      </c>
      <c r="T182" s="14">
        <f t="shared" si="3"/>
        <v>0.06927984</v>
      </c>
      <c r="U182" s="14">
        <f t="shared" si="29"/>
        <v>-0.24019527</v>
      </c>
      <c r="V182" s="14">
        <f t="shared" si="4"/>
        <v>0.286836476</v>
      </c>
      <c r="W182" s="14">
        <f t="shared" si="5"/>
        <v>64</v>
      </c>
      <c r="X182" s="14">
        <f t="shared" si="6"/>
        <v>52</v>
      </c>
      <c r="Y182" s="14">
        <f t="shared" si="7"/>
        <v>85</v>
      </c>
      <c r="Z182" s="14" t="str">
        <f t="shared" si="8"/>
        <v/>
      </c>
      <c r="AA182" s="14" t="str">
        <f t="shared" si="9"/>
        <v/>
      </c>
      <c r="AB182" s="14" t="str">
        <f t="shared" si="10"/>
        <v>Fully Accessible</v>
      </c>
      <c r="AC182" s="14">
        <f t="shared" si="11"/>
        <v>-0.527031746</v>
      </c>
      <c r="AE182" s="15" t="s">
        <v>242</v>
      </c>
      <c r="AF182" s="16" t="s">
        <v>53</v>
      </c>
      <c r="AH182" s="17" t="str">
        <f t="shared" si="12"/>
        <v>Europe &amp; Central Asia</v>
      </c>
      <c r="AI182" s="21"/>
      <c r="AJ182" s="21"/>
      <c r="AK182" s="15">
        <f t="shared" si="13"/>
        <v>0</v>
      </c>
      <c r="AL182" s="24"/>
      <c r="AM182" s="21"/>
      <c r="AN182" s="21"/>
      <c r="AO182" s="15">
        <f t="shared" si="16"/>
        <v>0</v>
      </c>
      <c r="AP182" s="24"/>
      <c r="AQ182" s="21"/>
      <c r="AR182" s="21"/>
      <c r="AS182" s="15">
        <f t="shared" si="19"/>
        <v>0</v>
      </c>
      <c r="AT182" s="24"/>
      <c r="AU182" s="21"/>
      <c r="AX182" s="14">
        <f t="shared" si="22"/>
        <v>24564.88769</v>
      </c>
      <c r="AY182" s="14">
        <f t="shared" si="23"/>
        <v>72.01599884</v>
      </c>
      <c r="AZ182" s="14">
        <f t="shared" si="24"/>
        <v>24492.87169</v>
      </c>
      <c r="BA182" s="17"/>
    </row>
    <row r="183">
      <c r="A183" s="2" t="s">
        <v>151</v>
      </c>
      <c r="B183" s="2">
        <v>2020.0</v>
      </c>
      <c r="C183" s="2">
        <v>13132.79199</v>
      </c>
      <c r="D183" s="2">
        <v>36.875</v>
      </c>
      <c r="E183" s="2">
        <v>63.96178874</v>
      </c>
      <c r="F183" s="2">
        <v>21.2815915</v>
      </c>
      <c r="G183" s="2">
        <v>6.296119406</v>
      </c>
      <c r="H183" s="2">
        <v>8.460500354</v>
      </c>
      <c r="I183" s="2">
        <v>50.74817899</v>
      </c>
      <c r="J183" s="2">
        <v>26.14432944</v>
      </c>
      <c r="K183" s="2">
        <v>9.704719143</v>
      </c>
      <c r="L183" s="2">
        <v>13.40277243</v>
      </c>
      <c r="M183" s="2">
        <v>86.58169007</v>
      </c>
      <c r="N183" s="2">
        <v>12.95724153</v>
      </c>
      <c r="O183" s="2">
        <v>0.461068398</v>
      </c>
      <c r="P183" s="2">
        <v>0.0</v>
      </c>
      <c r="Q183" s="13" t="str">
        <f t="shared" si="1"/>
        <v>Guinea|2020</v>
      </c>
      <c r="R183" s="14" t="str">
        <f t="shared" si="2"/>
        <v> </v>
      </c>
      <c r="T183" s="14" t="b">
        <f t="shared" si="3"/>
        <v>0</v>
      </c>
      <c r="U183" s="14" t="b">
        <f t="shared" si="29"/>
        <v>0</v>
      </c>
      <c r="V183" s="14" t="b">
        <f t="shared" si="4"/>
        <v>0</v>
      </c>
      <c r="W183" s="14">
        <f t="shared" si="5"/>
        <v>64</v>
      </c>
      <c r="X183" s="14">
        <f t="shared" si="6"/>
        <v>51</v>
      </c>
      <c r="Y183" s="14">
        <f t="shared" si="7"/>
        <v>87</v>
      </c>
      <c r="Z183" s="14" t="str">
        <f t="shared" si="8"/>
        <v/>
      </c>
      <c r="AA183" s="14" t="str">
        <f t="shared" si="9"/>
        <v/>
      </c>
      <c r="AB183" s="14" t="str">
        <f t="shared" si="10"/>
        <v/>
      </c>
      <c r="AC183" s="14">
        <f t="shared" si="11"/>
        <v>0</v>
      </c>
      <c r="AE183" s="15" t="s">
        <v>243</v>
      </c>
      <c r="AF183" s="16" t="s">
        <v>63</v>
      </c>
      <c r="AH183" s="17" t="str">
        <f t="shared" si="12"/>
        <v>Sub-Saharan Africa</v>
      </c>
      <c r="AI183" s="21"/>
      <c r="AJ183" s="21"/>
      <c r="AK183" s="15">
        <f t="shared" si="13"/>
        <v>0.220445074</v>
      </c>
      <c r="AL183" s="24"/>
      <c r="AM183" s="21"/>
      <c r="AN183" s="21"/>
      <c r="AO183" s="15">
        <f t="shared" si="16"/>
        <v>0.60357957</v>
      </c>
      <c r="AP183" s="24"/>
      <c r="AQ183" s="21"/>
      <c r="AR183" s="21"/>
      <c r="AS183" s="15">
        <f t="shared" si="19"/>
        <v>-0.00529962</v>
      </c>
      <c r="AT183" s="24"/>
      <c r="AU183" s="21"/>
      <c r="AX183" s="14" t="str">
        <f t="shared" si="22"/>
        <v>null</v>
      </c>
      <c r="AY183" s="14" t="str">
        <f t="shared" si="23"/>
        <v>null</v>
      </c>
      <c r="AZ183" s="14" t="str">
        <f t="shared" si="24"/>
        <v>null</v>
      </c>
      <c r="BA183" s="17"/>
    </row>
    <row r="184">
      <c r="A184" s="2" t="s">
        <v>153</v>
      </c>
      <c r="B184" s="2">
        <v>2015.0</v>
      </c>
      <c r="C184" s="2">
        <v>767.4329834</v>
      </c>
      <c r="D184" s="2">
        <v>26.44099808</v>
      </c>
      <c r="E184" s="2">
        <v>95.16185695</v>
      </c>
      <c r="F184" s="2">
        <v>1.233247953</v>
      </c>
      <c r="G184" s="2">
        <v>1.344803287</v>
      </c>
      <c r="H184" s="2">
        <v>2.260091808</v>
      </c>
      <c r="I184" s="2">
        <v>93.42276971</v>
      </c>
      <c r="J184" s="2">
        <v>1.676542504</v>
      </c>
      <c r="K184" s="2">
        <v>1.82819943</v>
      </c>
      <c r="L184" s="2">
        <v>3.072488358</v>
      </c>
      <c r="M184" s="2">
        <v>100.0</v>
      </c>
      <c r="N184" s="2">
        <v>0.0</v>
      </c>
      <c r="O184" s="2">
        <v>0.0</v>
      </c>
      <c r="P184" s="2">
        <v>0.0</v>
      </c>
      <c r="Q184" s="13" t="str">
        <f t="shared" si="1"/>
        <v>Guyana|2015</v>
      </c>
      <c r="R184" s="14">
        <f t="shared" si="2"/>
        <v>5</v>
      </c>
      <c r="T184" s="14">
        <f t="shared" si="3"/>
        <v>0.07858998</v>
      </c>
      <c r="U184" s="14">
        <f t="shared" si="29"/>
        <v>0.101144158</v>
      </c>
      <c r="V184" s="14">
        <f t="shared" si="4"/>
        <v>0</v>
      </c>
      <c r="W184" s="14">
        <f t="shared" si="5"/>
        <v>95</v>
      </c>
      <c r="X184" s="14">
        <f t="shared" si="6"/>
        <v>93</v>
      </c>
      <c r="Y184" s="14">
        <f t="shared" si="7"/>
        <v>100</v>
      </c>
      <c r="Z184" s="14" t="str">
        <f t="shared" si="8"/>
        <v/>
      </c>
      <c r="AA184" s="14" t="str">
        <f t="shared" si="9"/>
        <v/>
      </c>
      <c r="AB184" s="14" t="str">
        <f t="shared" si="10"/>
        <v>Fully Accessible</v>
      </c>
      <c r="AC184" s="14">
        <f t="shared" si="11"/>
        <v>0.101144158</v>
      </c>
      <c r="AE184" s="15" t="s">
        <v>244</v>
      </c>
      <c r="AF184" s="16" t="s">
        <v>53</v>
      </c>
      <c r="AH184" s="17" t="str">
        <f t="shared" si="12"/>
        <v>Europe &amp; Central Asia</v>
      </c>
      <c r="AI184" s="21"/>
      <c r="AJ184" s="21"/>
      <c r="AK184" s="15">
        <f t="shared" si="13"/>
        <v>0.090394724</v>
      </c>
      <c r="AL184" s="24"/>
      <c r="AM184" s="21"/>
      <c r="AN184" s="21"/>
      <c r="AO184" s="15">
        <f t="shared" si="16"/>
        <v>0</v>
      </c>
      <c r="AP184" s="24"/>
      <c r="AQ184" s="21"/>
      <c r="AR184" s="21"/>
      <c r="AS184" s="15">
        <f t="shared" si="19"/>
        <v>0</v>
      </c>
      <c r="AT184" s="24"/>
      <c r="AU184" s="21"/>
      <c r="AX184" s="14">
        <f t="shared" si="22"/>
        <v>1553.992004</v>
      </c>
      <c r="AY184" s="14">
        <f t="shared" si="23"/>
        <v>53.22699738</v>
      </c>
      <c r="AZ184" s="14">
        <f t="shared" si="24"/>
        <v>1500.765007</v>
      </c>
      <c r="BA184" s="17"/>
    </row>
    <row r="185">
      <c r="A185" s="2" t="s">
        <v>153</v>
      </c>
      <c r="B185" s="2">
        <v>2020.0</v>
      </c>
      <c r="C185" s="2">
        <v>786.559021</v>
      </c>
      <c r="D185" s="2">
        <v>26.7859993</v>
      </c>
      <c r="E185" s="2">
        <v>95.55480685</v>
      </c>
      <c r="F185" s="2">
        <v>1.205244408</v>
      </c>
      <c r="G185" s="2">
        <v>1.143069849</v>
      </c>
      <c r="H185" s="2">
        <v>2.096878897</v>
      </c>
      <c r="I185" s="2">
        <v>93.9284905</v>
      </c>
      <c r="J185" s="2">
        <v>1.646193862</v>
      </c>
      <c r="K185" s="2">
        <v>1.561274833</v>
      </c>
      <c r="L185" s="2">
        <v>2.864040809</v>
      </c>
      <c r="M185" s="2">
        <v>100.0</v>
      </c>
      <c r="N185" s="2">
        <v>0.0</v>
      </c>
      <c r="O185" s="2">
        <v>0.0</v>
      </c>
      <c r="P185" s="2">
        <v>0.0</v>
      </c>
      <c r="Q185" s="13" t="str">
        <f t="shared" si="1"/>
        <v>Guyana|2020</v>
      </c>
      <c r="R185" s="14" t="str">
        <f t="shared" si="2"/>
        <v> </v>
      </c>
      <c r="T185" s="14" t="b">
        <f t="shared" si="3"/>
        <v>0</v>
      </c>
      <c r="U185" s="14" t="b">
        <f t="shared" si="29"/>
        <v>0</v>
      </c>
      <c r="V185" s="14" t="b">
        <f t="shared" si="4"/>
        <v>0</v>
      </c>
      <c r="W185" s="14">
        <f t="shared" si="5"/>
        <v>96</v>
      </c>
      <c r="X185" s="14">
        <f t="shared" si="6"/>
        <v>94</v>
      </c>
      <c r="Y185" s="14">
        <f t="shared" si="7"/>
        <v>100</v>
      </c>
      <c r="Z185" s="14" t="str">
        <f t="shared" si="8"/>
        <v/>
      </c>
      <c r="AA185" s="14" t="str">
        <f t="shared" si="9"/>
        <v/>
      </c>
      <c r="AB185" s="14" t="str">
        <f t="shared" si="10"/>
        <v/>
      </c>
      <c r="AC185" s="14">
        <f t="shared" si="11"/>
        <v>0</v>
      </c>
      <c r="AE185" s="15" t="s">
        <v>245</v>
      </c>
      <c r="AF185" s="16" t="s">
        <v>63</v>
      </c>
      <c r="AH185" s="17" t="str">
        <f t="shared" si="12"/>
        <v>Sub-Saharan Africa</v>
      </c>
      <c r="AI185" s="21"/>
      <c r="AJ185" s="21"/>
      <c r="AK185" s="15">
        <f t="shared" si="13"/>
        <v>1.260628834</v>
      </c>
      <c r="AL185" s="24"/>
      <c r="AM185" s="21"/>
      <c r="AN185" s="21"/>
      <c r="AO185" s="15">
        <f t="shared" si="16"/>
        <v>1.860345328</v>
      </c>
      <c r="AP185" s="24"/>
      <c r="AQ185" s="21"/>
      <c r="AR185" s="21"/>
      <c r="AS185" s="15">
        <f t="shared" si="19"/>
        <v>0.354800636</v>
      </c>
      <c r="AT185" s="24"/>
      <c r="AU185" s="21"/>
      <c r="AX185" s="14" t="str">
        <f t="shared" si="22"/>
        <v>null</v>
      </c>
      <c r="AY185" s="14" t="str">
        <f t="shared" si="23"/>
        <v>null</v>
      </c>
      <c r="AZ185" s="14" t="str">
        <f t="shared" si="24"/>
        <v>null</v>
      </c>
      <c r="BA185" s="8"/>
    </row>
    <row r="186">
      <c r="A186" s="2" t="s">
        <v>154</v>
      </c>
      <c r="B186" s="2">
        <v>2015.0</v>
      </c>
      <c r="C186" s="2">
        <v>10695.54004</v>
      </c>
      <c r="D186" s="2">
        <v>52.42699814</v>
      </c>
      <c r="E186" s="2">
        <v>64.56748594</v>
      </c>
      <c r="F186" s="2">
        <v>9.21848701</v>
      </c>
      <c r="G186" s="2">
        <v>25.47783945</v>
      </c>
      <c r="H186" s="2">
        <v>0.7361875961</v>
      </c>
      <c r="I186" s="2">
        <v>42.41641805</v>
      </c>
      <c r="J186" s="2">
        <v>12.22889789</v>
      </c>
      <c r="K186" s="2">
        <v>43.80719375</v>
      </c>
      <c r="L186" s="2">
        <v>1.547490317</v>
      </c>
      <c r="M186" s="2">
        <v>84.66767913</v>
      </c>
      <c r="N186" s="2">
        <v>6.486797483</v>
      </c>
      <c r="O186" s="2">
        <v>8.845523388</v>
      </c>
      <c r="P186" s="2">
        <v>0.0</v>
      </c>
      <c r="Q186" s="13" t="str">
        <f t="shared" si="1"/>
        <v>Haiti|2015</v>
      </c>
      <c r="R186" s="14">
        <f t="shared" si="2"/>
        <v>5</v>
      </c>
      <c r="T186" s="14">
        <f t="shared" si="3"/>
        <v>0.425564492</v>
      </c>
      <c r="U186" s="14">
        <f t="shared" si="29"/>
        <v>0.08585641</v>
      </c>
      <c r="V186" s="14">
        <f t="shared" si="4"/>
        <v>-0.009011568</v>
      </c>
      <c r="W186" s="14">
        <f t="shared" si="5"/>
        <v>65</v>
      </c>
      <c r="X186" s="14">
        <f t="shared" si="6"/>
        <v>42</v>
      </c>
      <c r="Y186" s="14">
        <f t="shared" si="7"/>
        <v>85</v>
      </c>
      <c r="Z186" s="14" t="str">
        <f t="shared" si="8"/>
        <v/>
      </c>
      <c r="AA186" s="14" t="str">
        <f t="shared" si="9"/>
        <v/>
      </c>
      <c r="AB186" s="14" t="str">
        <f t="shared" si="10"/>
        <v>Fully Accessible</v>
      </c>
      <c r="AC186" s="14">
        <f t="shared" si="11"/>
        <v>0.094867978</v>
      </c>
      <c r="AE186" s="15" t="s">
        <v>246</v>
      </c>
      <c r="AF186" s="16" t="s">
        <v>53</v>
      </c>
      <c r="AH186" s="17" t="str">
        <f t="shared" si="12"/>
        <v>Europe &amp; Central Asia</v>
      </c>
      <c r="AI186" s="21"/>
      <c r="AJ186" s="21"/>
      <c r="AK186" s="15">
        <f t="shared" si="13"/>
        <v>0.381814404</v>
      </c>
      <c r="AL186" s="24"/>
      <c r="AM186" s="21"/>
      <c r="AN186" s="21"/>
      <c r="AO186" s="15">
        <f t="shared" si="16"/>
        <v>0.22428914</v>
      </c>
      <c r="AP186" s="24"/>
      <c r="AQ186" s="21"/>
      <c r="AR186" s="21"/>
      <c r="AS186" s="15">
        <f t="shared" si="19"/>
        <v>0.50974024</v>
      </c>
      <c r="AT186" s="24"/>
      <c r="AU186" s="21"/>
      <c r="AX186" s="14">
        <f t="shared" si="22"/>
        <v>22098.07324</v>
      </c>
      <c r="AY186" s="14">
        <f t="shared" si="23"/>
        <v>109.5149956</v>
      </c>
      <c r="AZ186" s="14">
        <f t="shared" si="24"/>
        <v>21988.55824</v>
      </c>
      <c r="BA186" s="27"/>
    </row>
    <row r="187">
      <c r="A187" s="2" t="s">
        <v>154</v>
      </c>
      <c r="B187" s="2">
        <v>2020.0</v>
      </c>
      <c r="C187" s="2">
        <v>11402.5332</v>
      </c>
      <c r="D187" s="2">
        <v>57.08799744</v>
      </c>
      <c r="E187" s="2">
        <v>66.6953084</v>
      </c>
      <c r="F187" s="2">
        <v>9.814543652</v>
      </c>
      <c r="G187" s="2">
        <v>23.49014795</v>
      </c>
      <c r="H187" s="2">
        <v>0.0</v>
      </c>
      <c r="I187" s="2">
        <v>42.8457001</v>
      </c>
      <c r="J187" s="2">
        <v>13.25598695</v>
      </c>
      <c r="K187" s="2">
        <v>43.89831295</v>
      </c>
      <c r="L187" s="2">
        <v>0.0</v>
      </c>
      <c r="M187" s="2">
        <v>84.62262129</v>
      </c>
      <c r="N187" s="2">
        <v>7.227673879</v>
      </c>
      <c r="O187" s="2">
        <v>8.149704835</v>
      </c>
      <c r="P187" s="2">
        <v>0.0</v>
      </c>
      <c r="Q187" s="13" t="str">
        <f t="shared" si="1"/>
        <v>Haiti|2020</v>
      </c>
      <c r="R187" s="14" t="str">
        <f t="shared" si="2"/>
        <v> </v>
      </c>
      <c r="T187" s="14" t="b">
        <f t="shared" si="3"/>
        <v>0</v>
      </c>
      <c r="U187" s="14" t="b">
        <f t="shared" si="29"/>
        <v>0</v>
      </c>
      <c r="V187" s="14" t="b">
        <f t="shared" si="4"/>
        <v>0</v>
      </c>
      <c r="W187" s="14">
        <f t="shared" si="5"/>
        <v>67</v>
      </c>
      <c r="X187" s="14">
        <f t="shared" si="6"/>
        <v>43</v>
      </c>
      <c r="Y187" s="14">
        <f t="shared" si="7"/>
        <v>85</v>
      </c>
      <c r="Z187" s="14" t="str">
        <f t="shared" si="8"/>
        <v/>
      </c>
      <c r="AA187" s="14" t="str">
        <f t="shared" si="9"/>
        <v/>
      </c>
      <c r="AB187" s="14" t="str">
        <f t="shared" si="10"/>
        <v/>
      </c>
      <c r="AC187" s="14">
        <f t="shared" si="11"/>
        <v>0</v>
      </c>
      <c r="AE187" s="15" t="s">
        <v>247</v>
      </c>
      <c r="AF187" s="16" t="s">
        <v>51</v>
      </c>
      <c r="AH187" s="17" t="str">
        <f t="shared" si="12"/>
        <v>East Asia &amp; Pacific</v>
      </c>
      <c r="AI187" s="21"/>
      <c r="AJ187" s="21"/>
      <c r="AK187" s="15">
        <f t="shared" si="13"/>
        <v>0.1502138475</v>
      </c>
      <c r="AL187" s="24"/>
      <c r="AM187" s="21"/>
      <c r="AN187" s="21"/>
      <c r="AO187" s="15">
        <f t="shared" si="16"/>
        <v>0</v>
      </c>
      <c r="AP187" s="24"/>
      <c r="AQ187" s="21"/>
      <c r="AR187" s="21"/>
      <c r="AS187" s="15">
        <f t="shared" si="19"/>
        <v>0</v>
      </c>
      <c r="AT187" s="24"/>
      <c r="AU187" s="21"/>
      <c r="AX187" s="14" t="str">
        <f t="shared" si="22"/>
        <v>null</v>
      </c>
      <c r="AY187" s="14" t="str">
        <f t="shared" si="23"/>
        <v>null</v>
      </c>
      <c r="AZ187" s="14" t="str">
        <f t="shared" si="24"/>
        <v>null</v>
      </c>
      <c r="BA187" s="17"/>
    </row>
    <row r="188">
      <c r="A188" s="2" t="s">
        <v>155</v>
      </c>
      <c r="B188" s="2">
        <v>2015.0</v>
      </c>
      <c r="C188" s="2">
        <v>9112.904297</v>
      </c>
      <c r="D188" s="2">
        <v>55.1649971</v>
      </c>
      <c r="E188" s="2">
        <v>93.25441071</v>
      </c>
      <c r="F188" s="2">
        <v>0.4317541067</v>
      </c>
      <c r="G188" s="2">
        <v>6.022156156</v>
      </c>
      <c r="H188" s="2">
        <v>0.2916790284</v>
      </c>
      <c r="I188" s="2">
        <v>86.43707375</v>
      </c>
      <c r="J188" s="2">
        <v>0.7758441046</v>
      </c>
      <c r="K188" s="2">
        <v>12.14597638</v>
      </c>
      <c r="L188" s="2">
        <v>0.6411057671</v>
      </c>
      <c r="M188" s="2">
        <v>98.79516268</v>
      </c>
      <c r="N188" s="2">
        <v>0.152097161</v>
      </c>
      <c r="O188" s="2">
        <v>1.04505549</v>
      </c>
      <c r="P188" s="2">
        <v>0.00768467364</v>
      </c>
      <c r="Q188" s="13" t="str">
        <f t="shared" si="1"/>
        <v>Honduras|2015</v>
      </c>
      <c r="R188" s="14">
        <f t="shared" si="2"/>
        <v>5</v>
      </c>
      <c r="T188" s="14">
        <f t="shared" si="3"/>
        <v>0.486962084</v>
      </c>
      <c r="U188" s="14">
        <f t="shared" si="29"/>
        <v>0.68774516</v>
      </c>
      <c r="V188" s="14">
        <f t="shared" si="4"/>
        <v>0.208424026</v>
      </c>
      <c r="W188" s="14">
        <f t="shared" si="5"/>
        <v>93</v>
      </c>
      <c r="X188" s="14">
        <f t="shared" si="6"/>
        <v>86</v>
      </c>
      <c r="Y188" s="14">
        <f t="shared" si="7"/>
        <v>99</v>
      </c>
      <c r="Z188" s="14" t="str">
        <f t="shared" si="8"/>
        <v/>
      </c>
      <c r="AA188" s="14" t="str">
        <f t="shared" si="9"/>
        <v/>
      </c>
      <c r="AB188" s="14" t="str">
        <f t="shared" si="10"/>
        <v>Fully Accessible</v>
      </c>
      <c r="AC188" s="14">
        <f t="shared" si="11"/>
        <v>0.479321134</v>
      </c>
      <c r="AE188" s="15" t="s">
        <v>248</v>
      </c>
      <c r="AF188" s="16" t="s">
        <v>63</v>
      </c>
      <c r="AH188" s="17" t="str">
        <f t="shared" si="12"/>
        <v>Sub-Saharan Africa</v>
      </c>
      <c r="AI188" s="21"/>
      <c r="AJ188" s="21"/>
      <c r="AK188" s="15">
        <f t="shared" si="13"/>
        <v>1.183764092</v>
      </c>
      <c r="AL188" s="24"/>
      <c r="AM188" s="21"/>
      <c r="AN188" s="21"/>
      <c r="AO188" s="15">
        <f t="shared" si="16"/>
        <v>1.444597766</v>
      </c>
      <c r="AP188" s="24"/>
      <c r="AQ188" s="21"/>
      <c r="AR188" s="21"/>
      <c r="AS188" s="15">
        <f t="shared" si="19"/>
        <v>0.542560016</v>
      </c>
      <c r="AT188" s="24"/>
      <c r="AU188" s="21"/>
      <c r="AX188" s="14">
        <f t="shared" si="22"/>
        <v>19017.5127</v>
      </c>
      <c r="AY188" s="14">
        <f t="shared" si="23"/>
        <v>113.5239944</v>
      </c>
      <c r="AZ188" s="14">
        <f t="shared" si="24"/>
        <v>18903.9887</v>
      </c>
      <c r="BA188" s="27"/>
    </row>
    <row r="189">
      <c r="A189" s="2" t="s">
        <v>155</v>
      </c>
      <c r="B189" s="2">
        <v>2020.0</v>
      </c>
      <c r="C189" s="2">
        <v>9904.608398</v>
      </c>
      <c r="D189" s="2">
        <v>58.35899734</v>
      </c>
      <c r="E189" s="2">
        <v>95.68922113</v>
      </c>
      <c r="F189" s="2">
        <v>0.4256206085</v>
      </c>
      <c r="G189" s="2">
        <v>3.885158264</v>
      </c>
      <c r="H189" s="2">
        <v>0.0</v>
      </c>
      <c r="I189" s="2">
        <v>89.87579955</v>
      </c>
      <c r="J189" s="2">
        <v>0.8067095079</v>
      </c>
      <c r="K189" s="2">
        <v>9.317490946</v>
      </c>
      <c r="L189" s="2">
        <v>0.0</v>
      </c>
      <c r="M189" s="2">
        <v>99.83728281</v>
      </c>
      <c r="N189" s="2">
        <v>0.1537015262</v>
      </c>
      <c r="O189" s="2">
        <v>0.009015663296</v>
      </c>
      <c r="P189" s="2">
        <v>0.0</v>
      </c>
      <c r="Q189" s="13" t="str">
        <f t="shared" si="1"/>
        <v>Honduras|2020</v>
      </c>
      <c r="R189" s="14" t="str">
        <f t="shared" si="2"/>
        <v> </v>
      </c>
      <c r="T189" s="14" t="b">
        <f t="shared" si="3"/>
        <v>0</v>
      </c>
      <c r="U189" s="14" t="b">
        <f t="shared" si="29"/>
        <v>0</v>
      </c>
      <c r="V189" s="14" t="b">
        <f t="shared" si="4"/>
        <v>0</v>
      </c>
      <c r="W189" s="14">
        <f t="shared" si="5"/>
        <v>96</v>
      </c>
      <c r="X189" s="14">
        <f t="shared" si="6"/>
        <v>90</v>
      </c>
      <c r="Y189" s="14">
        <f t="shared" si="7"/>
        <v>100</v>
      </c>
      <c r="Z189" s="14" t="str">
        <f t="shared" si="8"/>
        <v/>
      </c>
      <c r="AA189" s="14" t="str">
        <f t="shared" si="9"/>
        <v/>
      </c>
      <c r="AB189" s="14" t="str">
        <f t="shared" si="10"/>
        <v/>
      </c>
      <c r="AC189" s="14">
        <f t="shared" si="11"/>
        <v>0</v>
      </c>
      <c r="AE189" s="15" t="s">
        <v>249</v>
      </c>
      <c r="AF189" s="16" t="s">
        <v>51</v>
      </c>
      <c r="AH189" s="17" t="str">
        <f t="shared" si="12"/>
        <v>East Asia &amp; Pacific</v>
      </c>
      <c r="AI189" s="21"/>
      <c r="AJ189" s="21"/>
      <c r="AK189" s="15">
        <f t="shared" si="13"/>
        <v>0</v>
      </c>
      <c r="AL189" s="24"/>
      <c r="AM189" s="21"/>
      <c r="AN189" s="21"/>
      <c r="AO189" s="15">
        <f t="shared" si="16"/>
        <v>0</v>
      </c>
      <c r="AP189" s="24"/>
      <c r="AQ189" s="21"/>
      <c r="AR189" s="21"/>
      <c r="AS189" s="15">
        <f t="shared" si="19"/>
        <v>0</v>
      </c>
      <c r="AT189" s="24"/>
      <c r="AU189" s="21"/>
      <c r="AX189" s="14" t="str">
        <f t="shared" si="22"/>
        <v>null</v>
      </c>
      <c r="AY189" s="14" t="str">
        <f t="shared" si="23"/>
        <v>null</v>
      </c>
      <c r="AZ189" s="14" t="str">
        <f t="shared" si="24"/>
        <v>null</v>
      </c>
      <c r="BA189" s="27"/>
    </row>
    <row r="190">
      <c r="A190" s="2" t="s">
        <v>156</v>
      </c>
      <c r="B190" s="2">
        <v>2015.0</v>
      </c>
      <c r="C190" s="2">
        <v>9777.924805</v>
      </c>
      <c r="D190" s="2">
        <v>70.5</v>
      </c>
      <c r="E190" s="2">
        <v>99.97052896</v>
      </c>
      <c r="F190" s="2">
        <v>0.0</v>
      </c>
      <c r="G190" s="2">
        <v>0.0294710394</v>
      </c>
      <c r="H190" s="2">
        <v>0.0</v>
      </c>
      <c r="I190" s="2">
        <v>99.90008972</v>
      </c>
      <c r="J190" s="2">
        <v>0.0</v>
      </c>
      <c r="K190" s="2">
        <v>0.09991028479</v>
      </c>
      <c r="L190" s="2">
        <v>0.0</v>
      </c>
      <c r="M190" s="2">
        <v>100.0</v>
      </c>
      <c r="N190" s="2">
        <v>0.0</v>
      </c>
      <c r="O190" s="2">
        <v>0.0</v>
      </c>
      <c r="P190" s="2">
        <v>0.0</v>
      </c>
      <c r="Q190" s="13" t="str">
        <f t="shared" si="1"/>
        <v>Hungary|2015</v>
      </c>
      <c r="R190" s="14">
        <f t="shared" si="2"/>
        <v>5</v>
      </c>
      <c r="T190" s="14">
        <f t="shared" si="3"/>
        <v>0.005893702</v>
      </c>
      <c r="U190" s="14">
        <f t="shared" si="29"/>
        <v>0.019982056</v>
      </c>
      <c r="V190" s="14">
        <f t="shared" si="4"/>
        <v>0</v>
      </c>
      <c r="W190" s="14">
        <f t="shared" si="5"/>
        <v>100</v>
      </c>
      <c r="X190" s="14">
        <f t="shared" si="6"/>
        <v>100</v>
      </c>
      <c r="Y190" s="14">
        <f t="shared" si="7"/>
        <v>100</v>
      </c>
      <c r="Z190" s="14" t="str">
        <f t="shared" si="8"/>
        <v/>
      </c>
      <c r="AA190" s="14" t="str">
        <f t="shared" si="9"/>
        <v/>
      </c>
      <c r="AB190" s="14" t="str">
        <f t="shared" si="10"/>
        <v>Fully Accessible</v>
      </c>
      <c r="AC190" s="14">
        <f t="shared" si="11"/>
        <v>0.019982056</v>
      </c>
      <c r="AE190" s="15" t="s">
        <v>250</v>
      </c>
      <c r="AF190" s="16" t="s">
        <v>57</v>
      </c>
      <c r="AH190" s="17" t="str">
        <f t="shared" si="12"/>
        <v>Latin America &amp; Caribbean</v>
      </c>
      <c r="AI190" s="21"/>
      <c r="AJ190" s="21"/>
      <c r="AK190" s="15">
        <f t="shared" si="13"/>
        <v>0</v>
      </c>
      <c r="AL190" s="24"/>
      <c r="AM190" s="21"/>
      <c r="AN190" s="21"/>
      <c r="AO190" s="15">
        <f t="shared" si="16"/>
        <v>0</v>
      </c>
      <c r="AP190" s="24"/>
      <c r="AQ190" s="21"/>
      <c r="AR190" s="21"/>
      <c r="AS190" s="15">
        <f t="shared" si="19"/>
        <v>0</v>
      </c>
      <c r="AT190" s="24"/>
      <c r="AU190" s="21"/>
      <c r="AX190" s="14">
        <f t="shared" si="22"/>
        <v>19438.27441</v>
      </c>
      <c r="AY190" s="14">
        <f t="shared" si="23"/>
        <v>142.4420013</v>
      </c>
      <c r="AZ190" s="14">
        <f t="shared" si="24"/>
        <v>19295.83241</v>
      </c>
      <c r="BA190" s="17"/>
    </row>
    <row r="191">
      <c r="A191" s="2" t="s">
        <v>156</v>
      </c>
      <c r="B191" s="2">
        <v>2020.0</v>
      </c>
      <c r="C191" s="2">
        <v>9660.349609</v>
      </c>
      <c r="D191" s="2">
        <v>71.94200134</v>
      </c>
      <c r="E191" s="2">
        <v>99.99999747</v>
      </c>
      <c r="F191" s="2">
        <v>0.0</v>
      </c>
      <c r="G191" s="2">
        <v>2.527244192E-6</v>
      </c>
      <c r="H191" s="2">
        <v>0.0</v>
      </c>
      <c r="I191" s="2">
        <v>100.0</v>
      </c>
      <c r="J191" s="2">
        <v>0.0</v>
      </c>
      <c r="K191" s="2">
        <v>0.0</v>
      </c>
      <c r="L191" s="2">
        <v>0.0</v>
      </c>
      <c r="M191" s="2">
        <v>100.0</v>
      </c>
      <c r="N191" s="2">
        <v>0.0</v>
      </c>
      <c r="O191" s="2">
        <v>0.0</v>
      </c>
      <c r="P191" s="2">
        <v>0.0</v>
      </c>
      <c r="Q191" s="13" t="str">
        <f t="shared" si="1"/>
        <v>Hungary|2020</v>
      </c>
      <c r="R191" s="14" t="str">
        <f t="shared" si="2"/>
        <v> </v>
      </c>
      <c r="T191" s="14" t="b">
        <f t="shared" si="3"/>
        <v>0</v>
      </c>
      <c r="U191" s="14" t="b">
        <f t="shared" si="29"/>
        <v>0</v>
      </c>
      <c r="V191" s="14" t="b">
        <f t="shared" si="4"/>
        <v>0</v>
      </c>
      <c r="W191" s="14">
        <f t="shared" si="5"/>
        <v>100</v>
      </c>
      <c r="X191" s="14">
        <f t="shared" si="6"/>
        <v>100</v>
      </c>
      <c r="Y191" s="14">
        <f t="shared" si="7"/>
        <v>100</v>
      </c>
      <c r="Z191" s="14" t="str">
        <f t="shared" si="8"/>
        <v/>
      </c>
      <c r="AA191" s="14" t="str">
        <f t="shared" si="9"/>
        <v/>
      </c>
      <c r="AB191" s="14" t="str">
        <f t="shared" si="10"/>
        <v/>
      </c>
      <c r="AC191" s="14">
        <f t="shared" si="11"/>
        <v>0</v>
      </c>
      <c r="AE191" s="15" t="s">
        <v>251</v>
      </c>
      <c r="AF191" s="16" t="s">
        <v>53</v>
      </c>
      <c r="AH191" s="17" t="str">
        <f t="shared" si="12"/>
        <v>Europe &amp; Central Asia</v>
      </c>
      <c r="AI191" s="21"/>
      <c r="AJ191" s="21"/>
      <c r="AK191" s="15">
        <f t="shared" si="13"/>
        <v>0.00010189</v>
      </c>
      <c r="AL191" s="24"/>
      <c r="AM191" s="21"/>
      <c r="AN191" s="21"/>
      <c r="AO191" s="15">
        <f t="shared" si="16"/>
        <v>0</v>
      </c>
      <c r="AP191" s="24"/>
      <c r="AQ191" s="21"/>
      <c r="AR191" s="21"/>
      <c r="AS191" s="15">
        <f t="shared" si="19"/>
        <v>0</v>
      </c>
      <c r="AT191" s="24"/>
      <c r="AU191" s="21"/>
      <c r="AX191" s="14" t="str">
        <f t="shared" si="22"/>
        <v>null</v>
      </c>
      <c r="AY191" s="14" t="str">
        <f t="shared" si="23"/>
        <v>null</v>
      </c>
      <c r="AZ191" s="14" t="str">
        <f t="shared" si="24"/>
        <v>null</v>
      </c>
      <c r="BA191" s="17"/>
    </row>
    <row r="192">
      <c r="A192" s="2" t="s">
        <v>157</v>
      </c>
      <c r="B192" s="2">
        <v>2015.0</v>
      </c>
      <c r="C192" s="2">
        <v>330.2369995</v>
      </c>
      <c r="D192" s="2">
        <v>93.69999695</v>
      </c>
      <c r="E192" s="2">
        <v>100.0000023</v>
      </c>
      <c r="F192" s="2">
        <v>0.0</v>
      </c>
      <c r="G192" s="2">
        <v>0.0</v>
      </c>
      <c r="H192" s="2">
        <v>0.0</v>
      </c>
      <c r="I192" s="2">
        <v>100.0</v>
      </c>
      <c r="J192" s="2">
        <v>0.0</v>
      </c>
      <c r="K192" s="2">
        <v>0.0</v>
      </c>
      <c r="L192" s="2">
        <v>0.0</v>
      </c>
      <c r="M192" s="2">
        <v>100.0</v>
      </c>
      <c r="N192" s="2">
        <v>0.0</v>
      </c>
      <c r="O192" s="2">
        <v>0.0</v>
      </c>
      <c r="P192" s="2">
        <v>0.0</v>
      </c>
      <c r="Q192" s="13" t="str">
        <f t="shared" si="1"/>
        <v>Iceland|2015</v>
      </c>
      <c r="R192" s="14">
        <f t="shared" si="2"/>
        <v>5</v>
      </c>
      <c r="T192" s="14">
        <f t="shared" si="3"/>
        <v>-0.000001018</v>
      </c>
      <c r="U192" s="14">
        <f t="shared" si="29"/>
        <v>0</v>
      </c>
      <c r="V192" s="14">
        <f t="shared" si="4"/>
        <v>0</v>
      </c>
      <c r="W192" s="14">
        <f t="shared" si="5"/>
        <v>100</v>
      </c>
      <c r="X192" s="14">
        <f t="shared" si="6"/>
        <v>100</v>
      </c>
      <c r="Y192" s="14">
        <f t="shared" si="7"/>
        <v>100</v>
      </c>
      <c r="Z192" s="14" t="str">
        <f t="shared" si="8"/>
        <v/>
      </c>
      <c r="AA192" s="14" t="str">
        <f t="shared" si="9"/>
        <v/>
      </c>
      <c r="AB192" s="14" t="str">
        <f t="shared" si="10"/>
        <v>Fully Accessible</v>
      </c>
      <c r="AC192" s="14">
        <f t="shared" si="11"/>
        <v>0</v>
      </c>
      <c r="AE192" s="15" t="s">
        <v>252</v>
      </c>
      <c r="AF192" s="16" t="s">
        <v>53</v>
      </c>
      <c r="AH192" s="17" t="str">
        <f t="shared" si="12"/>
        <v>Europe &amp; Central Asia</v>
      </c>
      <c r="AI192" s="21"/>
      <c r="AJ192" s="21"/>
      <c r="AK192" s="15">
        <f t="shared" si="13"/>
        <v>0</v>
      </c>
      <c r="AL192" s="24"/>
      <c r="AM192" s="21"/>
      <c r="AN192" s="21"/>
      <c r="AO192" s="15">
        <f t="shared" si="16"/>
        <v>0</v>
      </c>
      <c r="AP192" s="24"/>
      <c r="AQ192" s="21"/>
      <c r="AR192" s="21"/>
      <c r="AS192" s="15">
        <f t="shared" si="19"/>
        <v>0</v>
      </c>
      <c r="AT192" s="24"/>
      <c r="AU192" s="21"/>
      <c r="AX192" s="14">
        <f t="shared" si="22"/>
        <v>671.4869995</v>
      </c>
      <c r="AY192" s="14">
        <f t="shared" si="23"/>
        <v>187.597992</v>
      </c>
      <c r="AZ192" s="14">
        <f t="shared" si="24"/>
        <v>483.8890076</v>
      </c>
      <c r="BA192" s="17"/>
    </row>
    <row r="193">
      <c r="A193" s="2" t="s">
        <v>157</v>
      </c>
      <c r="B193" s="2">
        <v>2020.0</v>
      </c>
      <c r="C193" s="2">
        <v>341.25</v>
      </c>
      <c r="D193" s="2">
        <v>93.897995</v>
      </c>
      <c r="E193" s="2">
        <v>99.99999721</v>
      </c>
      <c r="F193" s="2">
        <v>0.0</v>
      </c>
      <c r="G193" s="2">
        <v>2.794650015E-6</v>
      </c>
      <c r="H193" s="2">
        <v>0.0</v>
      </c>
      <c r="I193" s="2">
        <v>100.0</v>
      </c>
      <c r="J193" s="2">
        <v>0.0</v>
      </c>
      <c r="K193" s="2">
        <v>0.0</v>
      </c>
      <c r="L193" s="2">
        <v>0.0</v>
      </c>
      <c r="M193" s="2">
        <v>100.0</v>
      </c>
      <c r="N193" s="2">
        <v>0.0</v>
      </c>
      <c r="O193" s="2">
        <v>0.0</v>
      </c>
      <c r="P193" s="2">
        <v>0.0</v>
      </c>
      <c r="Q193" s="13" t="str">
        <f t="shared" si="1"/>
        <v>Iceland|2020</v>
      </c>
      <c r="R193" s="14" t="str">
        <f t="shared" si="2"/>
        <v> </v>
      </c>
      <c r="T193" s="14" t="b">
        <f t="shared" si="3"/>
        <v>0</v>
      </c>
      <c r="U193" s="14" t="b">
        <f t="shared" si="29"/>
        <v>0</v>
      </c>
      <c r="V193" s="14" t="b">
        <f t="shared" si="4"/>
        <v>0</v>
      </c>
      <c r="W193" s="14">
        <f t="shared" si="5"/>
        <v>100</v>
      </c>
      <c r="X193" s="14">
        <f t="shared" si="6"/>
        <v>100</v>
      </c>
      <c r="Y193" s="14">
        <f t="shared" si="7"/>
        <v>100</v>
      </c>
      <c r="Z193" s="14" t="str">
        <f t="shared" si="8"/>
        <v/>
      </c>
      <c r="AA193" s="14" t="str">
        <f t="shared" si="9"/>
        <v/>
      </c>
      <c r="AB193" s="14" t="str">
        <f t="shared" si="10"/>
        <v/>
      </c>
      <c r="AC193" s="14">
        <f t="shared" si="11"/>
        <v>0</v>
      </c>
      <c r="AE193" s="15" t="s">
        <v>253</v>
      </c>
      <c r="AF193" s="16" t="s">
        <v>51</v>
      </c>
      <c r="AH193" s="17" t="str">
        <f t="shared" si="12"/>
        <v>East Asia &amp; Pacific</v>
      </c>
      <c r="AI193" s="21"/>
      <c r="AJ193" s="21"/>
      <c r="AK193" s="15">
        <f t="shared" si="13"/>
        <v>-0.40577867</v>
      </c>
      <c r="AL193" s="24"/>
      <c r="AM193" s="21"/>
      <c r="AN193" s="21"/>
      <c r="AO193" s="15">
        <f t="shared" si="16"/>
        <v>-0.72137414</v>
      </c>
      <c r="AP193" s="24"/>
      <c r="AQ193" s="21"/>
      <c r="AR193" s="21"/>
      <c r="AS193" s="15">
        <f t="shared" si="19"/>
        <v>0.028760968</v>
      </c>
      <c r="AT193" s="24"/>
      <c r="AU193" s="21"/>
      <c r="AX193" s="14" t="str">
        <f t="shared" si="22"/>
        <v>null</v>
      </c>
      <c r="AY193" s="14" t="str">
        <f t="shared" si="23"/>
        <v>null</v>
      </c>
      <c r="AZ193" s="14" t="str">
        <f t="shared" si="24"/>
        <v>null</v>
      </c>
      <c r="BA193" s="8"/>
    </row>
    <row r="194">
      <c r="A194" s="2" t="s">
        <v>158</v>
      </c>
      <c r="B194" s="2">
        <v>2015.0</v>
      </c>
      <c r="C194" s="2">
        <v>1310152.375</v>
      </c>
      <c r="D194" s="2">
        <v>32.77700043</v>
      </c>
      <c r="E194" s="2">
        <v>88.13813263</v>
      </c>
      <c r="F194" s="2">
        <v>4.692599015</v>
      </c>
      <c r="G194" s="2">
        <v>6.412451552</v>
      </c>
      <c r="H194" s="2">
        <v>0.7568168039</v>
      </c>
      <c r="I194" s="2">
        <v>85.57200035</v>
      </c>
      <c r="J194" s="2">
        <v>5.542133893</v>
      </c>
      <c r="K194" s="2">
        <v>7.880870004</v>
      </c>
      <c r="L194" s="2">
        <v>1.004995751</v>
      </c>
      <c r="M194" s="2">
        <v>93.40106461</v>
      </c>
      <c r="N194" s="2">
        <v>2.950270954</v>
      </c>
      <c r="O194" s="2">
        <v>3.4008428</v>
      </c>
      <c r="P194" s="2">
        <v>0.2478216409</v>
      </c>
      <c r="Q194" s="13" t="str">
        <f t="shared" si="1"/>
        <v>India|2015</v>
      </c>
      <c r="R194" s="14">
        <f t="shared" si="2"/>
        <v>5</v>
      </c>
      <c r="T194" s="14">
        <f t="shared" si="3"/>
        <v>0.47027848</v>
      </c>
      <c r="U194" s="14">
        <f t="shared" si="29"/>
        <v>0.642100556</v>
      </c>
      <c r="V194" s="14">
        <f t="shared" si="4"/>
        <v>0.053794338</v>
      </c>
      <c r="W194" s="14">
        <f t="shared" si="5"/>
        <v>88</v>
      </c>
      <c r="X194" s="14">
        <f t="shared" si="6"/>
        <v>86</v>
      </c>
      <c r="Y194" s="14">
        <f t="shared" si="7"/>
        <v>93</v>
      </c>
      <c r="Z194" s="14" t="str">
        <f t="shared" si="8"/>
        <v/>
      </c>
      <c r="AA194" s="14" t="str">
        <f t="shared" si="9"/>
        <v/>
      </c>
      <c r="AB194" s="14" t="str">
        <f t="shared" si="10"/>
        <v>Fully Accessible</v>
      </c>
      <c r="AC194" s="14">
        <f t="shared" si="11"/>
        <v>0.588306218</v>
      </c>
      <c r="AE194" s="15" t="s">
        <v>254</v>
      </c>
      <c r="AF194" s="16" t="s">
        <v>63</v>
      </c>
      <c r="AH194" s="17" t="str">
        <f t="shared" si="12"/>
        <v>Sub-Saharan Africa</v>
      </c>
      <c r="AI194" s="21"/>
      <c r="AJ194" s="21"/>
      <c r="AK194" s="15">
        <f t="shared" si="13"/>
        <v>1.553163942</v>
      </c>
      <c r="AL194" s="24"/>
      <c r="AM194" s="21"/>
      <c r="AN194" s="21"/>
      <c r="AO194" s="15">
        <f t="shared" si="16"/>
        <v>1.569534044</v>
      </c>
      <c r="AP194" s="24"/>
      <c r="AQ194" s="21"/>
      <c r="AR194" s="21"/>
      <c r="AS194" s="15">
        <f t="shared" si="19"/>
        <v>0.96851942</v>
      </c>
      <c r="AT194" s="24"/>
      <c r="AU194" s="21"/>
      <c r="AX194" s="14">
        <f t="shared" si="22"/>
        <v>2690156.75</v>
      </c>
      <c r="AY194" s="14">
        <f t="shared" si="23"/>
        <v>67.70300293</v>
      </c>
      <c r="AZ194" s="14">
        <f t="shared" si="24"/>
        <v>2690089.047</v>
      </c>
      <c r="BA194" s="27"/>
    </row>
    <row r="195">
      <c r="A195" s="2" t="s">
        <v>158</v>
      </c>
      <c r="B195" s="2">
        <v>2020.0</v>
      </c>
      <c r="C195" s="2">
        <v>1380004.375</v>
      </c>
      <c r="D195" s="2">
        <v>34.9260025</v>
      </c>
      <c r="E195" s="2">
        <v>90.48952503</v>
      </c>
      <c r="F195" s="2">
        <v>4.983602562</v>
      </c>
      <c r="G195" s="2">
        <v>3.963153945</v>
      </c>
      <c r="H195" s="2">
        <v>0.5637184626</v>
      </c>
      <c r="I195" s="2">
        <v>88.78250313</v>
      </c>
      <c r="J195" s="2">
        <v>5.902210054</v>
      </c>
      <c r="K195" s="2">
        <v>4.57637573</v>
      </c>
      <c r="L195" s="2">
        <v>0.7389110856</v>
      </c>
      <c r="M195" s="2">
        <v>93.6700363</v>
      </c>
      <c r="N195" s="2">
        <v>3.272056027</v>
      </c>
      <c r="O195" s="2">
        <v>2.820607523</v>
      </c>
      <c r="P195" s="2">
        <v>0.2373001538</v>
      </c>
      <c r="Q195" s="13" t="str">
        <f t="shared" si="1"/>
        <v>India|2020</v>
      </c>
      <c r="R195" s="14" t="str">
        <f t="shared" si="2"/>
        <v> </v>
      </c>
      <c r="T195" s="14" t="b">
        <f t="shared" si="3"/>
        <v>0</v>
      </c>
      <c r="U195" s="14" t="b">
        <f t="shared" si="29"/>
        <v>0</v>
      </c>
      <c r="V195" s="14" t="b">
        <f t="shared" si="4"/>
        <v>0</v>
      </c>
      <c r="W195" s="14">
        <f t="shared" si="5"/>
        <v>90</v>
      </c>
      <c r="X195" s="14">
        <f t="shared" si="6"/>
        <v>89</v>
      </c>
      <c r="Y195" s="14">
        <f t="shared" si="7"/>
        <v>94</v>
      </c>
      <c r="Z195" s="14" t="str">
        <f t="shared" si="8"/>
        <v/>
      </c>
      <c r="AA195" s="14" t="str">
        <f t="shared" si="9"/>
        <v/>
      </c>
      <c r="AB195" s="14" t="str">
        <f t="shared" si="10"/>
        <v/>
      </c>
      <c r="AC195" s="14">
        <f t="shared" si="11"/>
        <v>0</v>
      </c>
      <c r="AE195" s="15" t="s">
        <v>255</v>
      </c>
      <c r="AF195" s="16" t="s">
        <v>63</v>
      </c>
      <c r="AH195" s="17" t="str">
        <f t="shared" si="12"/>
        <v>Sub-Saharan Africa</v>
      </c>
      <c r="AI195" s="21"/>
      <c r="AJ195" s="21"/>
      <c r="AK195" s="15">
        <f t="shared" si="13"/>
        <v>0.401742714</v>
      </c>
      <c r="AL195" s="24"/>
      <c r="AM195" s="21"/>
      <c r="AN195" s="21"/>
      <c r="AO195" s="15">
        <f t="shared" si="16"/>
        <v>0.85914853</v>
      </c>
      <c r="AP195" s="24"/>
      <c r="AQ195" s="21"/>
      <c r="AR195" s="21"/>
      <c r="AS195" s="15">
        <f t="shared" si="19"/>
        <v>0.031450278</v>
      </c>
      <c r="AT195" s="24"/>
      <c r="AU195" s="21"/>
      <c r="AX195" s="14" t="str">
        <f t="shared" si="22"/>
        <v>null</v>
      </c>
      <c r="AY195" s="14" t="str">
        <f t="shared" si="23"/>
        <v>null</v>
      </c>
      <c r="AZ195" s="14" t="str">
        <f t="shared" si="24"/>
        <v>null</v>
      </c>
      <c r="BA195" s="17"/>
    </row>
    <row r="196">
      <c r="A196" s="2" t="s">
        <v>159</v>
      </c>
      <c r="B196" s="2">
        <v>2015.0</v>
      </c>
      <c r="C196" s="2">
        <v>258383.25</v>
      </c>
      <c r="D196" s="2">
        <v>53.31299973</v>
      </c>
      <c r="E196" s="2">
        <v>88.52735296</v>
      </c>
      <c r="F196" s="2">
        <v>0.7941305226</v>
      </c>
      <c r="G196" s="2">
        <v>8.943859564</v>
      </c>
      <c r="H196" s="2">
        <v>1.734656954</v>
      </c>
      <c r="I196" s="2">
        <v>80.63079119</v>
      </c>
      <c r="J196" s="2">
        <v>0.9740457315</v>
      </c>
      <c r="K196" s="2">
        <v>14.98518808</v>
      </c>
      <c r="L196" s="2">
        <v>3.409975001</v>
      </c>
      <c r="M196" s="2">
        <v>95.44249176</v>
      </c>
      <c r="N196" s="2">
        <v>0.6365760478</v>
      </c>
      <c r="O196" s="2">
        <v>3.653376641</v>
      </c>
      <c r="P196" s="2">
        <v>0.2675555532</v>
      </c>
      <c r="Q196" s="13" t="str">
        <f t="shared" si="1"/>
        <v>Indonesia|2015</v>
      </c>
      <c r="R196" s="14">
        <f t="shared" si="2"/>
        <v>5</v>
      </c>
      <c r="T196" s="14">
        <f t="shared" si="3"/>
        <v>0.77759933</v>
      </c>
      <c r="U196" s="14">
        <f t="shared" si="29"/>
        <v>1.007434238</v>
      </c>
      <c r="V196" s="14">
        <f t="shared" si="4"/>
        <v>0.427604062</v>
      </c>
      <c r="W196" s="14">
        <f t="shared" si="5"/>
        <v>89</v>
      </c>
      <c r="X196" s="14">
        <f t="shared" si="6"/>
        <v>81</v>
      </c>
      <c r="Y196" s="14">
        <f t="shared" si="7"/>
        <v>95</v>
      </c>
      <c r="Z196" s="14" t="str">
        <f t="shared" si="8"/>
        <v/>
      </c>
      <c r="AA196" s="14" t="str">
        <f t="shared" si="9"/>
        <v/>
      </c>
      <c r="AB196" s="14" t="str">
        <f t="shared" si="10"/>
        <v>Fully Accessible</v>
      </c>
      <c r="AC196" s="14">
        <f t="shared" si="11"/>
        <v>0.579830176</v>
      </c>
      <c r="AE196" s="15" t="s">
        <v>256</v>
      </c>
      <c r="AF196" s="16" t="s">
        <v>63</v>
      </c>
      <c r="AH196" s="17" t="str">
        <f t="shared" si="12"/>
        <v>Sub-Saharan Africa</v>
      </c>
      <c r="AI196" s="21"/>
      <c r="AJ196" s="21"/>
      <c r="AK196" s="15">
        <f t="shared" si="13"/>
        <v>-0.059316458</v>
      </c>
      <c r="AL196" s="24"/>
      <c r="AM196" s="21"/>
      <c r="AN196" s="21"/>
      <c r="AO196" s="15">
        <f t="shared" si="16"/>
        <v>-0.626630184</v>
      </c>
      <c r="AP196" s="24"/>
      <c r="AQ196" s="21"/>
      <c r="AR196" s="21"/>
      <c r="AS196" s="15">
        <f t="shared" si="19"/>
        <v>1.862165418</v>
      </c>
      <c r="AT196" s="24"/>
      <c r="AU196" s="21"/>
      <c r="AX196" s="14">
        <f t="shared" si="22"/>
        <v>531906.875</v>
      </c>
      <c r="AY196" s="14">
        <f t="shared" si="23"/>
        <v>109.9539986</v>
      </c>
      <c r="AZ196" s="14">
        <f t="shared" si="24"/>
        <v>531796.921</v>
      </c>
      <c r="BA196" s="27"/>
    </row>
    <row r="197">
      <c r="A197" s="2" t="s">
        <v>159</v>
      </c>
      <c r="B197" s="2">
        <v>2020.0</v>
      </c>
      <c r="C197" s="2">
        <v>273523.625</v>
      </c>
      <c r="D197" s="2">
        <v>56.64099884</v>
      </c>
      <c r="E197" s="2">
        <v>92.41534961</v>
      </c>
      <c r="F197" s="2">
        <v>0.8554746335</v>
      </c>
      <c r="G197" s="2">
        <v>5.553871666</v>
      </c>
      <c r="H197" s="2">
        <v>1.175304087</v>
      </c>
      <c r="I197" s="2">
        <v>85.66796238</v>
      </c>
      <c r="J197" s="2">
        <v>1.17809123</v>
      </c>
      <c r="K197" s="2">
        <v>10.61491462</v>
      </c>
      <c r="L197" s="2">
        <v>2.539031772</v>
      </c>
      <c r="M197" s="2">
        <v>97.58051207</v>
      </c>
      <c r="N197" s="2">
        <v>0.6085098345</v>
      </c>
      <c r="O197" s="2">
        <v>1.679615139</v>
      </c>
      <c r="P197" s="2">
        <v>0.1313629588</v>
      </c>
      <c r="Q197" s="13" t="str">
        <f t="shared" si="1"/>
        <v>Indonesia|2020</v>
      </c>
      <c r="R197" s="14" t="str">
        <f t="shared" si="2"/>
        <v> </v>
      </c>
      <c r="T197" s="14" t="b">
        <f t="shared" si="3"/>
        <v>0</v>
      </c>
      <c r="U197" s="14" t="b">
        <f t="shared" si="29"/>
        <v>0</v>
      </c>
      <c r="V197" s="14" t="b">
        <f t="shared" si="4"/>
        <v>0</v>
      </c>
      <c r="W197" s="14">
        <f t="shared" si="5"/>
        <v>92</v>
      </c>
      <c r="X197" s="14">
        <f t="shared" si="6"/>
        <v>86</v>
      </c>
      <c r="Y197" s="14">
        <f t="shared" si="7"/>
        <v>98</v>
      </c>
      <c r="Z197" s="14" t="str">
        <f t="shared" si="8"/>
        <v/>
      </c>
      <c r="AA197" s="14" t="str">
        <f t="shared" si="9"/>
        <v/>
      </c>
      <c r="AB197" s="14" t="str">
        <f t="shared" si="10"/>
        <v/>
      </c>
      <c r="AC197" s="14">
        <f t="shared" si="11"/>
        <v>0</v>
      </c>
      <c r="AE197" s="15" t="s">
        <v>257</v>
      </c>
      <c r="AF197" s="16" t="s">
        <v>53</v>
      </c>
      <c r="AH197" s="17" t="str">
        <f t="shared" si="12"/>
        <v>Europe &amp; Central Asia</v>
      </c>
      <c r="AI197" s="21"/>
      <c r="AJ197" s="21"/>
      <c r="AK197" s="15">
        <f t="shared" si="13"/>
        <v>-0.00022157</v>
      </c>
      <c r="AL197" s="24"/>
      <c r="AM197" s="21"/>
      <c r="AN197" s="21"/>
      <c r="AO197" s="15">
        <f t="shared" si="16"/>
        <v>0</v>
      </c>
      <c r="AP197" s="24"/>
      <c r="AQ197" s="21"/>
      <c r="AR197" s="21"/>
      <c r="AS197" s="15">
        <f t="shared" si="19"/>
        <v>0</v>
      </c>
      <c r="AT197" s="24"/>
      <c r="AU197" s="21"/>
      <c r="AX197" s="14" t="str">
        <f t="shared" si="22"/>
        <v>null</v>
      </c>
      <c r="AY197" s="14" t="str">
        <f t="shared" si="23"/>
        <v>null</v>
      </c>
      <c r="AZ197" s="14" t="str">
        <f t="shared" si="24"/>
        <v>null</v>
      </c>
      <c r="BA197" s="27"/>
    </row>
    <row r="198">
      <c r="A198" s="2" t="s">
        <v>160</v>
      </c>
      <c r="B198" s="2">
        <v>2015.0</v>
      </c>
      <c r="C198" s="2">
        <v>78492.21094</v>
      </c>
      <c r="D198" s="2">
        <v>73.35800171</v>
      </c>
      <c r="E198" s="2">
        <v>96.80698708</v>
      </c>
      <c r="F198" s="2">
        <v>1.994891573</v>
      </c>
      <c r="G198" s="2">
        <v>1.126061081</v>
      </c>
      <c r="H198" s="2">
        <v>0.07206026561</v>
      </c>
      <c r="I198" s="2">
        <v>92.16250265</v>
      </c>
      <c r="J198" s="2">
        <v>4.221624781</v>
      </c>
      <c r="K198" s="2">
        <v>3.345396383</v>
      </c>
      <c r="L198" s="2">
        <v>0.2704761905</v>
      </c>
      <c r="M198" s="2">
        <v>98.49376087</v>
      </c>
      <c r="N198" s="2">
        <v>1.186191432</v>
      </c>
      <c r="O198" s="2">
        <v>0.3200476961</v>
      </c>
      <c r="P198" s="2">
        <v>0.0</v>
      </c>
      <c r="Q198" s="13" t="str">
        <f t="shared" si="1"/>
        <v>Iran (Islamic Republic of)|2015</v>
      </c>
      <c r="R198" s="14">
        <f t="shared" si="2"/>
        <v>5</v>
      </c>
      <c r="T198" s="14">
        <f t="shared" si="3"/>
        <v>0.13512985</v>
      </c>
      <c r="U198" s="14">
        <f t="shared" si="29"/>
        <v>0.333246546</v>
      </c>
      <c r="V198" s="14">
        <f t="shared" si="4"/>
        <v>0.03014517</v>
      </c>
      <c r="W198" s="14">
        <f t="shared" si="5"/>
        <v>97</v>
      </c>
      <c r="X198" s="14">
        <f t="shared" si="6"/>
        <v>92</v>
      </c>
      <c r="Y198" s="14">
        <f t="shared" si="7"/>
        <v>98</v>
      </c>
      <c r="Z198" s="14" t="str">
        <f t="shared" si="8"/>
        <v/>
      </c>
      <c r="AA198" s="14" t="str">
        <f t="shared" si="9"/>
        <v/>
      </c>
      <c r="AB198" s="14" t="str">
        <f t="shared" si="10"/>
        <v>Fully Accessible</v>
      </c>
      <c r="AC198" s="14">
        <f t="shared" si="11"/>
        <v>0.303101376</v>
      </c>
      <c r="AE198" s="15" t="s">
        <v>258</v>
      </c>
      <c r="AF198" s="16" t="s">
        <v>50</v>
      </c>
      <c r="AH198" s="17" t="str">
        <f t="shared" si="12"/>
        <v>South Asia</v>
      </c>
      <c r="AI198" s="21"/>
      <c r="AJ198" s="21"/>
      <c r="AK198" s="15">
        <f t="shared" si="13"/>
        <v>0.42331016</v>
      </c>
      <c r="AL198" s="24"/>
      <c r="AM198" s="21"/>
      <c r="AN198" s="21"/>
      <c r="AO198" s="15">
        <f t="shared" si="16"/>
        <v>0.456065912</v>
      </c>
      <c r="AP198" s="24"/>
      <c r="AQ198" s="21"/>
      <c r="AR198" s="21"/>
      <c r="AS198" s="15">
        <f t="shared" si="19"/>
        <v>0.231426734</v>
      </c>
      <c r="AT198" s="24"/>
      <c r="AU198" s="21"/>
      <c r="AX198" s="14">
        <f t="shared" si="22"/>
        <v>162485.1641</v>
      </c>
      <c r="AY198" s="14">
        <f t="shared" si="23"/>
        <v>149.2320023</v>
      </c>
      <c r="AZ198" s="14">
        <f t="shared" si="24"/>
        <v>162335.9321</v>
      </c>
      <c r="BA198" s="17"/>
    </row>
    <row r="199">
      <c r="A199" s="2" t="s">
        <v>160</v>
      </c>
      <c r="B199" s="2">
        <v>2020.0</v>
      </c>
      <c r="C199" s="2">
        <v>83992.95313</v>
      </c>
      <c r="D199" s="2">
        <v>75.87400055</v>
      </c>
      <c r="E199" s="2">
        <v>97.48263633</v>
      </c>
      <c r="F199" s="2">
        <v>1.938311229</v>
      </c>
      <c r="G199" s="2">
        <v>0.5137973631</v>
      </c>
      <c r="H199" s="2">
        <v>0.06525508185</v>
      </c>
      <c r="I199" s="2">
        <v>93.82873538</v>
      </c>
      <c r="J199" s="2">
        <v>4.297948765</v>
      </c>
      <c r="K199" s="2">
        <v>1.602839669</v>
      </c>
      <c r="L199" s="2">
        <v>0.2704761905</v>
      </c>
      <c r="M199" s="2">
        <v>98.64448672</v>
      </c>
      <c r="N199" s="2">
        <v>1.188006671</v>
      </c>
      <c r="O199" s="2">
        <v>0.1675066077</v>
      </c>
      <c r="P199" s="2">
        <v>0.0</v>
      </c>
      <c r="Q199" s="13" t="str">
        <f t="shared" si="1"/>
        <v>Iran (Islamic Republic of)|2020</v>
      </c>
      <c r="R199" s="14" t="str">
        <f t="shared" si="2"/>
        <v> </v>
      </c>
      <c r="T199" s="14" t="b">
        <f t="shared" si="3"/>
        <v>0</v>
      </c>
      <c r="U199" s="14" t="b">
        <f t="shared" si="29"/>
        <v>0</v>
      </c>
      <c r="V199" s="14" t="b">
        <f t="shared" si="4"/>
        <v>0</v>
      </c>
      <c r="W199" s="14">
        <f t="shared" si="5"/>
        <v>97</v>
      </c>
      <c r="X199" s="14">
        <f t="shared" si="6"/>
        <v>94</v>
      </c>
      <c r="Y199" s="14">
        <f t="shared" si="7"/>
        <v>99</v>
      </c>
      <c r="Z199" s="14" t="str">
        <f t="shared" si="8"/>
        <v/>
      </c>
      <c r="AA199" s="14" t="str">
        <f t="shared" si="9"/>
        <v/>
      </c>
      <c r="AB199" s="14" t="str">
        <f t="shared" si="10"/>
        <v/>
      </c>
      <c r="AC199" s="14">
        <f t="shared" si="11"/>
        <v>0</v>
      </c>
      <c r="AE199" s="15" t="s">
        <v>259</v>
      </c>
      <c r="AF199" s="16" t="s">
        <v>56</v>
      </c>
      <c r="AH199" s="17" t="str">
        <f t="shared" si="12"/>
        <v>Middle East &amp; North Africa</v>
      </c>
      <c r="AI199" s="21"/>
      <c r="AJ199" s="21"/>
      <c r="AK199" s="15">
        <f t="shared" si="13"/>
        <v>0.299684456</v>
      </c>
      <c r="AL199" s="24"/>
      <c r="AM199" s="21"/>
      <c r="AN199" s="21"/>
      <c r="AO199" s="15">
        <f t="shared" si="16"/>
        <v>0.298317868</v>
      </c>
      <c r="AP199" s="24"/>
      <c r="AQ199" s="21"/>
      <c r="AR199" s="21"/>
      <c r="AS199" s="15">
        <f t="shared" si="19"/>
        <v>0.137440398</v>
      </c>
      <c r="AT199" s="24"/>
      <c r="AU199" s="21"/>
      <c r="AX199" s="14" t="str">
        <f t="shared" si="22"/>
        <v>null</v>
      </c>
      <c r="AY199" s="14" t="str">
        <f t="shared" si="23"/>
        <v>null</v>
      </c>
      <c r="AZ199" s="14" t="str">
        <f t="shared" si="24"/>
        <v>null</v>
      </c>
      <c r="BA199" s="17"/>
    </row>
    <row r="200">
      <c r="A200" s="2" t="s">
        <v>161</v>
      </c>
      <c r="B200" s="2">
        <v>2015.0</v>
      </c>
      <c r="C200" s="2">
        <v>35572.26953</v>
      </c>
      <c r="D200" s="2">
        <v>69.92099762</v>
      </c>
      <c r="E200" s="2">
        <v>94.2475933</v>
      </c>
      <c r="F200" s="2">
        <v>1.056676215</v>
      </c>
      <c r="G200" s="2">
        <v>1.737911036</v>
      </c>
      <c r="H200" s="2">
        <v>2.95781945</v>
      </c>
      <c r="I200" s="2">
        <v>84.76271011</v>
      </c>
      <c r="J200" s="2">
        <v>2.830616935</v>
      </c>
      <c r="K200" s="2">
        <v>2.77640479</v>
      </c>
      <c r="L200" s="2">
        <v>9.630268161</v>
      </c>
      <c r="M200" s="2">
        <v>98.3278526</v>
      </c>
      <c r="N200" s="2">
        <v>0.2935526231</v>
      </c>
      <c r="O200" s="2">
        <v>1.291166071</v>
      </c>
      <c r="P200" s="2">
        <v>0.0874287017</v>
      </c>
      <c r="Q200" s="13" t="str">
        <f t="shared" si="1"/>
        <v>Iraq|2015</v>
      </c>
      <c r="R200" s="14">
        <f t="shared" si="2"/>
        <v>5</v>
      </c>
      <c r="T200" s="14">
        <f t="shared" si="3"/>
        <v>0.82246199</v>
      </c>
      <c r="U200" s="14">
        <f t="shared" si="29"/>
        <v>2.013687334</v>
      </c>
      <c r="V200" s="14">
        <f t="shared" si="4"/>
        <v>0.296175686</v>
      </c>
      <c r="W200" s="14">
        <f t="shared" si="5"/>
        <v>94</v>
      </c>
      <c r="X200" s="14">
        <f t="shared" si="6"/>
        <v>85</v>
      </c>
      <c r="Y200" s="14">
        <f t="shared" si="7"/>
        <v>98</v>
      </c>
      <c r="Z200" s="14" t="str">
        <f t="shared" si="8"/>
        <v/>
      </c>
      <c r="AA200" s="14" t="str">
        <f t="shared" si="9"/>
        <v/>
      </c>
      <c r="AB200" s="14" t="str">
        <f t="shared" si="10"/>
        <v>Fully Accessible</v>
      </c>
      <c r="AC200" s="14">
        <f t="shared" si="11"/>
        <v>1.717511648</v>
      </c>
      <c r="AE200" s="15" t="s">
        <v>260</v>
      </c>
      <c r="AF200" s="16" t="s">
        <v>57</v>
      </c>
      <c r="AH200" s="17" t="str">
        <f t="shared" si="12"/>
        <v>Latin America &amp; Caribbean</v>
      </c>
      <c r="AI200" s="21"/>
      <c r="AJ200" s="21"/>
      <c r="AK200" s="15">
        <f t="shared" si="13"/>
        <v>0.4483879</v>
      </c>
      <c r="AL200" s="24"/>
      <c r="AM200" s="21"/>
      <c r="AN200" s="21"/>
      <c r="AO200" s="15">
        <f t="shared" si="16"/>
        <v>1.198959262</v>
      </c>
      <c r="AP200" s="24"/>
      <c r="AQ200" s="21"/>
      <c r="AR200" s="21"/>
      <c r="AS200" s="15">
        <f t="shared" si="19"/>
        <v>0.062090834</v>
      </c>
      <c r="AT200" s="24"/>
      <c r="AU200" s="21"/>
      <c r="AX200" s="14">
        <f t="shared" si="22"/>
        <v>75794.77344</v>
      </c>
      <c r="AY200" s="14">
        <f t="shared" si="23"/>
        <v>140.8139954</v>
      </c>
      <c r="AZ200" s="14">
        <f t="shared" si="24"/>
        <v>75653.95944</v>
      </c>
      <c r="BA200" s="17"/>
    </row>
    <row r="201">
      <c r="A201" s="2" t="s">
        <v>161</v>
      </c>
      <c r="B201" s="2">
        <v>2020.0</v>
      </c>
      <c r="C201" s="2">
        <v>40222.50391</v>
      </c>
      <c r="D201" s="2">
        <v>70.89299774</v>
      </c>
      <c r="E201" s="2">
        <v>98.35990325</v>
      </c>
      <c r="F201" s="2">
        <v>0.8921603495</v>
      </c>
      <c r="G201" s="2">
        <v>2.427900808E-6</v>
      </c>
      <c r="H201" s="2">
        <v>0.7479339713</v>
      </c>
      <c r="I201" s="2">
        <v>94.83114678</v>
      </c>
      <c r="J201" s="2">
        <v>2.599251339</v>
      </c>
      <c r="K201" s="2">
        <v>0.0</v>
      </c>
      <c r="L201" s="2">
        <v>2.569601877</v>
      </c>
      <c r="M201" s="2">
        <v>99.80873103</v>
      </c>
      <c r="N201" s="2">
        <v>0.19126897</v>
      </c>
      <c r="O201" s="2">
        <v>0.0</v>
      </c>
      <c r="P201" s="2">
        <v>0.0</v>
      </c>
      <c r="Q201" s="13" t="str">
        <f t="shared" si="1"/>
        <v>Iraq|2020</v>
      </c>
      <c r="R201" s="14" t="str">
        <f t="shared" si="2"/>
        <v> </v>
      </c>
      <c r="T201" s="14" t="b">
        <f t="shared" si="3"/>
        <v>0</v>
      </c>
      <c r="U201" s="14" t="b">
        <f t="shared" si="29"/>
        <v>0</v>
      </c>
      <c r="V201" s="14" t="b">
        <f t="shared" si="4"/>
        <v>0</v>
      </c>
      <c r="W201" s="14">
        <f t="shared" si="5"/>
        <v>98</v>
      </c>
      <c r="X201" s="14">
        <f t="shared" si="6"/>
        <v>95</v>
      </c>
      <c r="Y201" s="14">
        <f t="shared" si="7"/>
        <v>100</v>
      </c>
      <c r="Z201" s="14" t="str">
        <f t="shared" si="8"/>
        <v/>
      </c>
      <c r="AA201" s="14" t="str">
        <f t="shared" si="9"/>
        <v/>
      </c>
      <c r="AB201" s="14" t="str">
        <f t="shared" si="10"/>
        <v/>
      </c>
      <c r="AC201" s="14">
        <f t="shared" si="11"/>
        <v>0</v>
      </c>
      <c r="AE201" s="15" t="s">
        <v>261</v>
      </c>
      <c r="AF201" s="16" t="s">
        <v>53</v>
      </c>
      <c r="AH201" s="17" t="str">
        <f t="shared" si="12"/>
        <v>Europe &amp; Central Asia</v>
      </c>
      <c r="AI201" s="21"/>
      <c r="AJ201" s="21"/>
      <c r="AK201" s="15">
        <f t="shared" si="13"/>
        <v>0.00912732</v>
      </c>
      <c r="AL201" s="24"/>
      <c r="AM201" s="21"/>
      <c r="AN201" s="21"/>
      <c r="AO201" s="15">
        <f t="shared" si="16"/>
        <v>0.033877642</v>
      </c>
      <c r="AP201" s="24"/>
      <c r="AQ201" s="21"/>
      <c r="AR201" s="21"/>
      <c r="AS201" s="15">
        <f t="shared" si="19"/>
        <v>0.004879458</v>
      </c>
      <c r="AT201" s="24"/>
      <c r="AU201" s="21"/>
      <c r="AX201" s="14" t="str">
        <f t="shared" si="22"/>
        <v>null</v>
      </c>
      <c r="AY201" s="14" t="str">
        <f t="shared" si="23"/>
        <v>null</v>
      </c>
      <c r="AZ201" s="14" t="str">
        <f t="shared" si="24"/>
        <v>null</v>
      </c>
      <c r="BA201" s="8"/>
    </row>
    <row r="202">
      <c r="A202" s="2" t="s">
        <v>162</v>
      </c>
      <c r="B202" s="2">
        <v>2015.0</v>
      </c>
      <c r="C202" s="2">
        <v>4652.419922</v>
      </c>
      <c r="D202" s="2">
        <v>62.5379982</v>
      </c>
      <c r="E202" s="2">
        <v>97.37212799</v>
      </c>
      <c r="F202" s="2">
        <v>0.0</v>
      </c>
      <c r="G202" s="2">
        <v>2.627872008</v>
      </c>
      <c r="H202" s="2">
        <v>0.0</v>
      </c>
      <c r="I202" s="2">
        <v>98.01681619</v>
      </c>
      <c r="J202" s="2">
        <v>0.0</v>
      </c>
      <c r="K202" s="2">
        <v>1.983183812</v>
      </c>
      <c r="L202" s="2">
        <v>0.0</v>
      </c>
      <c r="M202" s="2">
        <v>96.98594181</v>
      </c>
      <c r="N202" s="2">
        <v>0.0</v>
      </c>
      <c r="O202" s="2">
        <v>3.014058189</v>
      </c>
      <c r="P202" s="2">
        <v>0.0</v>
      </c>
      <c r="Q202" s="13" t="str">
        <f t="shared" si="1"/>
        <v>Ireland|2015</v>
      </c>
      <c r="R202" s="14">
        <f t="shared" si="2"/>
        <v>5</v>
      </c>
      <c r="T202" s="14">
        <f t="shared" si="3"/>
        <v>0.005515704</v>
      </c>
      <c r="U202" s="14">
        <f t="shared" si="29"/>
        <v>0.023620912</v>
      </c>
      <c r="V202" s="14">
        <f t="shared" si="4"/>
        <v>-0.001211156</v>
      </c>
      <c r="W202" s="14">
        <f t="shared" si="5"/>
        <v>97</v>
      </c>
      <c r="X202" s="14">
        <f t="shared" si="6"/>
        <v>98</v>
      </c>
      <c r="Y202" s="14">
        <f t="shared" si="7"/>
        <v>97</v>
      </c>
      <c r="Z202" s="14" t="str">
        <f t="shared" si="8"/>
        <v/>
      </c>
      <c r="AA202" s="14" t="str">
        <f t="shared" si="9"/>
        <v/>
      </c>
      <c r="AB202" s="14" t="str">
        <f t="shared" si="10"/>
        <v>Fully Accessible</v>
      </c>
      <c r="AC202" s="14">
        <f t="shared" si="11"/>
        <v>0.024832068</v>
      </c>
      <c r="AE202" s="15" t="s">
        <v>262</v>
      </c>
      <c r="AF202" s="16" t="s">
        <v>53</v>
      </c>
      <c r="AH202" s="17" t="str">
        <f t="shared" si="12"/>
        <v>Europe &amp; Central Asia</v>
      </c>
      <c r="AI202" s="21"/>
      <c r="AJ202" s="21"/>
      <c r="AK202" s="15">
        <f t="shared" si="13"/>
        <v>0.0000005600000009</v>
      </c>
      <c r="AL202" s="24"/>
      <c r="AM202" s="21"/>
      <c r="AN202" s="21"/>
      <c r="AO202" s="15">
        <f t="shared" si="16"/>
        <v>0</v>
      </c>
      <c r="AP202" s="24"/>
      <c r="AQ202" s="21"/>
      <c r="AR202" s="21"/>
      <c r="AS202" s="15">
        <f t="shared" si="19"/>
        <v>0</v>
      </c>
      <c r="AT202" s="24"/>
      <c r="AU202" s="21"/>
      <c r="AX202" s="14">
        <f t="shared" si="22"/>
        <v>9590.21582</v>
      </c>
      <c r="AY202" s="14">
        <f t="shared" si="23"/>
        <v>126.1909981</v>
      </c>
      <c r="AZ202" s="14">
        <f t="shared" si="24"/>
        <v>9464.024822</v>
      </c>
      <c r="BA202" s="27"/>
    </row>
    <row r="203">
      <c r="A203" s="2" t="s">
        <v>162</v>
      </c>
      <c r="B203" s="2">
        <v>2020.0</v>
      </c>
      <c r="C203" s="2">
        <v>4937.795898</v>
      </c>
      <c r="D203" s="2">
        <v>63.65299988</v>
      </c>
      <c r="E203" s="2">
        <v>97.39970651</v>
      </c>
      <c r="F203" s="2">
        <v>0.0</v>
      </c>
      <c r="G203" s="2">
        <v>2.600293485</v>
      </c>
      <c r="H203" s="2">
        <v>0.0</v>
      </c>
      <c r="I203" s="2">
        <v>98.13492075</v>
      </c>
      <c r="J203" s="2">
        <v>0.0</v>
      </c>
      <c r="K203" s="2">
        <v>1.865079247</v>
      </c>
      <c r="L203" s="2">
        <v>0.0</v>
      </c>
      <c r="M203" s="2">
        <v>96.97988603</v>
      </c>
      <c r="N203" s="2">
        <v>0.0</v>
      </c>
      <c r="O203" s="2">
        <v>3.020113966</v>
      </c>
      <c r="P203" s="2">
        <v>0.0</v>
      </c>
      <c r="Q203" s="13" t="str">
        <f t="shared" si="1"/>
        <v>Ireland|2020</v>
      </c>
      <c r="R203" s="14" t="str">
        <f t="shared" si="2"/>
        <v> </v>
      </c>
      <c r="T203" s="14" t="b">
        <f t="shared" si="3"/>
        <v>0</v>
      </c>
      <c r="U203" s="14" t="b">
        <f t="shared" si="29"/>
        <v>0</v>
      </c>
      <c r="V203" s="14" t="b">
        <f t="shared" si="4"/>
        <v>0</v>
      </c>
      <c r="W203" s="14">
        <f t="shared" si="5"/>
        <v>97</v>
      </c>
      <c r="X203" s="14">
        <f t="shared" si="6"/>
        <v>98</v>
      </c>
      <c r="Y203" s="14">
        <f t="shared" si="7"/>
        <v>97</v>
      </c>
      <c r="Z203" s="14" t="str">
        <f t="shared" si="8"/>
        <v/>
      </c>
      <c r="AA203" s="14" t="str">
        <f t="shared" si="9"/>
        <v/>
      </c>
      <c r="AB203" s="14" t="str">
        <f t="shared" si="10"/>
        <v/>
      </c>
      <c r="AC203" s="14">
        <f t="shared" si="11"/>
        <v>0</v>
      </c>
      <c r="AE203" s="15" t="s">
        <v>263</v>
      </c>
      <c r="AF203" s="16" t="s">
        <v>56</v>
      </c>
      <c r="AH203" s="17" t="str">
        <f t="shared" si="12"/>
        <v>Middle East &amp; North Africa</v>
      </c>
      <c r="AI203" s="21"/>
      <c r="AJ203" s="21"/>
      <c r="AK203" s="15">
        <f t="shared" si="13"/>
        <v>0.08324914</v>
      </c>
      <c r="AL203" s="24"/>
      <c r="AM203" s="21"/>
      <c r="AN203" s="21"/>
      <c r="AO203" s="15">
        <f t="shared" si="16"/>
        <v>0.13940798</v>
      </c>
      <c r="AP203" s="24"/>
      <c r="AQ203" s="21"/>
      <c r="AR203" s="21"/>
      <c r="AS203" s="15">
        <f t="shared" si="19"/>
        <v>-0.010364566</v>
      </c>
      <c r="AT203" s="24"/>
      <c r="AU203" s="21"/>
      <c r="AX203" s="14" t="str">
        <f t="shared" si="22"/>
        <v>null</v>
      </c>
      <c r="AY203" s="14" t="str">
        <f t="shared" si="23"/>
        <v>null</v>
      </c>
      <c r="AZ203" s="14" t="str">
        <f t="shared" si="24"/>
        <v>null</v>
      </c>
      <c r="BA203" s="17"/>
    </row>
    <row r="204">
      <c r="A204" s="2" t="s">
        <v>163</v>
      </c>
      <c r="B204" s="2">
        <v>2015.0</v>
      </c>
      <c r="C204" s="2">
        <v>83.23200226</v>
      </c>
      <c r="D204" s="2">
        <v>52.24499893</v>
      </c>
      <c r="E204" s="2">
        <v>99.075</v>
      </c>
      <c r="F204" s="2">
        <v>0.0</v>
      </c>
      <c r="G204" s="2">
        <v>0.925</v>
      </c>
      <c r="H204" s="2">
        <v>0.0</v>
      </c>
      <c r="I204" s="2" t="s">
        <v>64</v>
      </c>
      <c r="J204" s="2" t="s">
        <v>64</v>
      </c>
      <c r="K204" s="2" t="s">
        <v>64</v>
      </c>
      <c r="L204" s="2" t="s">
        <v>64</v>
      </c>
      <c r="M204" s="2" t="s">
        <v>64</v>
      </c>
      <c r="N204" s="2" t="s">
        <v>64</v>
      </c>
      <c r="O204" s="2" t="s">
        <v>64</v>
      </c>
      <c r="P204" s="2" t="s">
        <v>64</v>
      </c>
      <c r="Q204" s="13" t="str">
        <f t="shared" si="1"/>
        <v>Isle of Man|2015</v>
      </c>
      <c r="R204" s="14">
        <f t="shared" si="2"/>
        <v>5</v>
      </c>
      <c r="T204" s="14">
        <f t="shared" si="3"/>
        <v>0</v>
      </c>
      <c r="U204" s="14" t="str">
        <f t="shared" si="29"/>
        <v>null</v>
      </c>
      <c r="V204" s="14" t="str">
        <f t="shared" si="4"/>
        <v>null</v>
      </c>
      <c r="W204" s="14">
        <f t="shared" si="5"/>
        <v>99</v>
      </c>
      <c r="X204" s="14" t="b">
        <f t="shared" si="6"/>
        <v>0</v>
      </c>
      <c r="Y204" s="14" t="b">
        <f t="shared" si="7"/>
        <v>0</v>
      </c>
      <c r="Z204" s="14" t="str">
        <f t="shared" si="8"/>
        <v/>
      </c>
      <c r="AA204" s="14" t="str">
        <f t="shared" si="9"/>
        <v>Fully Accessible</v>
      </c>
      <c r="AB204" s="14" t="str">
        <f t="shared" si="10"/>
        <v>Fully Accessible</v>
      </c>
      <c r="AC204" s="14" t="b">
        <f t="shared" si="11"/>
        <v>0</v>
      </c>
      <c r="AE204" s="15" t="s">
        <v>264</v>
      </c>
      <c r="AF204" s="16" t="s">
        <v>53</v>
      </c>
      <c r="AH204" s="17" t="str">
        <f t="shared" si="12"/>
        <v>Europe &amp; Central Asia</v>
      </c>
      <c r="AI204" s="21"/>
      <c r="AJ204" s="21"/>
      <c r="AK204" s="15">
        <f t="shared" si="13"/>
        <v>1.122583902</v>
      </c>
      <c r="AL204" s="24"/>
      <c r="AM204" s="21"/>
      <c r="AN204" s="21"/>
      <c r="AO204" s="15">
        <f t="shared" si="16"/>
        <v>1.418283428</v>
      </c>
      <c r="AP204" s="24"/>
      <c r="AQ204" s="21"/>
      <c r="AR204" s="21"/>
      <c r="AS204" s="15">
        <f t="shared" si="19"/>
        <v>0.204333694</v>
      </c>
      <c r="AT204" s="24"/>
      <c r="AU204" s="21"/>
      <c r="AX204" s="14">
        <f t="shared" si="22"/>
        <v>168.2639999</v>
      </c>
      <c r="AY204" s="14">
        <f t="shared" si="23"/>
        <v>105.1430016</v>
      </c>
      <c r="AZ204" s="14">
        <f t="shared" si="24"/>
        <v>63.12099839</v>
      </c>
      <c r="BA204" s="27"/>
    </row>
    <row r="205">
      <c r="A205" s="2" t="s">
        <v>163</v>
      </c>
      <c r="B205" s="2">
        <v>2020.0</v>
      </c>
      <c r="C205" s="2">
        <v>85.03199768</v>
      </c>
      <c r="D205" s="2">
        <v>52.89800262</v>
      </c>
      <c r="E205" s="2">
        <v>99.075</v>
      </c>
      <c r="F205" s="2">
        <v>0.0</v>
      </c>
      <c r="G205" s="2">
        <v>0.925</v>
      </c>
      <c r="H205" s="2">
        <v>0.0</v>
      </c>
      <c r="I205" s="2" t="s">
        <v>64</v>
      </c>
      <c r="J205" s="2" t="s">
        <v>64</v>
      </c>
      <c r="K205" s="2" t="s">
        <v>64</v>
      </c>
      <c r="L205" s="2" t="s">
        <v>64</v>
      </c>
      <c r="M205" s="2" t="s">
        <v>64</v>
      </c>
      <c r="N205" s="2" t="s">
        <v>64</v>
      </c>
      <c r="O205" s="2" t="s">
        <v>64</v>
      </c>
      <c r="P205" s="2" t="s">
        <v>64</v>
      </c>
      <c r="Q205" s="13" t="str">
        <f t="shared" si="1"/>
        <v>Isle of Man|2020</v>
      </c>
      <c r="R205" s="14" t="str">
        <f t="shared" si="2"/>
        <v> </v>
      </c>
      <c r="T205" s="14" t="b">
        <f t="shared" si="3"/>
        <v>0</v>
      </c>
      <c r="U205" s="14" t="b">
        <f t="shared" si="29"/>
        <v>0</v>
      </c>
      <c r="V205" s="14" t="b">
        <f t="shared" si="4"/>
        <v>0</v>
      </c>
      <c r="W205" s="14">
        <f t="shared" si="5"/>
        <v>99</v>
      </c>
      <c r="X205" s="14" t="b">
        <f t="shared" si="6"/>
        <v>0</v>
      </c>
      <c r="Y205" s="14" t="b">
        <f t="shared" si="7"/>
        <v>0</v>
      </c>
      <c r="Z205" s="14" t="str">
        <f t="shared" si="8"/>
        <v/>
      </c>
      <c r="AA205" s="14" t="str">
        <f t="shared" si="9"/>
        <v/>
      </c>
      <c r="AB205" s="14" t="str">
        <f t="shared" si="10"/>
        <v/>
      </c>
      <c r="AC205" s="14">
        <f t="shared" si="11"/>
        <v>0</v>
      </c>
      <c r="AE205" s="15" t="s">
        <v>265</v>
      </c>
      <c r="AF205" s="16" t="s">
        <v>51</v>
      </c>
      <c r="AH205" s="17" t="str">
        <f t="shared" si="12"/>
        <v>East Asia &amp; Pacific</v>
      </c>
      <c r="AI205" s="21"/>
      <c r="AJ205" s="21"/>
      <c r="AK205" s="15">
        <f t="shared" si="13"/>
        <v>0.148165884</v>
      </c>
      <c r="AL205" s="24"/>
      <c r="AM205" s="21"/>
      <c r="AN205" s="21"/>
      <c r="AO205" s="15">
        <f t="shared" si="16"/>
        <v>0.224096658</v>
      </c>
      <c r="AP205" s="24"/>
      <c r="AQ205" s="21"/>
      <c r="AR205" s="21"/>
      <c r="AS205" s="15">
        <f t="shared" si="19"/>
        <v>0.064892632</v>
      </c>
      <c r="AT205" s="24"/>
      <c r="AU205" s="21"/>
      <c r="AX205" s="14" t="str">
        <f t="shared" si="22"/>
        <v>null</v>
      </c>
      <c r="AY205" s="14" t="str">
        <f t="shared" si="23"/>
        <v>null</v>
      </c>
      <c r="AZ205" s="14" t="str">
        <f t="shared" si="24"/>
        <v>null</v>
      </c>
      <c r="BA205" s="27"/>
    </row>
    <row r="206">
      <c r="A206" s="2" t="s">
        <v>164</v>
      </c>
      <c r="B206" s="2">
        <v>2015.0</v>
      </c>
      <c r="C206" s="2">
        <v>7978.496094</v>
      </c>
      <c r="D206" s="2">
        <v>92.17900085</v>
      </c>
      <c r="E206" s="2">
        <v>100.0000015</v>
      </c>
      <c r="F206" s="2">
        <v>0.0</v>
      </c>
      <c r="G206" s="2">
        <v>0.0</v>
      </c>
      <c r="H206" s="2">
        <v>0.0</v>
      </c>
      <c r="I206" s="2">
        <v>100.0</v>
      </c>
      <c r="J206" s="2">
        <v>0.0</v>
      </c>
      <c r="K206" s="2">
        <v>0.0</v>
      </c>
      <c r="L206" s="2">
        <v>0.0</v>
      </c>
      <c r="M206" s="2">
        <v>100.0</v>
      </c>
      <c r="N206" s="2">
        <v>0.0</v>
      </c>
      <c r="O206" s="2">
        <v>0.0</v>
      </c>
      <c r="P206" s="2">
        <v>0.0</v>
      </c>
      <c r="Q206" s="13" t="str">
        <f t="shared" si="1"/>
        <v>Israel|2015</v>
      </c>
      <c r="R206" s="14">
        <f t="shared" si="2"/>
        <v>5</v>
      </c>
      <c r="T206" s="14">
        <f t="shared" si="3"/>
        <v>-0.0000002999999992</v>
      </c>
      <c r="U206" s="14">
        <f t="shared" si="29"/>
        <v>0</v>
      </c>
      <c r="V206" s="14">
        <f t="shared" si="4"/>
        <v>0</v>
      </c>
      <c r="W206" s="14">
        <f t="shared" si="5"/>
        <v>100</v>
      </c>
      <c r="X206" s="14">
        <f t="shared" si="6"/>
        <v>100</v>
      </c>
      <c r="Y206" s="14">
        <f t="shared" si="7"/>
        <v>100</v>
      </c>
      <c r="Z206" s="14" t="str">
        <f t="shared" si="8"/>
        <v/>
      </c>
      <c r="AA206" s="14" t="str">
        <f t="shared" si="9"/>
        <v/>
      </c>
      <c r="AB206" s="14" t="str">
        <f t="shared" si="10"/>
        <v>Fully Accessible</v>
      </c>
      <c r="AC206" s="14">
        <f t="shared" si="11"/>
        <v>0</v>
      </c>
      <c r="AE206" s="15" t="s">
        <v>266</v>
      </c>
      <c r="AF206" s="16" t="s">
        <v>51</v>
      </c>
      <c r="AH206" s="17" t="str">
        <f t="shared" si="12"/>
        <v>East Asia &amp; Pacific</v>
      </c>
      <c r="AI206" s="21"/>
      <c r="AJ206" s="21"/>
      <c r="AK206" s="15">
        <f t="shared" si="13"/>
        <v>2.049099498</v>
      </c>
      <c r="AL206" s="24"/>
      <c r="AM206" s="21"/>
      <c r="AN206" s="21"/>
      <c r="AO206" s="15">
        <f t="shared" si="16"/>
        <v>2.305681174</v>
      </c>
      <c r="AP206" s="24"/>
      <c r="AQ206" s="21"/>
      <c r="AR206" s="21"/>
      <c r="AS206" s="15">
        <f t="shared" si="19"/>
        <v>1.237175338</v>
      </c>
      <c r="AT206" s="24"/>
      <c r="AU206" s="21"/>
      <c r="AX206" s="14">
        <f t="shared" si="22"/>
        <v>16634.03711</v>
      </c>
      <c r="AY206" s="14">
        <f t="shared" si="23"/>
        <v>184.7659988</v>
      </c>
      <c r="AZ206" s="14">
        <f t="shared" si="24"/>
        <v>16449.27111</v>
      </c>
      <c r="BA206" s="17"/>
    </row>
    <row r="207">
      <c r="A207" s="2" t="s">
        <v>164</v>
      </c>
      <c r="B207" s="2">
        <v>2020.0</v>
      </c>
      <c r="C207" s="2">
        <v>8655.541016</v>
      </c>
      <c r="D207" s="2">
        <v>92.58699799</v>
      </c>
      <c r="E207" s="2">
        <v>100.0</v>
      </c>
      <c r="F207" s="2">
        <v>0.0</v>
      </c>
      <c r="G207" s="2">
        <v>0.0</v>
      </c>
      <c r="H207" s="2">
        <v>0.0</v>
      </c>
      <c r="I207" s="2">
        <v>100.0</v>
      </c>
      <c r="J207" s="2">
        <v>0.0</v>
      </c>
      <c r="K207" s="2">
        <v>0.0</v>
      </c>
      <c r="L207" s="2">
        <v>0.0</v>
      </c>
      <c r="M207" s="2">
        <v>100.0</v>
      </c>
      <c r="N207" s="2">
        <v>0.0</v>
      </c>
      <c r="O207" s="2">
        <v>0.0</v>
      </c>
      <c r="P207" s="2">
        <v>0.0</v>
      </c>
      <c r="Q207" s="13" t="str">
        <f t="shared" si="1"/>
        <v>Israel|2020</v>
      </c>
      <c r="R207" s="14" t="str">
        <f t="shared" si="2"/>
        <v> </v>
      </c>
      <c r="T207" s="14" t="b">
        <f t="shared" si="3"/>
        <v>0</v>
      </c>
      <c r="U207" s="14" t="b">
        <f t="shared" si="29"/>
        <v>0</v>
      </c>
      <c r="V207" s="14" t="b">
        <f t="shared" si="4"/>
        <v>0</v>
      </c>
      <c r="W207" s="14">
        <f t="shared" si="5"/>
        <v>100</v>
      </c>
      <c r="X207" s="14">
        <f t="shared" si="6"/>
        <v>100</v>
      </c>
      <c r="Y207" s="14">
        <f t="shared" si="7"/>
        <v>100</v>
      </c>
      <c r="Z207" s="14" t="str">
        <f t="shared" si="8"/>
        <v/>
      </c>
      <c r="AA207" s="14" t="str">
        <f t="shared" si="9"/>
        <v/>
      </c>
      <c r="AB207" s="14" t="str">
        <f t="shared" si="10"/>
        <v/>
      </c>
      <c r="AC207" s="14">
        <f t="shared" si="11"/>
        <v>0</v>
      </c>
      <c r="AE207" s="15" t="s">
        <v>267</v>
      </c>
      <c r="AF207" s="16" t="s">
        <v>63</v>
      </c>
      <c r="AH207" s="17" t="str">
        <f t="shared" si="12"/>
        <v>Sub-Saharan Africa</v>
      </c>
      <c r="AI207" s="21"/>
      <c r="AJ207" s="21"/>
      <c r="AK207" s="15">
        <f t="shared" si="13"/>
        <v>0.989318748</v>
      </c>
      <c r="AL207" s="24"/>
      <c r="AM207" s="21"/>
      <c r="AN207" s="21"/>
      <c r="AO207" s="15">
        <f t="shared" si="16"/>
        <v>0.975073894</v>
      </c>
      <c r="AP207" s="24"/>
      <c r="AQ207" s="21"/>
      <c r="AR207" s="21"/>
      <c r="AS207" s="15">
        <f t="shared" si="19"/>
        <v>0.492516062</v>
      </c>
      <c r="AT207" s="24"/>
      <c r="AU207" s="21"/>
      <c r="AX207" s="14" t="str">
        <f t="shared" si="22"/>
        <v>null</v>
      </c>
      <c r="AY207" s="14" t="str">
        <f t="shared" si="23"/>
        <v>null</v>
      </c>
      <c r="AZ207" s="14" t="str">
        <f t="shared" si="24"/>
        <v>null</v>
      </c>
      <c r="BA207" s="17"/>
    </row>
    <row r="208">
      <c r="A208" s="2" t="s">
        <v>165</v>
      </c>
      <c r="B208" s="2">
        <v>2015.0</v>
      </c>
      <c r="C208" s="2">
        <v>60578.48828</v>
      </c>
      <c r="D208" s="2">
        <v>69.56500244</v>
      </c>
      <c r="E208" s="2">
        <v>99.91703407</v>
      </c>
      <c r="F208" s="2">
        <v>0.0</v>
      </c>
      <c r="G208" s="2">
        <v>0.08296592591</v>
      </c>
      <c r="H208" s="2">
        <v>0.0</v>
      </c>
      <c r="I208" s="2" t="s">
        <v>64</v>
      </c>
      <c r="J208" s="2" t="s">
        <v>64</v>
      </c>
      <c r="K208" s="2" t="s">
        <v>64</v>
      </c>
      <c r="L208" s="2" t="s">
        <v>64</v>
      </c>
      <c r="M208" s="2" t="s">
        <v>64</v>
      </c>
      <c r="N208" s="2" t="s">
        <v>64</v>
      </c>
      <c r="O208" s="2" t="s">
        <v>64</v>
      </c>
      <c r="P208" s="2" t="s">
        <v>64</v>
      </c>
      <c r="Q208" s="13" t="str">
        <f t="shared" si="1"/>
        <v>Italy|2015</v>
      </c>
      <c r="R208" s="14">
        <f t="shared" si="2"/>
        <v>5</v>
      </c>
      <c r="T208" s="14">
        <f t="shared" si="3"/>
        <v>0</v>
      </c>
      <c r="U208" s="14" t="str">
        <f t="shared" si="29"/>
        <v>null</v>
      </c>
      <c r="V208" s="14" t="str">
        <f t="shared" si="4"/>
        <v>null</v>
      </c>
      <c r="W208" s="14">
        <f t="shared" si="5"/>
        <v>100</v>
      </c>
      <c r="X208" s="14" t="b">
        <f t="shared" si="6"/>
        <v>0</v>
      </c>
      <c r="Y208" s="14" t="b">
        <f t="shared" si="7"/>
        <v>0</v>
      </c>
      <c r="Z208" s="14" t="str">
        <f t="shared" si="8"/>
        <v/>
      </c>
      <c r="AA208" s="14" t="str">
        <f t="shared" si="9"/>
        <v>Fully Accessible</v>
      </c>
      <c r="AB208" s="14" t="str">
        <f t="shared" si="10"/>
        <v>Fully Accessible</v>
      </c>
      <c r="AC208" s="14" t="b">
        <f t="shared" si="11"/>
        <v>0</v>
      </c>
      <c r="AE208" s="15" t="s">
        <v>268</v>
      </c>
      <c r="AF208" s="16" t="s">
        <v>51</v>
      </c>
      <c r="AH208" s="17" t="str">
        <f t="shared" si="12"/>
        <v>East Asia &amp; Pacific</v>
      </c>
      <c r="AI208" s="21"/>
      <c r="AJ208" s="21"/>
      <c r="AK208" s="15">
        <f t="shared" si="13"/>
        <v>0.05005613</v>
      </c>
      <c r="AL208" s="24"/>
      <c r="AM208" s="21"/>
      <c r="AN208" s="21"/>
      <c r="AO208" s="15">
        <f t="shared" si="16"/>
        <v>0.05005613</v>
      </c>
      <c r="AP208" s="24"/>
      <c r="AQ208" s="21"/>
      <c r="AR208" s="21"/>
      <c r="AS208" s="15">
        <f t="shared" si="19"/>
        <v>0</v>
      </c>
      <c r="AT208" s="24"/>
      <c r="AU208" s="21"/>
      <c r="AX208" s="14">
        <f t="shared" si="22"/>
        <v>121040.3164</v>
      </c>
      <c r="AY208" s="14">
        <f t="shared" si="23"/>
        <v>140.6039963</v>
      </c>
      <c r="AZ208" s="14">
        <f t="shared" si="24"/>
        <v>120899.7124</v>
      </c>
      <c r="BA208" s="17"/>
    </row>
    <row r="209">
      <c r="A209" s="2" t="s">
        <v>165</v>
      </c>
      <c r="B209" s="2">
        <v>2020.0</v>
      </c>
      <c r="C209" s="2">
        <v>60461.82813</v>
      </c>
      <c r="D209" s="2">
        <v>71.03899384</v>
      </c>
      <c r="E209" s="2">
        <v>99.91703407</v>
      </c>
      <c r="F209" s="2">
        <v>0.0</v>
      </c>
      <c r="G209" s="2">
        <v>0.08296592591</v>
      </c>
      <c r="H209" s="2">
        <v>0.0</v>
      </c>
      <c r="I209" s="2" t="s">
        <v>64</v>
      </c>
      <c r="J209" s="2" t="s">
        <v>64</v>
      </c>
      <c r="K209" s="2" t="s">
        <v>64</v>
      </c>
      <c r="L209" s="2" t="s">
        <v>64</v>
      </c>
      <c r="M209" s="2" t="s">
        <v>64</v>
      </c>
      <c r="N209" s="2" t="s">
        <v>64</v>
      </c>
      <c r="O209" s="2" t="s">
        <v>64</v>
      </c>
      <c r="P209" s="2" t="s">
        <v>64</v>
      </c>
      <c r="Q209" s="13" t="str">
        <f t="shared" si="1"/>
        <v>Italy|2020</v>
      </c>
      <c r="R209" s="14" t="str">
        <f t="shared" si="2"/>
        <v> </v>
      </c>
      <c r="T209" s="14" t="b">
        <f t="shared" si="3"/>
        <v>0</v>
      </c>
      <c r="U209" s="14" t="b">
        <f t="shared" si="29"/>
        <v>0</v>
      </c>
      <c r="V209" s="14" t="b">
        <f t="shared" si="4"/>
        <v>0</v>
      </c>
      <c r="W209" s="14">
        <f t="shared" si="5"/>
        <v>100</v>
      </c>
      <c r="X209" s="14" t="b">
        <f t="shared" si="6"/>
        <v>0</v>
      </c>
      <c r="Y209" s="14" t="b">
        <f t="shared" si="7"/>
        <v>0</v>
      </c>
      <c r="Z209" s="14" t="str">
        <f t="shared" si="8"/>
        <v/>
      </c>
      <c r="AA209" s="14" t="str">
        <f t="shared" si="9"/>
        <v/>
      </c>
      <c r="AB209" s="14" t="str">
        <f t="shared" si="10"/>
        <v/>
      </c>
      <c r="AC209" s="14">
        <f t="shared" si="11"/>
        <v>0</v>
      </c>
      <c r="AE209" s="15" t="s">
        <v>269</v>
      </c>
      <c r="AF209" s="16" t="s">
        <v>51</v>
      </c>
      <c r="AH209" s="17" t="str">
        <f t="shared" si="12"/>
        <v>East Asia &amp; Pacific</v>
      </c>
      <c r="AI209" s="21"/>
      <c r="AJ209" s="21"/>
      <c r="AK209" s="15">
        <f t="shared" si="13"/>
        <v>0.036275096</v>
      </c>
      <c r="AL209" s="24"/>
      <c r="AM209" s="21"/>
      <c r="AN209" s="21"/>
      <c r="AO209" s="15">
        <f t="shared" si="16"/>
        <v>0.015006062</v>
      </c>
      <c r="AP209" s="24"/>
      <c r="AQ209" s="21"/>
      <c r="AR209" s="21"/>
      <c r="AS209" s="15">
        <f t="shared" si="19"/>
        <v>0.108109526</v>
      </c>
      <c r="AT209" s="24"/>
      <c r="AU209" s="21"/>
      <c r="AX209" s="14" t="str">
        <f t="shared" si="22"/>
        <v>null</v>
      </c>
      <c r="AY209" s="14" t="str">
        <f t="shared" si="23"/>
        <v>null</v>
      </c>
      <c r="AZ209" s="14" t="str">
        <f t="shared" si="24"/>
        <v>null</v>
      </c>
      <c r="BA209" s="8"/>
    </row>
    <row r="210">
      <c r="A210" s="2" t="s">
        <v>166</v>
      </c>
      <c r="B210" s="2">
        <v>2015.0</v>
      </c>
      <c r="C210" s="2">
        <v>2891.023926</v>
      </c>
      <c r="D210" s="2">
        <v>54.833004</v>
      </c>
      <c r="E210" s="2">
        <v>90.41679629</v>
      </c>
      <c r="F210" s="2">
        <v>5.407336603</v>
      </c>
      <c r="G210" s="2">
        <v>2.169821217</v>
      </c>
      <c r="H210" s="2">
        <v>2.006045893</v>
      </c>
      <c r="I210" s="2">
        <v>84.5007099</v>
      </c>
      <c r="J210" s="2">
        <v>8.401335753</v>
      </c>
      <c r="K210" s="2">
        <v>3.055395678</v>
      </c>
      <c r="L210" s="2">
        <v>4.042558671</v>
      </c>
      <c r="M210" s="2">
        <v>95.28999024</v>
      </c>
      <c r="N210" s="2">
        <v>2.941122015</v>
      </c>
      <c r="O210" s="2">
        <v>1.440356529</v>
      </c>
      <c r="P210" s="2">
        <v>0.3285312153</v>
      </c>
      <c r="Q210" s="13" t="str">
        <f t="shared" si="1"/>
        <v>Jamaica|2015</v>
      </c>
      <c r="R210" s="14">
        <f t="shared" si="2"/>
        <v>5</v>
      </c>
      <c r="T210" s="14">
        <f t="shared" si="3"/>
        <v>0.122629642</v>
      </c>
      <c r="U210" s="14">
        <f t="shared" si="29"/>
        <v>0.179840452</v>
      </c>
      <c r="V210" s="14">
        <f t="shared" si="4"/>
        <v>0.021605134</v>
      </c>
      <c r="W210" s="14">
        <f t="shared" si="5"/>
        <v>90</v>
      </c>
      <c r="X210" s="14">
        <f t="shared" si="6"/>
        <v>85</v>
      </c>
      <c r="Y210" s="14">
        <f t="shared" si="7"/>
        <v>95</v>
      </c>
      <c r="Z210" s="14" t="str">
        <f t="shared" si="8"/>
        <v/>
      </c>
      <c r="AA210" s="14" t="str">
        <f t="shared" si="9"/>
        <v/>
      </c>
      <c r="AB210" s="14" t="str">
        <f t="shared" si="10"/>
        <v>Fully Accessible</v>
      </c>
      <c r="AC210" s="14">
        <f t="shared" si="11"/>
        <v>0.158235318</v>
      </c>
      <c r="AE210" s="15" t="s">
        <v>270</v>
      </c>
      <c r="AF210" s="16" t="s">
        <v>57</v>
      </c>
      <c r="AH210" s="17" t="str">
        <f t="shared" si="12"/>
        <v>Latin America &amp; Caribbean</v>
      </c>
      <c r="AI210" s="21"/>
      <c r="AJ210" s="21"/>
      <c r="AK210" s="15">
        <f t="shared" si="13"/>
        <v>0.147798624</v>
      </c>
      <c r="AL210" s="24"/>
      <c r="AM210" s="21"/>
      <c r="AN210" s="21"/>
      <c r="AO210" s="15">
        <f t="shared" si="16"/>
        <v>0</v>
      </c>
      <c r="AP210" s="24"/>
      <c r="AQ210" s="21"/>
      <c r="AR210" s="21"/>
      <c r="AS210" s="15">
        <f t="shared" si="19"/>
        <v>0</v>
      </c>
      <c r="AT210" s="24"/>
      <c r="AU210" s="21"/>
      <c r="AX210" s="14">
        <f t="shared" si="22"/>
        <v>5852.184815</v>
      </c>
      <c r="AY210" s="14">
        <f t="shared" si="23"/>
        <v>111.1440048</v>
      </c>
      <c r="AZ210" s="14">
        <f t="shared" si="24"/>
        <v>5741.04081</v>
      </c>
      <c r="BA210" s="27"/>
    </row>
    <row r="211">
      <c r="A211" s="2" t="s">
        <v>166</v>
      </c>
      <c r="B211" s="2">
        <v>2020.0</v>
      </c>
      <c r="C211" s="2">
        <v>2961.160889</v>
      </c>
      <c r="D211" s="2">
        <v>56.31100082</v>
      </c>
      <c r="E211" s="2">
        <v>91.0299445</v>
      </c>
      <c r="F211" s="2">
        <v>5.367570914</v>
      </c>
      <c r="G211" s="2">
        <v>1.864010203</v>
      </c>
      <c r="H211" s="2">
        <v>1.738474379</v>
      </c>
      <c r="I211" s="2">
        <v>85.39991216</v>
      </c>
      <c r="J211" s="2">
        <v>8.490737371</v>
      </c>
      <c r="K211" s="2">
        <v>2.568971895</v>
      </c>
      <c r="L211" s="2">
        <v>3.540378574</v>
      </c>
      <c r="M211" s="2">
        <v>95.39801591</v>
      </c>
      <c r="N211" s="2">
        <v>2.944456223</v>
      </c>
      <c r="O211" s="2">
        <v>1.317064322</v>
      </c>
      <c r="P211" s="2">
        <v>0.34046355</v>
      </c>
      <c r="Q211" s="13" t="str">
        <f t="shared" si="1"/>
        <v>Jamaica|2020</v>
      </c>
      <c r="R211" s="14" t="str">
        <f t="shared" si="2"/>
        <v> </v>
      </c>
      <c r="T211" s="14" t="b">
        <f t="shared" si="3"/>
        <v>0</v>
      </c>
      <c r="U211" s="14" t="b">
        <f t="shared" si="29"/>
        <v>0</v>
      </c>
      <c r="V211" s="14" t="b">
        <f t="shared" si="4"/>
        <v>0</v>
      </c>
      <c r="W211" s="14">
        <f t="shared" si="5"/>
        <v>91</v>
      </c>
      <c r="X211" s="14">
        <f t="shared" si="6"/>
        <v>85</v>
      </c>
      <c r="Y211" s="14">
        <f t="shared" si="7"/>
        <v>95</v>
      </c>
      <c r="Z211" s="14" t="str">
        <f t="shared" si="8"/>
        <v/>
      </c>
      <c r="AA211" s="14" t="str">
        <f t="shared" si="9"/>
        <v/>
      </c>
      <c r="AB211" s="14" t="str">
        <f t="shared" si="10"/>
        <v/>
      </c>
      <c r="AC211" s="14">
        <f t="shared" si="11"/>
        <v>0</v>
      </c>
      <c r="AE211" s="15" t="s">
        <v>271</v>
      </c>
      <c r="AF211" s="16" t="s">
        <v>63</v>
      </c>
      <c r="AH211" s="17" t="str">
        <f t="shared" si="12"/>
        <v>Sub-Saharan Africa</v>
      </c>
      <c r="AI211" s="21"/>
      <c r="AJ211" s="21"/>
      <c r="AK211" s="15">
        <f t="shared" si="13"/>
        <v>0.539570778</v>
      </c>
      <c r="AL211" s="24"/>
      <c r="AM211" s="21"/>
      <c r="AN211" s="21"/>
      <c r="AO211" s="15">
        <f t="shared" si="16"/>
        <v>1.669111792</v>
      </c>
      <c r="AP211" s="24"/>
      <c r="AQ211" s="21"/>
      <c r="AR211" s="21"/>
      <c r="AS211" s="15">
        <f t="shared" si="19"/>
        <v>-0.013650062</v>
      </c>
      <c r="AT211" s="24"/>
      <c r="AU211" s="21"/>
      <c r="AX211" s="14" t="str">
        <f t="shared" si="22"/>
        <v>null</v>
      </c>
      <c r="AY211" s="14" t="str">
        <f t="shared" si="23"/>
        <v>null</v>
      </c>
      <c r="AZ211" s="14" t="str">
        <f t="shared" si="24"/>
        <v>null</v>
      </c>
      <c r="BA211" s="17"/>
    </row>
    <row r="212">
      <c r="A212" s="2" t="s">
        <v>167</v>
      </c>
      <c r="B212" s="2">
        <v>2015.0</v>
      </c>
      <c r="C212" s="2">
        <v>127985.1406</v>
      </c>
      <c r="D212" s="2">
        <v>91.3809967</v>
      </c>
      <c r="E212" s="2">
        <v>98.92280548</v>
      </c>
      <c r="F212" s="2">
        <v>0.0</v>
      </c>
      <c r="G212" s="2">
        <v>1.077194517</v>
      </c>
      <c r="H212" s="2">
        <v>0.0</v>
      </c>
      <c r="I212" s="2" t="s">
        <v>64</v>
      </c>
      <c r="J212" s="2" t="s">
        <v>64</v>
      </c>
      <c r="K212" s="2" t="s">
        <v>64</v>
      </c>
      <c r="L212" s="2" t="s">
        <v>64</v>
      </c>
      <c r="M212" s="2" t="s">
        <v>64</v>
      </c>
      <c r="N212" s="2" t="s">
        <v>64</v>
      </c>
      <c r="O212" s="2" t="s">
        <v>64</v>
      </c>
      <c r="P212" s="2" t="s">
        <v>64</v>
      </c>
      <c r="Q212" s="13" t="str">
        <f t="shared" si="1"/>
        <v>Japan|2015</v>
      </c>
      <c r="R212" s="14">
        <f t="shared" si="2"/>
        <v>5</v>
      </c>
      <c r="T212" s="14">
        <f t="shared" si="3"/>
        <v>0.031221394</v>
      </c>
      <c r="U212" s="14" t="str">
        <f t="shared" si="29"/>
        <v>null</v>
      </c>
      <c r="V212" s="14" t="str">
        <f t="shared" si="4"/>
        <v>null</v>
      </c>
      <c r="W212" s="14">
        <f t="shared" si="5"/>
        <v>99</v>
      </c>
      <c r="X212" s="14" t="b">
        <f t="shared" si="6"/>
        <v>0</v>
      </c>
      <c r="Y212" s="14" t="b">
        <f t="shared" si="7"/>
        <v>0</v>
      </c>
      <c r="Z212" s="14" t="str">
        <f t="shared" si="8"/>
        <v/>
      </c>
      <c r="AA212" s="14" t="str">
        <f t="shared" si="9"/>
        <v>Fully Accessible</v>
      </c>
      <c r="AB212" s="14" t="str">
        <f t="shared" si="10"/>
        <v>Fully Accessible</v>
      </c>
      <c r="AC212" s="14" t="b">
        <f t="shared" si="11"/>
        <v>0</v>
      </c>
      <c r="AE212" s="15" t="s">
        <v>272</v>
      </c>
      <c r="AF212" s="16" t="s">
        <v>53</v>
      </c>
      <c r="AH212" s="17" t="str">
        <f t="shared" si="12"/>
        <v>Europe &amp; Central Asia</v>
      </c>
      <c r="AI212" s="21"/>
      <c r="AJ212" s="21"/>
      <c r="AK212" s="15">
        <f t="shared" si="13"/>
        <v>0.151622008</v>
      </c>
      <c r="AL212" s="24"/>
      <c r="AM212" s="21"/>
      <c r="AN212" s="21"/>
      <c r="AO212" s="15">
        <f t="shared" si="16"/>
        <v>0.364257356</v>
      </c>
      <c r="AP212" s="24"/>
      <c r="AQ212" s="21"/>
      <c r="AR212" s="21"/>
      <c r="AS212" s="15">
        <f t="shared" si="19"/>
        <v>0.066586558</v>
      </c>
      <c r="AT212" s="24"/>
      <c r="AU212" s="21"/>
      <c r="AX212" s="14">
        <f t="shared" si="22"/>
        <v>254461.6015</v>
      </c>
      <c r="AY212" s="14">
        <f t="shared" si="23"/>
        <v>183.1629944</v>
      </c>
      <c r="AZ212" s="14">
        <f t="shared" si="24"/>
        <v>254278.4385</v>
      </c>
      <c r="BA212" s="27"/>
    </row>
    <row r="213">
      <c r="A213" s="2" t="s">
        <v>167</v>
      </c>
      <c r="B213" s="2">
        <v>2020.0</v>
      </c>
      <c r="C213" s="2">
        <v>126476.4609</v>
      </c>
      <c r="D213" s="2">
        <v>91.78199768</v>
      </c>
      <c r="E213" s="2">
        <v>99.07891245</v>
      </c>
      <c r="F213" s="2">
        <v>0.0</v>
      </c>
      <c r="G213" s="2">
        <v>0.9210875467</v>
      </c>
      <c r="H213" s="2">
        <v>0.0</v>
      </c>
      <c r="I213" s="2" t="s">
        <v>64</v>
      </c>
      <c r="J213" s="2" t="s">
        <v>64</v>
      </c>
      <c r="K213" s="2" t="s">
        <v>64</v>
      </c>
      <c r="L213" s="2" t="s">
        <v>64</v>
      </c>
      <c r="M213" s="2" t="s">
        <v>64</v>
      </c>
      <c r="N213" s="2" t="s">
        <v>64</v>
      </c>
      <c r="O213" s="2" t="s">
        <v>64</v>
      </c>
      <c r="P213" s="2" t="s">
        <v>64</v>
      </c>
      <c r="Q213" s="13" t="str">
        <f t="shared" si="1"/>
        <v>Japan|2020</v>
      </c>
      <c r="R213" s="14" t="str">
        <f t="shared" si="2"/>
        <v> </v>
      </c>
      <c r="T213" s="14" t="b">
        <f t="shared" si="3"/>
        <v>0</v>
      </c>
      <c r="U213" s="14" t="b">
        <f t="shared" si="29"/>
        <v>0</v>
      </c>
      <c r="V213" s="14" t="b">
        <f t="shared" si="4"/>
        <v>0</v>
      </c>
      <c r="W213" s="14">
        <f t="shared" si="5"/>
        <v>99</v>
      </c>
      <c r="X213" s="14" t="b">
        <f t="shared" si="6"/>
        <v>0</v>
      </c>
      <c r="Y213" s="14" t="b">
        <f t="shared" si="7"/>
        <v>0</v>
      </c>
      <c r="Z213" s="14" t="str">
        <f t="shared" si="8"/>
        <v/>
      </c>
      <c r="AA213" s="14" t="str">
        <f t="shared" si="9"/>
        <v/>
      </c>
      <c r="AB213" s="14" t="str">
        <f t="shared" si="10"/>
        <v/>
      </c>
      <c r="AC213" s="14">
        <f t="shared" si="11"/>
        <v>0</v>
      </c>
      <c r="AE213" s="15" t="s">
        <v>273</v>
      </c>
      <c r="AF213" s="16" t="s">
        <v>53</v>
      </c>
      <c r="AH213" s="17" t="str">
        <f t="shared" si="12"/>
        <v>Europe &amp; Central Asia</v>
      </c>
      <c r="AI213" s="21"/>
      <c r="AJ213" s="21"/>
      <c r="AK213" s="15">
        <f t="shared" si="13"/>
        <v>0.468211138</v>
      </c>
      <c r="AL213" s="24"/>
      <c r="AM213" s="21"/>
      <c r="AN213" s="21"/>
      <c r="AO213" s="15">
        <f t="shared" si="16"/>
        <v>0.756043368</v>
      </c>
      <c r="AP213" s="24"/>
      <c r="AQ213" s="21"/>
      <c r="AR213" s="21"/>
      <c r="AS213" s="15">
        <f t="shared" si="19"/>
        <v>0.184005656</v>
      </c>
      <c r="AT213" s="24"/>
      <c r="AU213" s="21"/>
      <c r="AX213" s="14" t="str">
        <f t="shared" si="22"/>
        <v>null</v>
      </c>
      <c r="AY213" s="14" t="str">
        <f t="shared" si="23"/>
        <v>null</v>
      </c>
      <c r="AZ213" s="14" t="str">
        <f t="shared" si="24"/>
        <v>null</v>
      </c>
      <c r="BA213" s="27"/>
    </row>
    <row r="214">
      <c r="A214" s="2" t="s">
        <v>168</v>
      </c>
      <c r="B214" s="2">
        <v>2015.0</v>
      </c>
      <c r="C214" s="2">
        <v>9266.573242</v>
      </c>
      <c r="D214" s="2">
        <v>90.25600433</v>
      </c>
      <c r="E214" s="2">
        <v>99.00678491</v>
      </c>
      <c r="F214" s="2">
        <v>0.1524029836</v>
      </c>
      <c r="G214" s="2">
        <v>0.7812311648</v>
      </c>
      <c r="H214" s="2">
        <v>0.05958093834</v>
      </c>
      <c r="I214" s="2">
        <v>97.36231539</v>
      </c>
      <c r="J214" s="2">
        <v>0.6242725518</v>
      </c>
      <c r="K214" s="2">
        <v>1.973552059</v>
      </c>
      <c r="L214" s="2">
        <v>0.03986</v>
      </c>
      <c r="M214" s="2">
        <v>99.18431682</v>
      </c>
      <c r="N214" s="2">
        <v>0.1014601355</v>
      </c>
      <c r="O214" s="2">
        <v>0.6525130437</v>
      </c>
      <c r="P214" s="2">
        <v>0.06171</v>
      </c>
      <c r="Q214" s="13" t="str">
        <f t="shared" si="1"/>
        <v>Jordan|2015</v>
      </c>
      <c r="R214" s="14">
        <f t="shared" si="2"/>
        <v>5</v>
      </c>
      <c r="T214" s="14">
        <f t="shared" si="3"/>
        <v>-0.01329639</v>
      </c>
      <c r="U214" s="14">
        <f t="shared" si="29"/>
        <v>-0.01016734</v>
      </c>
      <c r="V214" s="14">
        <f t="shared" si="4"/>
        <v>-0.018220846</v>
      </c>
      <c r="W214" s="14">
        <f t="shared" si="5"/>
        <v>99</v>
      </c>
      <c r="X214" s="14">
        <f t="shared" si="6"/>
        <v>97</v>
      </c>
      <c r="Y214" s="14">
        <f t="shared" si="7"/>
        <v>99</v>
      </c>
      <c r="Z214" s="14" t="str">
        <f t="shared" si="8"/>
        <v/>
      </c>
      <c r="AA214" s="14" t="str">
        <f t="shared" si="9"/>
        <v/>
      </c>
      <c r="AB214" s="14" t="str">
        <f t="shared" si="10"/>
        <v>Fully Accessible</v>
      </c>
      <c r="AC214" s="14">
        <f t="shared" si="11"/>
        <v>0.008053506</v>
      </c>
      <c r="AE214" s="15" t="s">
        <v>274</v>
      </c>
      <c r="AF214" s="16" t="s">
        <v>57</v>
      </c>
      <c r="AH214" s="17" t="str">
        <f t="shared" si="12"/>
        <v>Latin America &amp; Caribbean</v>
      </c>
      <c r="AI214" s="21"/>
      <c r="AJ214" s="21"/>
      <c r="AK214" s="15">
        <f t="shared" si="13"/>
        <v>0</v>
      </c>
      <c r="AL214" s="24"/>
      <c r="AM214" s="21"/>
      <c r="AN214" s="21"/>
      <c r="AO214" s="15">
        <f t="shared" si="16"/>
        <v>0</v>
      </c>
      <c r="AP214" s="24"/>
      <c r="AQ214" s="21"/>
      <c r="AR214" s="21"/>
      <c r="AS214" s="15">
        <f t="shared" si="19"/>
        <v>0</v>
      </c>
      <c r="AT214" s="24"/>
      <c r="AU214" s="21"/>
      <c r="AX214" s="14">
        <f t="shared" si="22"/>
        <v>19469.71289</v>
      </c>
      <c r="AY214" s="14">
        <f t="shared" si="23"/>
        <v>181.6740036</v>
      </c>
      <c r="AZ214" s="14">
        <f t="shared" si="24"/>
        <v>19288.03889</v>
      </c>
      <c r="BA214" s="17"/>
    </row>
    <row r="215">
      <c r="A215" s="2" t="s">
        <v>168</v>
      </c>
      <c r="B215" s="2">
        <v>2020.0</v>
      </c>
      <c r="C215" s="2">
        <v>10203.13965</v>
      </c>
      <c r="D215" s="2">
        <v>91.41799927</v>
      </c>
      <c r="E215" s="2">
        <v>98.94030296</v>
      </c>
      <c r="F215" s="2">
        <v>0.1462147369</v>
      </c>
      <c r="G215" s="2">
        <v>0.8536474704</v>
      </c>
      <c r="H215" s="2">
        <v>0.05983483179</v>
      </c>
      <c r="I215" s="2">
        <v>97.31147869</v>
      </c>
      <c r="J215" s="2">
        <v>0.6239465945</v>
      </c>
      <c r="K215" s="2">
        <v>2.024714716</v>
      </c>
      <c r="L215" s="2">
        <v>0.03986</v>
      </c>
      <c r="M215" s="2">
        <v>99.09321259</v>
      </c>
      <c r="N215" s="2">
        <v>0.1013669408</v>
      </c>
      <c r="O215" s="2">
        <v>0.7437104707</v>
      </c>
      <c r="P215" s="2">
        <v>0.06171</v>
      </c>
      <c r="Q215" s="13" t="str">
        <f t="shared" si="1"/>
        <v>Jordan|2020</v>
      </c>
      <c r="R215" s="14" t="str">
        <f t="shared" si="2"/>
        <v> </v>
      </c>
      <c r="T215" s="14" t="b">
        <f t="shared" si="3"/>
        <v>0</v>
      </c>
      <c r="U215" s="14" t="b">
        <f t="shared" si="29"/>
        <v>0</v>
      </c>
      <c r="V215" s="14" t="b">
        <f t="shared" si="4"/>
        <v>0</v>
      </c>
      <c r="W215" s="14">
        <f t="shared" si="5"/>
        <v>99</v>
      </c>
      <c r="X215" s="14">
        <f t="shared" si="6"/>
        <v>97</v>
      </c>
      <c r="Y215" s="14">
        <f t="shared" si="7"/>
        <v>99</v>
      </c>
      <c r="Z215" s="14" t="str">
        <f t="shared" si="8"/>
        <v/>
      </c>
      <c r="AA215" s="14" t="str">
        <f t="shared" si="9"/>
        <v/>
      </c>
      <c r="AB215" s="14" t="str">
        <f t="shared" si="10"/>
        <v/>
      </c>
      <c r="AC215" s="14">
        <f t="shared" si="11"/>
        <v>0</v>
      </c>
      <c r="AE215" s="15" t="s">
        <v>275</v>
      </c>
      <c r="AF215" s="16" t="s">
        <v>51</v>
      </c>
      <c r="AH215" s="17" t="str">
        <f t="shared" si="12"/>
        <v>East Asia &amp; Pacific</v>
      </c>
      <c r="AI215" s="21"/>
      <c r="AJ215" s="21"/>
      <c r="AK215" s="15">
        <f t="shared" si="13"/>
        <v>0</v>
      </c>
      <c r="AL215" s="24"/>
      <c r="AM215" s="21"/>
      <c r="AN215" s="21"/>
      <c r="AO215" s="15">
        <f t="shared" si="16"/>
        <v>0</v>
      </c>
      <c r="AP215" s="24"/>
      <c r="AQ215" s="21"/>
      <c r="AR215" s="21"/>
      <c r="AS215" s="15">
        <f t="shared" si="19"/>
        <v>0</v>
      </c>
      <c r="AT215" s="24"/>
      <c r="AU215" s="21"/>
      <c r="AX215" s="14" t="str">
        <f t="shared" si="22"/>
        <v>null</v>
      </c>
      <c r="AY215" s="14" t="str">
        <f t="shared" si="23"/>
        <v>null</v>
      </c>
      <c r="AZ215" s="14" t="str">
        <f t="shared" si="24"/>
        <v>null</v>
      </c>
      <c r="BA215" s="17"/>
    </row>
    <row r="216">
      <c r="A216" s="2" t="s">
        <v>169</v>
      </c>
      <c r="B216" s="2">
        <v>2015.0</v>
      </c>
      <c r="C216" s="2">
        <v>17572.00977</v>
      </c>
      <c r="D216" s="2">
        <v>57.19100189</v>
      </c>
      <c r="E216" s="2">
        <v>95.02533441</v>
      </c>
      <c r="F216" s="2">
        <v>1.812908425</v>
      </c>
      <c r="G216" s="2">
        <v>2.904392652</v>
      </c>
      <c r="H216" s="2">
        <v>0.2573645111</v>
      </c>
      <c r="I216" s="2">
        <v>90.74749784</v>
      </c>
      <c r="J216" s="2">
        <v>1.86677185</v>
      </c>
      <c r="K216" s="2">
        <v>6.784537749</v>
      </c>
      <c r="L216" s="2">
        <v>0.6011925556</v>
      </c>
      <c r="M216" s="2">
        <v>98.22740979</v>
      </c>
      <c r="N216" s="2">
        <v>1.772590206</v>
      </c>
      <c r="O216" s="2">
        <v>0.0</v>
      </c>
      <c r="P216" s="2">
        <v>0.0</v>
      </c>
      <c r="Q216" s="13" t="str">
        <f t="shared" si="1"/>
        <v>Kazakhstan|2015</v>
      </c>
      <c r="R216" s="14">
        <f t="shared" si="2"/>
        <v>5</v>
      </c>
      <c r="T216" s="14">
        <f t="shared" si="3"/>
        <v>0.081927182</v>
      </c>
      <c r="U216" s="14">
        <f t="shared" si="29"/>
        <v>0.2383509</v>
      </c>
      <c r="V216" s="14">
        <f t="shared" si="4"/>
        <v>-0.045335692</v>
      </c>
      <c r="W216" s="14">
        <f t="shared" si="5"/>
        <v>95</v>
      </c>
      <c r="X216" s="14">
        <f t="shared" si="6"/>
        <v>91</v>
      </c>
      <c r="Y216" s="14">
        <f t="shared" si="7"/>
        <v>98</v>
      </c>
      <c r="Z216" s="14" t="str">
        <f t="shared" si="8"/>
        <v/>
      </c>
      <c r="AA216" s="14" t="str">
        <f t="shared" si="9"/>
        <v/>
      </c>
      <c r="AB216" s="14" t="str">
        <f t="shared" si="10"/>
        <v>Fully Accessible</v>
      </c>
      <c r="AC216" s="14">
        <f t="shared" si="11"/>
        <v>0.283686592</v>
      </c>
      <c r="AE216" s="15" t="s">
        <v>276</v>
      </c>
      <c r="AF216" s="16" t="s">
        <v>63</v>
      </c>
      <c r="AH216" s="17" t="str">
        <f t="shared" si="12"/>
        <v>Sub-Saharan Africa</v>
      </c>
      <c r="AI216" s="21"/>
      <c r="AJ216" s="21"/>
      <c r="AK216" s="15">
        <f t="shared" si="13"/>
        <v>1.60269817</v>
      </c>
      <c r="AL216" s="24"/>
      <c r="AM216" s="21"/>
      <c r="AN216" s="21"/>
      <c r="AO216" s="15">
        <f t="shared" si="16"/>
        <v>1.70283729</v>
      </c>
      <c r="AP216" s="24"/>
      <c r="AQ216" s="21"/>
      <c r="AR216" s="21"/>
      <c r="AS216" s="15">
        <f t="shared" si="19"/>
        <v>0.447299142</v>
      </c>
      <c r="AT216" s="24"/>
      <c r="AU216" s="21"/>
      <c r="AX216" s="14">
        <f t="shared" si="22"/>
        <v>36348.7168</v>
      </c>
      <c r="AY216" s="14">
        <f t="shared" si="23"/>
        <v>114.8620033</v>
      </c>
      <c r="AZ216" s="14">
        <f t="shared" si="24"/>
        <v>36233.8548</v>
      </c>
      <c r="BA216" s="17"/>
    </row>
    <row r="217">
      <c r="A217" s="2" t="s">
        <v>169</v>
      </c>
      <c r="B217" s="2">
        <v>2020.0</v>
      </c>
      <c r="C217" s="2">
        <v>18776.70703</v>
      </c>
      <c r="D217" s="2">
        <v>57.67100143</v>
      </c>
      <c r="E217" s="2">
        <v>95.43497032</v>
      </c>
      <c r="F217" s="2">
        <v>1.941425039</v>
      </c>
      <c r="G217" s="2">
        <v>2.545956934</v>
      </c>
      <c r="H217" s="2">
        <v>0.07764770471</v>
      </c>
      <c r="I217" s="2">
        <v>91.93925234</v>
      </c>
      <c r="J217" s="2">
        <v>1.862616064</v>
      </c>
      <c r="K217" s="2">
        <v>6.014693049</v>
      </c>
      <c r="L217" s="2">
        <v>0.1834385438</v>
      </c>
      <c r="M217" s="2">
        <v>98.00073133</v>
      </c>
      <c r="N217" s="2">
        <v>1.999268673</v>
      </c>
      <c r="O217" s="2">
        <v>0.0</v>
      </c>
      <c r="P217" s="2">
        <v>0.0</v>
      </c>
      <c r="Q217" s="13" t="str">
        <f t="shared" si="1"/>
        <v>Kazakhstan|2020</v>
      </c>
      <c r="R217" s="14" t="str">
        <f t="shared" si="2"/>
        <v> </v>
      </c>
      <c r="T217" s="14" t="b">
        <f t="shared" si="3"/>
        <v>0</v>
      </c>
      <c r="U217" s="14" t="b">
        <f t="shared" si="29"/>
        <v>0</v>
      </c>
      <c r="V217" s="14" t="b">
        <f t="shared" si="4"/>
        <v>0</v>
      </c>
      <c r="W217" s="14">
        <f t="shared" si="5"/>
        <v>95</v>
      </c>
      <c r="X217" s="14">
        <f t="shared" si="6"/>
        <v>92</v>
      </c>
      <c r="Y217" s="14">
        <f t="shared" si="7"/>
        <v>98</v>
      </c>
      <c r="Z217" s="14" t="str">
        <f t="shared" si="8"/>
        <v/>
      </c>
      <c r="AA217" s="14" t="str">
        <f t="shared" si="9"/>
        <v/>
      </c>
      <c r="AB217" s="14" t="str">
        <f t="shared" si="10"/>
        <v/>
      </c>
      <c r="AC217" s="14">
        <f t="shared" si="11"/>
        <v>0</v>
      </c>
      <c r="AE217" s="15" t="s">
        <v>277</v>
      </c>
      <c r="AF217" s="16" t="s">
        <v>53</v>
      </c>
      <c r="AH217" s="17" t="str">
        <f t="shared" si="12"/>
        <v>Europe &amp; Central Asia</v>
      </c>
      <c r="AI217" s="21"/>
      <c r="AJ217" s="21"/>
      <c r="AK217" s="15">
        <f t="shared" si="13"/>
        <v>0.054275052</v>
      </c>
      <c r="AL217" s="24"/>
      <c r="AM217" s="21"/>
      <c r="AN217" s="21"/>
      <c r="AO217" s="15">
        <f t="shared" si="16"/>
        <v>0.231377678</v>
      </c>
      <c r="AP217" s="24"/>
      <c r="AQ217" s="21"/>
      <c r="AR217" s="21"/>
      <c r="AS217" s="15">
        <f t="shared" si="19"/>
        <v>-0.011247684</v>
      </c>
      <c r="AT217" s="24"/>
      <c r="AU217" s="21"/>
      <c r="AX217" s="14" t="str">
        <f t="shared" si="22"/>
        <v>null</v>
      </c>
      <c r="AY217" s="14" t="str">
        <f t="shared" si="23"/>
        <v>null</v>
      </c>
      <c r="AZ217" s="14" t="str">
        <f t="shared" si="24"/>
        <v>null</v>
      </c>
      <c r="BA217" s="8"/>
    </row>
    <row r="218">
      <c r="A218" s="2" t="s">
        <v>170</v>
      </c>
      <c r="B218" s="2">
        <v>2015.0</v>
      </c>
      <c r="C218" s="2">
        <v>47878.33984</v>
      </c>
      <c r="D218" s="2">
        <v>25.65799904</v>
      </c>
      <c r="E218" s="2">
        <v>58.19692798</v>
      </c>
      <c r="F218" s="2">
        <v>8.796753977</v>
      </c>
      <c r="G218" s="2">
        <v>11.52291835</v>
      </c>
      <c r="H218" s="2">
        <v>21.48339969</v>
      </c>
      <c r="I218" s="2">
        <v>48.27216191</v>
      </c>
      <c r="J218" s="2">
        <v>10.37313934</v>
      </c>
      <c r="K218" s="2">
        <v>14.21683468</v>
      </c>
      <c r="L218" s="2">
        <v>27.13786408</v>
      </c>
      <c r="M218" s="2">
        <v>86.95314792</v>
      </c>
      <c r="N218" s="2">
        <v>4.22930427</v>
      </c>
      <c r="O218" s="2">
        <v>3.717504383</v>
      </c>
      <c r="P218" s="2">
        <v>5.100043429</v>
      </c>
      <c r="Q218" s="13" t="str">
        <f t="shared" si="1"/>
        <v>Kenya|2015</v>
      </c>
      <c r="R218" s="14">
        <f t="shared" si="2"/>
        <v>5</v>
      </c>
      <c r="T218" s="14">
        <f t="shared" si="3"/>
        <v>0.68719272</v>
      </c>
      <c r="U218" s="14">
        <f t="shared" si="29"/>
        <v>0.701563404</v>
      </c>
      <c r="V218" s="14">
        <f t="shared" si="4"/>
        <v>0.004416706</v>
      </c>
      <c r="W218" s="14">
        <f t="shared" si="5"/>
        <v>58</v>
      </c>
      <c r="X218" s="14">
        <f t="shared" si="6"/>
        <v>48</v>
      </c>
      <c r="Y218" s="14">
        <f t="shared" si="7"/>
        <v>87</v>
      </c>
      <c r="Z218" s="14" t="str">
        <f t="shared" si="8"/>
        <v/>
      </c>
      <c r="AA218" s="14" t="str">
        <f t="shared" si="9"/>
        <v/>
      </c>
      <c r="AB218" s="14" t="str">
        <f t="shared" si="10"/>
        <v>Fully Accessible</v>
      </c>
      <c r="AC218" s="14">
        <f t="shared" si="11"/>
        <v>0.697146698</v>
      </c>
      <c r="AE218" s="15" t="s">
        <v>278</v>
      </c>
      <c r="AF218" s="16" t="s">
        <v>53</v>
      </c>
      <c r="AH218" s="17" t="str">
        <f t="shared" si="12"/>
        <v>Europe &amp; Central Asia</v>
      </c>
      <c r="AI218" s="21"/>
      <c r="AJ218" s="21"/>
      <c r="AK218" s="15">
        <f t="shared" si="13"/>
        <v>-0.001147294</v>
      </c>
      <c r="AL218" s="24"/>
      <c r="AM218" s="21"/>
      <c r="AN218" s="21"/>
      <c r="AO218" s="15">
        <f t="shared" si="16"/>
        <v>0</v>
      </c>
      <c r="AP218" s="24"/>
      <c r="AQ218" s="21"/>
      <c r="AR218" s="21"/>
      <c r="AS218" s="15">
        <f t="shared" si="19"/>
        <v>0</v>
      </c>
      <c r="AT218" s="24"/>
      <c r="AU218" s="21"/>
      <c r="AX218" s="14">
        <f t="shared" si="22"/>
        <v>101649.6406</v>
      </c>
      <c r="AY218" s="14">
        <f t="shared" si="23"/>
        <v>53.65299797</v>
      </c>
      <c r="AZ218" s="14">
        <f t="shared" si="24"/>
        <v>101595.9876</v>
      </c>
      <c r="BA218" s="27"/>
    </row>
    <row r="219">
      <c r="A219" s="2" t="s">
        <v>170</v>
      </c>
      <c r="B219" s="2">
        <v>2020.0</v>
      </c>
      <c r="C219" s="2">
        <v>53771.30078</v>
      </c>
      <c r="D219" s="2">
        <v>27.99499893</v>
      </c>
      <c r="E219" s="2">
        <v>61.63289158</v>
      </c>
      <c r="F219" s="2">
        <v>9.54187005</v>
      </c>
      <c r="G219" s="2">
        <v>9.780087524</v>
      </c>
      <c r="H219" s="2">
        <v>19.04515084</v>
      </c>
      <c r="I219" s="2">
        <v>51.77997893</v>
      </c>
      <c r="J219" s="2">
        <v>11.56900419</v>
      </c>
      <c r="K219" s="2">
        <v>12.51911322</v>
      </c>
      <c r="L219" s="2">
        <v>24.13190366</v>
      </c>
      <c r="M219" s="2">
        <v>86.97523145</v>
      </c>
      <c r="N219" s="2">
        <v>4.327944725</v>
      </c>
      <c r="O219" s="2">
        <v>2.73514263</v>
      </c>
      <c r="P219" s="2">
        <v>5.961681193</v>
      </c>
      <c r="Q219" s="13" t="str">
        <f t="shared" si="1"/>
        <v>Kenya|2020</v>
      </c>
      <c r="R219" s="14" t="str">
        <f t="shared" si="2"/>
        <v> </v>
      </c>
      <c r="T219" s="14" t="b">
        <f t="shared" si="3"/>
        <v>0</v>
      </c>
      <c r="U219" s="14" t="b">
        <f t="shared" si="29"/>
        <v>0</v>
      </c>
      <c r="V219" s="14" t="b">
        <f t="shared" si="4"/>
        <v>0</v>
      </c>
      <c r="W219" s="14">
        <f t="shared" si="5"/>
        <v>62</v>
      </c>
      <c r="X219" s="14">
        <f t="shared" si="6"/>
        <v>52</v>
      </c>
      <c r="Y219" s="14">
        <f t="shared" si="7"/>
        <v>87</v>
      </c>
      <c r="Z219" s="14" t="str">
        <f t="shared" si="8"/>
        <v/>
      </c>
      <c r="AA219" s="14" t="str">
        <f t="shared" si="9"/>
        <v/>
      </c>
      <c r="AB219" s="14" t="str">
        <f t="shared" si="10"/>
        <v/>
      </c>
      <c r="AC219" s="14">
        <f t="shared" si="11"/>
        <v>0</v>
      </c>
      <c r="AE219" s="15" t="s">
        <v>279</v>
      </c>
      <c r="AF219" s="16" t="s">
        <v>53</v>
      </c>
      <c r="AH219" s="17" t="str">
        <f t="shared" si="12"/>
        <v>Europe &amp; Central Asia</v>
      </c>
      <c r="AI219" s="21"/>
      <c r="AJ219" s="21"/>
      <c r="AK219" s="15">
        <f t="shared" si="13"/>
        <v>-0.0000005880000003</v>
      </c>
      <c r="AL219" s="24"/>
      <c r="AM219" s="21"/>
      <c r="AN219" s="21"/>
      <c r="AO219" s="15">
        <f t="shared" si="16"/>
        <v>0</v>
      </c>
      <c r="AP219" s="24"/>
      <c r="AQ219" s="21"/>
      <c r="AR219" s="21"/>
      <c r="AS219" s="15">
        <f t="shared" si="19"/>
        <v>0</v>
      </c>
      <c r="AT219" s="24"/>
      <c r="AU219" s="21"/>
      <c r="AX219" s="14" t="str">
        <f t="shared" si="22"/>
        <v>null</v>
      </c>
      <c r="AY219" s="14" t="str">
        <f t="shared" si="23"/>
        <v>null</v>
      </c>
      <c r="AZ219" s="14" t="str">
        <f t="shared" si="24"/>
        <v>null</v>
      </c>
      <c r="BA219" s="17"/>
    </row>
    <row r="220">
      <c r="A220" s="2" t="s">
        <v>171</v>
      </c>
      <c r="B220" s="2">
        <v>2015.0</v>
      </c>
      <c r="C220" s="2">
        <v>110.927002</v>
      </c>
      <c r="D220" s="2">
        <v>51.61899948</v>
      </c>
      <c r="E220" s="2">
        <v>73.84809659</v>
      </c>
      <c r="F220" s="2">
        <v>2.340891569</v>
      </c>
      <c r="G220" s="2">
        <v>23.81101184</v>
      </c>
      <c r="H220" s="2">
        <v>0.0</v>
      </c>
      <c r="I220" s="2">
        <v>57.92225259</v>
      </c>
      <c r="J220" s="2">
        <v>1.639587928</v>
      </c>
      <c r="K220" s="2">
        <v>40.43815948</v>
      </c>
      <c r="L220" s="2">
        <v>0.0</v>
      </c>
      <c r="M220" s="2">
        <v>88.774932</v>
      </c>
      <c r="N220" s="2">
        <v>2.998203296</v>
      </c>
      <c r="O220" s="2">
        <v>8.226864706</v>
      </c>
      <c r="P220" s="2">
        <v>0.0</v>
      </c>
      <c r="Q220" s="13" t="str">
        <f t="shared" si="1"/>
        <v>Kiribati|2015</v>
      </c>
      <c r="R220" s="14">
        <f t="shared" si="2"/>
        <v>5</v>
      </c>
      <c r="T220" s="14">
        <f t="shared" si="3"/>
        <v>0.824564852</v>
      </c>
      <c r="U220" s="14">
        <f t="shared" si="29"/>
        <v>0.61438646</v>
      </c>
      <c r="V220" s="14">
        <f t="shared" si="4"/>
        <v>0.55124857</v>
      </c>
      <c r="W220" s="14">
        <f t="shared" si="5"/>
        <v>74</v>
      </c>
      <c r="X220" s="14">
        <f t="shared" si="6"/>
        <v>58</v>
      </c>
      <c r="Y220" s="14">
        <f t="shared" si="7"/>
        <v>89</v>
      </c>
      <c r="Z220" s="14" t="str">
        <f t="shared" si="8"/>
        <v/>
      </c>
      <c r="AA220" s="14" t="str">
        <f t="shared" si="9"/>
        <v/>
      </c>
      <c r="AB220" s="14" t="str">
        <f t="shared" si="10"/>
        <v>Fully Accessible</v>
      </c>
      <c r="AC220" s="14">
        <f t="shared" si="11"/>
        <v>0.06313789</v>
      </c>
      <c r="AE220" s="15" t="s">
        <v>280</v>
      </c>
      <c r="AF220" s="16" t="s">
        <v>63</v>
      </c>
      <c r="AH220" s="17" t="str">
        <f t="shared" si="12"/>
        <v>Sub-Saharan Africa</v>
      </c>
      <c r="AI220" s="21"/>
      <c r="AJ220" s="21"/>
      <c r="AK220" s="15">
        <f t="shared" si="13"/>
        <v>1.5506006</v>
      </c>
      <c r="AL220" s="24"/>
      <c r="AM220" s="21"/>
      <c r="AN220" s="21"/>
      <c r="AO220" s="15">
        <f t="shared" si="16"/>
        <v>1.316708156</v>
      </c>
      <c r="AP220" s="24"/>
      <c r="AQ220" s="21"/>
      <c r="AR220" s="21"/>
      <c r="AS220" s="15">
        <f t="shared" si="19"/>
        <v>1.0666139</v>
      </c>
      <c r="AT220" s="24"/>
      <c r="AU220" s="21"/>
      <c r="AX220" s="14">
        <f t="shared" si="22"/>
        <v>230.3730011</v>
      </c>
      <c r="AY220" s="14">
        <f t="shared" si="23"/>
        <v>107.2129974</v>
      </c>
      <c r="AZ220" s="14">
        <f t="shared" si="24"/>
        <v>123.1600037</v>
      </c>
      <c r="BA220" s="27"/>
    </row>
    <row r="221">
      <c r="A221" s="2" t="s">
        <v>171</v>
      </c>
      <c r="B221" s="2">
        <v>2020.0</v>
      </c>
      <c r="C221" s="2">
        <v>119.4459991</v>
      </c>
      <c r="D221" s="2">
        <v>55.59399796</v>
      </c>
      <c r="E221" s="2">
        <v>77.97092085</v>
      </c>
      <c r="F221" s="2">
        <v>4.076899625</v>
      </c>
      <c r="G221" s="2">
        <v>17.95217953</v>
      </c>
      <c r="H221" s="2">
        <v>0.0</v>
      </c>
      <c r="I221" s="2">
        <v>60.99418489</v>
      </c>
      <c r="J221" s="2">
        <v>2.096609799</v>
      </c>
      <c r="K221" s="2">
        <v>36.90920532</v>
      </c>
      <c r="L221" s="2">
        <v>0.0</v>
      </c>
      <c r="M221" s="2">
        <v>91.53117485</v>
      </c>
      <c r="N221" s="2">
        <v>5.658666461</v>
      </c>
      <c r="O221" s="2">
        <v>2.810158691</v>
      </c>
      <c r="P221" s="2">
        <v>0.0</v>
      </c>
      <c r="Q221" s="13" t="str">
        <f t="shared" si="1"/>
        <v>Kiribati|2020</v>
      </c>
      <c r="R221" s="14" t="str">
        <f t="shared" si="2"/>
        <v> </v>
      </c>
      <c r="T221" s="14" t="b">
        <f t="shared" si="3"/>
        <v>0</v>
      </c>
      <c r="U221" s="14" t="b">
        <f t="shared" si="29"/>
        <v>0</v>
      </c>
      <c r="V221" s="14" t="b">
        <f t="shared" si="4"/>
        <v>0</v>
      </c>
      <c r="W221" s="14">
        <f t="shared" si="5"/>
        <v>78</v>
      </c>
      <c r="X221" s="14">
        <f t="shared" si="6"/>
        <v>61</v>
      </c>
      <c r="Y221" s="14">
        <f t="shared" si="7"/>
        <v>92</v>
      </c>
      <c r="Z221" s="14" t="str">
        <f t="shared" si="8"/>
        <v/>
      </c>
      <c r="AA221" s="14" t="str">
        <f t="shared" si="9"/>
        <v/>
      </c>
      <c r="AB221" s="14" t="str">
        <f t="shared" si="10"/>
        <v/>
      </c>
      <c r="AC221" s="14">
        <f t="shared" si="11"/>
        <v>0</v>
      </c>
      <c r="AE221" s="15" t="s">
        <v>281</v>
      </c>
      <c r="AF221" s="16" t="s">
        <v>61</v>
      </c>
      <c r="AH221" s="17" t="str">
        <f t="shared" si="12"/>
        <v>North America</v>
      </c>
      <c r="AI221" s="21"/>
      <c r="AJ221" s="21"/>
      <c r="AK221" s="15">
        <f t="shared" si="13"/>
        <v>0</v>
      </c>
      <c r="AL221" s="24"/>
      <c r="AM221" s="21"/>
      <c r="AN221" s="21"/>
      <c r="AO221" s="15">
        <f t="shared" si="16"/>
        <v>0</v>
      </c>
      <c r="AP221" s="24"/>
      <c r="AQ221" s="21"/>
      <c r="AR221" s="21"/>
      <c r="AS221" s="15">
        <f t="shared" si="19"/>
        <v>0</v>
      </c>
      <c r="AT221" s="24"/>
      <c r="AU221" s="21"/>
      <c r="AX221" s="14" t="str">
        <f t="shared" si="22"/>
        <v>null</v>
      </c>
      <c r="AY221" s="14" t="str">
        <f t="shared" si="23"/>
        <v>null</v>
      </c>
      <c r="AZ221" s="14" t="str">
        <f t="shared" si="24"/>
        <v>null</v>
      </c>
      <c r="BA221" s="27"/>
    </row>
    <row r="222">
      <c r="A222" s="2" t="s">
        <v>172</v>
      </c>
      <c r="B222" s="2">
        <v>2015.0</v>
      </c>
      <c r="C222" s="2">
        <v>3835.587891</v>
      </c>
      <c r="D222" s="2">
        <v>100.0</v>
      </c>
      <c r="E222" s="2">
        <v>100.0</v>
      </c>
      <c r="F222" s="2">
        <v>0.0</v>
      </c>
      <c r="G222" s="2">
        <v>0.0</v>
      </c>
      <c r="H222" s="2">
        <v>0.0</v>
      </c>
      <c r="I222" s="2" t="s">
        <v>64</v>
      </c>
      <c r="J222" s="2" t="s">
        <v>64</v>
      </c>
      <c r="K222" s="2" t="s">
        <v>64</v>
      </c>
      <c r="L222" s="2" t="s">
        <v>64</v>
      </c>
      <c r="M222" s="2" t="s">
        <v>64</v>
      </c>
      <c r="N222" s="2" t="s">
        <v>64</v>
      </c>
      <c r="O222" s="2" t="s">
        <v>64</v>
      </c>
      <c r="P222" s="2" t="s">
        <v>64</v>
      </c>
      <c r="Q222" s="13" t="str">
        <f t="shared" si="1"/>
        <v>Kuwait|2015</v>
      </c>
      <c r="R222" s="14">
        <f t="shared" si="2"/>
        <v>5</v>
      </c>
      <c r="T222" s="14">
        <f t="shared" si="3"/>
        <v>0</v>
      </c>
      <c r="U222" s="14" t="str">
        <f t="shared" si="29"/>
        <v>null</v>
      </c>
      <c r="V222" s="14" t="str">
        <f t="shared" si="4"/>
        <v>null</v>
      </c>
      <c r="W222" s="14">
        <f t="shared" si="5"/>
        <v>100</v>
      </c>
      <c r="X222" s="14" t="b">
        <f t="shared" si="6"/>
        <v>0</v>
      </c>
      <c r="Y222" s="14" t="b">
        <f t="shared" si="7"/>
        <v>0</v>
      </c>
      <c r="Z222" s="14" t="str">
        <f t="shared" si="8"/>
        <v/>
      </c>
      <c r="AA222" s="14" t="str">
        <f t="shared" si="9"/>
        <v>Fully Accessible</v>
      </c>
      <c r="AB222" s="14" t="str">
        <f t="shared" si="10"/>
        <v>Fully Accessible</v>
      </c>
      <c r="AC222" s="14" t="b">
        <f t="shared" si="11"/>
        <v>0</v>
      </c>
      <c r="AE222" s="15" t="s">
        <v>282</v>
      </c>
      <c r="AF222" s="16" t="s">
        <v>61</v>
      </c>
      <c r="AH222" s="17" t="str">
        <f t="shared" si="12"/>
        <v>North America</v>
      </c>
      <c r="AI222" s="21"/>
      <c r="AJ222" s="21"/>
      <c r="AK222" s="15">
        <f t="shared" si="13"/>
        <v>0.087273784</v>
      </c>
      <c r="AL222" s="24"/>
      <c r="AM222" s="21"/>
      <c r="AN222" s="21"/>
      <c r="AO222" s="15">
        <f t="shared" si="16"/>
        <v>0.378133766</v>
      </c>
      <c r="AP222" s="24"/>
      <c r="AQ222" s="21"/>
      <c r="AR222" s="21"/>
      <c r="AS222" s="15">
        <f t="shared" si="19"/>
        <v>0.021372932</v>
      </c>
      <c r="AT222" s="24"/>
      <c r="AU222" s="21"/>
      <c r="AX222" s="14">
        <f t="shared" si="22"/>
        <v>8106.150879</v>
      </c>
      <c r="AY222" s="14">
        <f t="shared" si="23"/>
        <v>200</v>
      </c>
      <c r="AZ222" s="14">
        <f t="shared" si="24"/>
        <v>7906.150879</v>
      </c>
      <c r="BA222" s="17"/>
    </row>
    <row r="223">
      <c r="A223" s="2" t="s">
        <v>172</v>
      </c>
      <c r="B223" s="2">
        <v>2020.0</v>
      </c>
      <c r="C223" s="2">
        <v>4270.562988</v>
      </c>
      <c r="D223" s="2">
        <v>100.0</v>
      </c>
      <c r="E223" s="2">
        <v>100.0</v>
      </c>
      <c r="F223" s="2">
        <v>0.0</v>
      </c>
      <c r="G223" s="2">
        <v>0.0</v>
      </c>
      <c r="H223" s="2">
        <v>0.0</v>
      </c>
      <c r="I223" s="2" t="s">
        <v>64</v>
      </c>
      <c r="J223" s="2" t="s">
        <v>64</v>
      </c>
      <c r="K223" s="2" t="s">
        <v>64</v>
      </c>
      <c r="L223" s="2" t="s">
        <v>64</v>
      </c>
      <c r="M223" s="2" t="s">
        <v>64</v>
      </c>
      <c r="N223" s="2" t="s">
        <v>64</v>
      </c>
      <c r="O223" s="2" t="s">
        <v>64</v>
      </c>
      <c r="P223" s="2" t="s">
        <v>64</v>
      </c>
      <c r="Q223" s="13" t="str">
        <f t="shared" si="1"/>
        <v>Kuwait|2020</v>
      </c>
      <c r="R223" s="14" t="str">
        <f t="shared" si="2"/>
        <v> </v>
      </c>
      <c r="T223" s="14" t="b">
        <f t="shared" si="3"/>
        <v>0</v>
      </c>
      <c r="U223" s="14" t="b">
        <f t="shared" si="29"/>
        <v>0</v>
      </c>
      <c r="V223" s="14" t="b">
        <f t="shared" si="4"/>
        <v>0</v>
      </c>
      <c r="W223" s="14">
        <f t="shared" si="5"/>
        <v>100</v>
      </c>
      <c r="X223" s="14" t="b">
        <f t="shared" si="6"/>
        <v>0</v>
      </c>
      <c r="Y223" s="14" t="b">
        <f t="shared" si="7"/>
        <v>0</v>
      </c>
      <c r="Z223" s="14" t="str">
        <f t="shared" si="8"/>
        <v/>
      </c>
      <c r="AA223" s="14" t="str">
        <f t="shared" si="9"/>
        <v/>
      </c>
      <c r="AB223" s="14" t="str">
        <f t="shared" si="10"/>
        <v/>
      </c>
      <c r="AC223" s="14">
        <f t="shared" si="11"/>
        <v>0</v>
      </c>
      <c r="AE223" s="15" t="s">
        <v>283</v>
      </c>
      <c r="AF223" s="16" t="s">
        <v>57</v>
      </c>
      <c r="AH223" s="17" t="str">
        <f t="shared" si="12"/>
        <v>Latin America &amp; Caribbean</v>
      </c>
      <c r="AI223" s="21"/>
      <c r="AJ223" s="21"/>
      <c r="AK223" s="15">
        <f t="shared" si="13"/>
        <v>-0.000001086</v>
      </c>
      <c r="AL223" s="24"/>
      <c r="AM223" s="21"/>
      <c r="AN223" s="21"/>
      <c r="AO223" s="15">
        <f t="shared" si="16"/>
        <v>0</v>
      </c>
      <c r="AP223" s="24"/>
      <c r="AQ223" s="21"/>
      <c r="AR223" s="21"/>
      <c r="AS223" s="15">
        <f t="shared" si="19"/>
        <v>0</v>
      </c>
      <c r="AT223" s="24"/>
      <c r="AU223" s="21"/>
      <c r="AX223" s="14" t="str">
        <f t="shared" si="22"/>
        <v>null</v>
      </c>
      <c r="AY223" s="14" t="str">
        <f t="shared" si="23"/>
        <v>null</v>
      </c>
      <c r="AZ223" s="14" t="str">
        <f t="shared" si="24"/>
        <v>null</v>
      </c>
      <c r="BA223" s="17"/>
    </row>
    <row r="224">
      <c r="A224" s="2" t="s">
        <v>173</v>
      </c>
      <c r="B224" s="2">
        <v>2015.0</v>
      </c>
      <c r="C224" s="2">
        <v>5959.125977</v>
      </c>
      <c r="D224" s="2">
        <v>35.77700043</v>
      </c>
      <c r="E224" s="2">
        <v>88.44176125</v>
      </c>
      <c r="F224" s="2">
        <v>1.789935836</v>
      </c>
      <c r="G224" s="2">
        <v>2.248062905</v>
      </c>
      <c r="H224" s="2">
        <v>7.520240013</v>
      </c>
      <c r="I224" s="2">
        <v>83.10521764</v>
      </c>
      <c r="J224" s="2">
        <v>2.415973654</v>
      </c>
      <c r="K224" s="2">
        <v>3.353168783</v>
      </c>
      <c r="L224" s="2">
        <v>11.12563993</v>
      </c>
      <c r="M224" s="2">
        <v>98.02134645</v>
      </c>
      <c r="N224" s="2">
        <v>0.6661405372</v>
      </c>
      <c r="O224" s="2">
        <v>0.2642965036</v>
      </c>
      <c r="P224" s="2">
        <v>1.04821651</v>
      </c>
      <c r="Q224" s="13" t="str">
        <f t="shared" si="1"/>
        <v>Kyrgyzstan|2015</v>
      </c>
      <c r="R224" s="14">
        <f t="shared" si="2"/>
        <v>5</v>
      </c>
      <c r="T224" s="14">
        <f t="shared" si="3"/>
        <v>0.651508794</v>
      </c>
      <c r="U224" s="14">
        <f t="shared" si="29"/>
        <v>0.830642272</v>
      </c>
      <c r="V224" s="14">
        <f t="shared" si="4"/>
        <v>0.257269172</v>
      </c>
      <c r="W224" s="14">
        <f t="shared" si="5"/>
        <v>88</v>
      </c>
      <c r="X224" s="14">
        <f t="shared" si="6"/>
        <v>83</v>
      </c>
      <c r="Y224" s="14">
        <f t="shared" si="7"/>
        <v>98</v>
      </c>
      <c r="Z224" s="14" t="str">
        <f t="shared" si="8"/>
        <v/>
      </c>
      <c r="AA224" s="14" t="str">
        <f t="shared" si="9"/>
        <v/>
      </c>
      <c r="AB224" s="14" t="str">
        <f t="shared" si="10"/>
        <v>Fully Accessible</v>
      </c>
      <c r="AC224" s="14">
        <f t="shared" si="11"/>
        <v>0.5733731</v>
      </c>
      <c r="AE224" s="15" t="s">
        <v>284</v>
      </c>
      <c r="AF224" s="16" t="s">
        <v>57</v>
      </c>
      <c r="AH224" s="17" t="str">
        <f t="shared" si="12"/>
        <v>Latin America &amp; Caribbean</v>
      </c>
      <c r="AI224" s="21"/>
      <c r="AJ224" s="21"/>
      <c r="AK224" s="15">
        <f t="shared" si="13"/>
        <v>0.072872</v>
      </c>
      <c r="AL224" s="24"/>
      <c r="AM224" s="21"/>
      <c r="AN224" s="21"/>
      <c r="AO224" s="15">
        <f t="shared" si="16"/>
        <v>0.760997232</v>
      </c>
      <c r="AP224" s="24"/>
      <c r="AQ224" s="21"/>
      <c r="AR224" s="21"/>
      <c r="AS224" s="15">
        <f t="shared" si="19"/>
        <v>0.032654492</v>
      </c>
      <c r="AT224" s="24"/>
      <c r="AU224" s="21"/>
      <c r="AX224" s="14">
        <f t="shared" si="22"/>
        <v>12483.3169</v>
      </c>
      <c r="AY224" s="14">
        <f t="shared" si="23"/>
        <v>72.63299942</v>
      </c>
      <c r="AZ224" s="14">
        <f t="shared" si="24"/>
        <v>12410.6839</v>
      </c>
      <c r="BA224" s="17"/>
    </row>
    <row r="225">
      <c r="A225" s="2" t="s">
        <v>173</v>
      </c>
      <c r="B225" s="2">
        <v>2020.0</v>
      </c>
      <c r="C225" s="2">
        <v>6524.190918</v>
      </c>
      <c r="D225" s="2">
        <v>36.85599899</v>
      </c>
      <c r="E225" s="2">
        <v>91.69930522</v>
      </c>
      <c r="F225" s="2">
        <v>1.900734111</v>
      </c>
      <c r="G225" s="2">
        <v>1.8656487</v>
      </c>
      <c r="H225" s="2">
        <v>4.534311965</v>
      </c>
      <c r="I225" s="2">
        <v>87.258429</v>
      </c>
      <c r="J225" s="2">
        <v>2.606070485</v>
      </c>
      <c r="K225" s="2">
        <v>2.954593684</v>
      </c>
      <c r="L225" s="2">
        <v>7.180906832</v>
      </c>
      <c r="M225" s="2">
        <v>99.30769231</v>
      </c>
      <c r="N225" s="2">
        <v>0.6923076923</v>
      </c>
      <c r="O225" s="2">
        <v>0.0</v>
      </c>
      <c r="P225" s="2">
        <v>0.0</v>
      </c>
      <c r="Q225" s="13" t="str">
        <f t="shared" si="1"/>
        <v>Kyrgyzstan|2020</v>
      </c>
      <c r="R225" s="14" t="str">
        <f t="shared" si="2"/>
        <v> </v>
      </c>
      <c r="T225" s="14" t="b">
        <f t="shared" si="3"/>
        <v>0</v>
      </c>
      <c r="U225" s="14" t="b">
        <f t="shared" si="29"/>
        <v>0</v>
      </c>
      <c r="V225" s="14" t="b">
        <f t="shared" si="4"/>
        <v>0</v>
      </c>
      <c r="W225" s="14">
        <f t="shared" si="5"/>
        <v>92</v>
      </c>
      <c r="X225" s="14">
        <f t="shared" si="6"/>
        <v>87</v>
      </c>
      <c r="Y225" s="14">
        <f t="shared" si="7"/>
        <v>99</v>
      </c>
      <c r="Z225" s="14" t="str">
        <f t="shared" si="8"/>
        <v/>
      </c>
      <c r="AA225" s="14" t="str">
        <f t="shared" si="9"/>
        <v/>
      </c>
      <c r="AB225" s="14" t="str">
        <f t="shared" si="10"/>
        <v/>
      </c>
      <c r="AC225" s="14">
        <f t="shared" si="11"/>
        <v>0</v>
      </c>
      <c r="AE225" s="15" t="s">
        <v>285</v>
      </c>
      <c r="AF225" s="16" t="s">
        <v>53</v>
      </c>
      <c r="AH225" s="17" t="str">
        <f t="shared" si="12"/>
        <v>Europe &amp; Central Asia</v>
      </c>
      <c r="AI225" s="21"/>
      <c r="AJ225" s="21"/>
      <c r="AK225" s="15">
        <f t="shared" si="13"/>
        <v>0.060041318</v>
      </c>
      <c r="AL225" s="24"/>
      <c r="AM225" s="21"/>
      <c r="AN225" s="21"/>
      <c r="AO225" s="15">
        <f t="shared" si="16"/>
        <v>0.086038162</v>
      </c>
      <c r="AP225" s="24"/>
      <c r="AQ225" s="21"/>
      <c r="AR225" s="21"/>
      <c r="AS225" s="15">
        <f t="shared" si="19"/>
        <v>0.039397988</v>
      </c>
      <c r="AT225" s="24"/>
      <c r="AU225" s="21"/>
      <c r="AX225" s="14" t="str">
        <f t="shared" si="22"/>
        <v>null</v>
      </c>
      <c r="AY225" s="14" t="str">
        <f t="shared" si="23"/>
        <v>null</v>
      </c>
      <c r="AZ225" s="14" t="str">
        <f t="shared" si="24"/>
        <v>null</v>
      </c>
      <c r="BA225" s="8"/>
    </row>
    <row r="226">
      <c r="A226" s="2" t="s">
        <v>174</v>
      </c>
      <c r="B226" s="2">
        <v>2015.0</v>
      </c>
      <c r="C226" s="2">
        <v>6741.160156</v>
      </c>
      <c r="D226" s="2">
        <v>33.10799789</v>
      </c>
      <c r="E226" s="2">
        <v>77.46057221</v>
      </c>
      <c r="F226" s="2">
        <v>3.052340334</v>
      </c>
      <c r="G226" s="2">
        <v>14.22792235</v>
      </c>
      <c r="H226" s="2">
        <v>5.259165108</v>
      </c>
      <c r="I226" s="2">
        <v>70.23968655</v>
      </c>
      <c r="J226" s="2">
        <v>4.170293363</v>
      </c>
      <c r="K226" s="2">
        <v>18.20222139</v>
      </c>
      <c r="L226" s="2">
        <v>7.387798694</v>
      </c>
      <c r="M226" s="2">
        <v>92.04977998</v>
      </c>
      <c r="N226" s="2">
        <v>0.793607849</v>
      </c>
      <c r="O226" s="2">
        <v>6.198176795</v>
      </c>
      <c r="P226" s="2">
        <v>0.9584353711</v>
      </c>
      <c r="Q226" s="13" t="str">
        <f t="shared" si="1"/>
        <v>Lao People's Democratic Republic|2015</v>
      </c>
      <c r="R226" s="14">
        <f t="shared" si="2"/>
        <v>5</v>
      </c>
      <c r="T226" s="14">
        <f t="shared" si="3"/>
        <v>1.551834194</v>
      </c>
      <c r="U226" s="14">
        <f t="shared" si="29"/>
        <v>1.646654574</v>
      </c>
      <c r="V226" s="14">
        <f t="shared" si="4"/>
        <v>1.002896448</v>
      </c>
      <c r="W226" s="14">
        <f t="shared" si="5"/>
        <v>77</v>
      </c>
      <c r="X226" s="14">
        <f t="shared" si="6"/>
        <v>70</v>
      </c>
      <c r="Y226" s="14">
        <f t="shared" si="7"/>
        <v>92</v>
      </c>
      <c r="Z226" s="14" t="str">
        <f t="shared" si="8"/>
        <v/>
      </c>
      <c r="AA226" s="14" t="str">
        <f t="shared" si="9"/>
        <v/>
      </c>
      <c r="AB226" s="14" t="str">
        <f t="shared" si="10"/>
        <v>Fully Accessible</v>
      </c>
      <c r="AC226" s="14">
        <f t="shared" si="11"/>
        <v>0.643758126</v>
      </c>
      <c r="AE226" s="15" t="s">
        <v>286</v>
      </c>
      <c r="AF226" s="16" t="s">
        <v>51</v>
      </c>
      <c r="AH226" s="17" t="str">
        <f t="shared" si="12"/>
        <v>East Asia &amp; Pacific</v>
      </c>
      <c r="AI226" s="21"/>
      <c r="AJ226" s="21"/>
      <c r="AK226" s="15">
        <f t="shared" si="13"/>
        <v>0.248602852</v>
      </c>
      <c r="AL226" s="24"/>
      <c r="AM226" s="21"/>
      <c r="AN226" s="21"/>
      <c r="AO226" s="15">
        <f t="shared" si="16"/>
        <v>0.283830114</v>
      </c>
      <c r="AP226" s="24"/>
      <c r="AQ226" s="21"/>
      <c r="AR226" s="21"/>
      <c r="AS226" s="15">
        <f t="shared" si="19"/>
        <v>0.092528802</v>
      </c>
      <c r="AT226" s="24"/>
      <c r="AU226" s="21"/>
      <c r="AX226" s="14">
        <f t="shared" si="22"/>
        <v>14016.71631</v>
      </c>
      <c r="AY226" s="14">
        <f t="shared" si="23"/>
        <v>69.39799881</v>
      </c>
      <c r="AZ226" s="14">
        <f t="shared" si="24"/>
        <v>13947.31831</v>
      </c>
      <c r="BA226" s="27"/>
    </row>
    <row r="227">
      <c r="A227" s="2" t="s">
        <v>174</v>
      </c>
      <c r="B227" s="2">
        <v>2020.0</v>
      </c>
      <c r="C227" s="2">
        <v>7275.556152</v>
      </c>
      <c r="D227" s="2">
        <v>36.29000092</v>
      </c>
      <c r="E227" s="2">
        <v>85.21974318</v>
      </c>
      <c r="F227" s="2">
        <v>3.566857739</v>
      </c>
      <c r="G227" s="2">
        <v>10.62886799</v>
      </c>
      <c r="H227" s="2">
        <v>0.5845310938</v>
      </c>
      <c r="I227" s="2">
        <v>78.47295942</v>
      </c>
      <c r="J227" s="2">
        <v>5.598583786</v>
      </c>
      <c r="K227" s="2">
        <v>15.0109696</v>
      </c>
      <c r="L227" s="2">
        <v>0.9174871957</v>
      </c>
      <c r="M227" s="2">
        <v>97.06426222</v>
      </c>
      <c r="N227" s="2">
        <v>0.0</v>
      </c>
      <c r="O227" s="2">
        <v>2.935737778</v>
      </c>
      <c r="P227" s="2">
        <v>0.0</v>
      </c>
      <c r="Q227" s="13" t="str">
        <f t="shared" si="1"/>
        <v>Lao People's Democratic Republic|2020</v>
      </c>
      <c r="R227" s="14" t="str">
        <f t="shared" si="2"/>
        <v> </v>
      </c>
      <c r="T227" s="14" t="b">
        <f t="shared" si="3"/>
        <v>0</v>
      </c>
      <c r="U227" s="14" t="b">
        <f t="shared" si="29"/>
        <v>0</v>
      </c>
      <c r="V227" s="14" t="b">
        <f t="shared" si="4"/>
        <v>0</v>
      </c>
      <c r="W227" s="14">
        <f t="shared" si="5"/>
        <v>85</v>
      </c>
      <c r="X227" s="14">
        <f t="shared" si="6"/>
        <v>78</v>
      </c>
      <c r="Y227" s="14">
        <f t="shared" si="7"/>
        <v>97</v>
      </c>
      <c r="Z227" s="14" t="str">
        <f t="shared" si="8"/>
        <v/>
      </c>
      <c r="AA227" s="14" t="str">
        <f t="shared" si="9"/>
        <v/>
      </c>
      <c r="AB227" s="14" t="str">
        <f t="shared" si="10"/>
        <v/>
      </c>
      <c r="AC227" s="14">
        <f t="shared" si="11"/>
        <v>0</v>
      </c>
      <c r="AE227" s="15" t="s">
        <v>287</v>
      </c>
      <c r="AF227" s="16" t="s">
        <v>57</v>
      </c>
      <c r="AH227" s="17" t="str">
        <f t="shared" si="12"/>
        <v>Latin America &amp; Caribbean</v>
      </c>
      <c r="AI227" s="21"/>
      <c r="AJ227" s="21"/>
      <c r="AK227" s="15">
        <f t="shared" si="13"/>
        <v>-0.17709486</v>
      </c>
      <c r="AL227" s="24"/>
      <c r="AM227" s="21"/>
      <c r="AN227" s="21"/>
      <c r="AO227" s="15">
        <f t="shared" si="16"/>
        <v>0</v>
      </c>
      <c r="AP227" s="24"/>
      <c r="AQ227" s="21"/>
      <c r="AR227" s="21"/>
      <c r="AS227" s="15">
        <f t="shared" si="19"/>
        <v>0</v>
      </c>
      <c r="AT227" s="24"/>
      <c r="AU227" s="21"/>
      <c r="AX227" s="14" t="str">
        <f t="shared" si="22"/>
        <v>null</v>
      </c>
      <c r="AY227" s="14" t="str">
        <f t="shared" si="23"/>
        <v>null</v>
      </c>
      <c r="AZ227" s="14" t="str">
        <f t="shared" si="24"/>
        <v>null</v>
      </c>
      <c r="BA227" s="17"/>
    </row>
    <row r="228">
      <c r="A228" s="2" t="s">
        <v>175</v>
      </c>
      <c r="B228" s="2">
        <v>2015.0</v>
      </c>
      <c r="C228" s="2">
        <v>1997.675049</v>
      </c>
      <c r="D228" s="2">
        <v>67.97999573</v>
      </c>
      <c r="E228" s="2">
        <v>98.52511728</v>
      </c>
      <c r="F228" s="2">
        <v>0.6787074231</v>
      </c>
      <c r="G228" s="2">
        <v>0.7961752931</v>
      </c>
      <c r="H228" s="2">
        <v>0.0</v>
      </c>
      <c r="I228" s="2">
        <v>97.85471901</v>
      </c>
      <c r="J228" s="2">
        <v>0.0</v>
      </c>
      <c r="K228" s="2">
        <v>2.145280992</v>
      </c>
      <c r="L228" s="2">
        <v>0.0</v>
      </c>
      <c r="M228" s="2">
        <v>98.84089334</v>
      </c>
      <c r="N228" s="2">
        <v>0.998392862</v>
      </c>
      <c r="O228" s="2">
        <v>0.1607138001</v>
      </c>
      <c r="P228" s="2">
        <v>0.0</v>
      </c>
      <c r="Q228" s="13" t="str">
        <f t="shared" si="1"/>
        <v>Latvia|2015</v>
      </c>
      <c r="R228" s="14">
        <f t="shared" si="2"/>
        <v>5</v>
      </c>
      <c r="T228" s="14">
        <f t="shared" si="3"/>
        <v>0.051496774</v>
      </c>
      <c r="U228" s="14">
        <f t="shared" si="29"/>
        <v>0.144900826</v>
      </c>
      <c r="V228" s="14">
        <f t="shared" si="4"/>
        <v>0.00720627</v>
      </c>
      <c r="W228" s="14">
        <f t="shared" si="5"/>
        <v>99</v>
      </c>
      <c r="X228" s="14">
        <f t="shared" si="6"/>
        <v>98</v>
      </c>
      <c r="Y228" s="14">
        <f t="shared" si="7"/>
        <v>99</v>
      </c>
      <c r="Z228" s="14" t="str">
        <f t="shared" si="8"/>
        <v/>
      </c>
      <c r="AA228" s="14" t="str">
        <f t="shared" si="9"/>
        <v/>
      </c>
      <c r="AB228" s="14" t="str">
        <f t="shared" si="10"/>
        <v>Fully Accessible</v>
      </c>
      <c r="AC228" s="14">
        <f t="shared" si="11"/>
        <v>0.137694556</v>
      </c>
      <c r="AE228" s="15" t="s">
        <v>288</v>
      </c>
      <c r="AF228" s="16" t="s">
        <v>51</v>
      </c>
      <c r="AH228" s="17" t="str">
        <f t="shared" si="12"/>
        <v>East Asia &amp; Pacific</v>
      </c>
      <c r="AI228" s="21"/>
      <c r="AJ228" s="21"/>
      <c r="AK228" s="15">
        <f t="shared" si="13"/>
        <v>0.711259258</v>
      </c>
      <c r="AL228" s="24"/>
      <c r="AM228" s="21"/>
      <c r="AN228" s="21"/>
      <c r="AO228" s="15">
        <f t="shared" si="16"/>
        <v>0.93629409</v>
      </c>
      <c r="AP228" s="24"/>
      <c r="AQ228" s="21"/>
      <c r="AR228" s="21"/>
      <c r="AS228" s="15">
        <f t="shared" si="19"/>
        <v>0.194059298</v>
      </c>
      <c r="AT228" s="24"/>
      <c r="AU228" s="21"/>
      <c r="AX228" s="14">
        <f t="shared" si="22"/>
        <v>3883.877075</v>
      </c>
      <c r="AY228" s="14">
        <f t="shared" si="23"/>
        <v>136.2949982</v>
      </c>
      <c r="AZ228" s="14">
        <f t="shared" si="24"/>
        <v>3747.582077</v>
      </c>
      <c r="BA228" s="27"/>
    </row>
    <row r="229">
      <c r="A229" s="2" t="s">
        <v>175</v>
      </c>
      <c r="B229" s="2">
        <v>2020.0</v>
      </c>
      <c r="C229" s="2">
        <v>1886.202026</v>
      </c>
      <c r="D229" s="2">
        <v>68.31500244</v>
      </c>
      <c r="E229" s="2">
        <v>98.78260115</v>
      </c>
      <c r="F229" s="2">
        <v>0.6823007424</v>
      </c>
      <c r="G229" s="2">
        <v>0.5350981037</v>
      </c>
      <c r="H229" s="2">
        <v>0.0</v>
      </c>
      <c r="I229" s="2">
        <v>98.57922314</v>
      </c>
      <c r="J229" s="2">
        <v>0.0</v>
      </c>
      <c r="K229" s="2">
        <v>1.42077686</v>
      </c>
      <c r="L229" s="2">
        <v>0.0</v>
      </c>
      <c r="M229" s="2">
        <v>98.87692469</v>
      </c>
      <c r="N229" s="2">
        <v>0.9987568151</v>
      </c>
      <c r="O229" s="2">
        <v>0.1243184908</v>
      </c>
      <c r="P229" s="2">
        <v>0.0</v>
      </c>
      <c r="Q229" s="13" t="str">
        <f t="shared" si="1"/>
        <v>Latvia|2020</v>
      </c>
      <c r="R229" s="14" t="str">
        <f t="shared" si="2"/>
        <v> </v>
      </c>
      <c r="T229" s="14" t="b">
        <f t="shared" si="3"/>
        <v>0</v>
      </c>
      <c r="U229" s="14" t="b">
        <f t="shared" si="29"/>
        <v>0</v>
      </c>
      <c r="V229" s="14" t="b">
        <f t="shared" si="4"/>
        <v>0</v>
      </c>
      <c r="W229" s="14">
        <f t="shared" si="5"/>
        <v>99</v>
      </c>
      <c r="X229" s="14">
        <f t="shared" si="6"/>
        <v>99</v>
      </c>
      <c r="Y229" s="14">
        <f t="shared" si="7"/>
        <v>99</v>
      </c>
      <c r="Z229" s="14" t="str">
        <f t="shared" si="8"/>
        <v/>
      </c>
      <c r="AA229" s="14" t="str">
        <f t="shared" si="9"/>
        <v/>
      </c>
      <c r="AB229" s="14" t="str">
        <f t="shared" si="10"/>
        <v/>
      </c>
      <c r="AC229" s="14">
        <f t="shared" si="11"/>
        <v>0</v>
      </c>
      <c r="AE229" s="15" t="s">
        <v>289</v>
      </c>
      <c r="AF229" s="16" t="s">
        <v>51</v>
      </c>
      <c r="AH229" s="17" t="str">
        <f t="shared" si="12"/>
        <v>East Asia &amp; Pacific</v>
      </c>
      <c r="AI229" s="21"/>
      <c r="AJ229" s="21"/>
      <c r="AK229" s="15">
        <f t="shared" si="13"/>
        <v>-0.035618834</v>
      </c>
      <c r="AL229" s="24"/>
      <c r="AM229" s="21"/>
      <c r="AN229" s="21"/>
      <c r="AO229" s="15">
        <f t="shared" si="16"/>
        <v>-0.035618834</v>
      </c>
      <c r="AP229" s="24"/>
      <c r="AQ229" s="21"/>
      <c r="AR229" s="21"/>
      <c r="AS229" s="15">
        <f t="shared" si="19"/>
        <v>0</v>
      </c>
      <c r="AT229" s="24"/>
      <c r="AU229" s="21"/>
      <c r="AX229" s="14" t="str">
        <f t="shared" si="22"/>
        <v>null</v>
      </c>
      <c r="AY229" s="14" t="str">
        <f t="shared" si="23"/>
        <v>null</v>
      </c>
      <c r="AZ229" s="14" t="str">
        <f t="shared" si="24"/>
        <v>null</v>
      </c>
      <c r="BA229" s="27"/>
    </row>
    <row r="230">
      <c r="A230" s="2" t="s">
        <v>176</v>
      </c>
      <c r="B230" s="2">
        <v>2015.0</v>
      </c>
      <c r="C230" s="2">
        <v>6532.681152</v>
      </c>
      <c r="D230" s="2">
        <v>88.10600281</v>
      </c>
      <c r="E230" s="2">
        <v>91.22432251</v>
      </c>
      <c r="F230" s="2">
        <v>7.29006465</v>
      </c>
      <c r="G230" s="2">
        <v>1.34019284</v>
      </c>
      <c r="H230" s="2">
        <v>0.14542</v>
      </c>
      <c r="I230" s="2" t="s">
        <v>64</v>
      </c>
      <c r="J230" s="2" t="s">
        <v>64</v>
      </c>
      <c r="K230" s="2" t="s">
        <v>64</v>
      </c>
      <c r="L230" s="2" t="s">
        <v>64</v>
      </c>
      <c r="M230" s="2" t="s">
        <v>64</v>
      </c>
      <c r="N230" s="2" t="s">
        <v>64</v>
      </c>
      <c r="O230" s="2" t="s">
        <v>64</v>
      </c>
      <c r="P230" s="2" t="s">
        <v>64</v>
      </c>
      <c r="Q230" s="13" t="str">
        <f t="shared" si="1"/>
        <v>Lebanon|2015</v>
      </c>
      <c r="R230" s="14">
        <f t="shared" si="2"/>
        <v>5</v>
      </c>
      <c r="T230" s="14">
        <f t="shared" si="3"/>
        <v>0.275135498</v>
      </c>
      <c r="U230" s="14" t="str">
        <f t="shared" si="29"/>
        <v>null</v>
      </c>
      <c r="V230" s="14" t="str">
        <f t="shared" si="4"/>
        <v>null</v>
      </c>
      <c r="W230" s="14">
        <f t="shared" si="5"/>
        <v>91</v>
      </c>
      <c r="X230" s="14" t="b">
        <f t="shared" si="6"/>
        <v>0</v>
      </c>
      <c r="Y230" s="14" t="b">
        <f t="shared" si="7"/>
        <v>0</v>
      </c>
      <c r="Z230" s="14" t="str">
        <f t="shared" si="8"/>
        <v/>
      </c>
      <c r="AA230" s="14" t="str">
        <f t="shared" si="9"/>
        <v>Fully Accessible</v>
      </c>
      <c r="AB230" s="14" t="str">
        <f t="shared" si="10"/>
        <v>Fully Accessible</v>
      </c>
      <c r="AC230" s="14" t="b">
        <f t="shared" si="11"/>
        <v>0</v>
      </c>
      <c r="AE230" s="15" t="s">
        <v>290</v>
      </c>
      <c r="AF230" s="16" t="s">
        <v>53</v>
      </c>
      <c r="AH230" s="17" t="str">
        <f t="shared" si="12"/>
        <v>Europe &amp; Central Asia</v>
      </c>
      <c r="AI230" s="21"/>
      <c r="AJ230" s="21"/>
      <c r="AK230" s="15">
        <f t="shared" si="13"/>
        <v>0.300108102</v>
      </c>
      <c r="AL230" s="24"/>
      <c r="AM230" s="21"/>
      <c r="AN230" s="21"/>
      <c r="AO230" s="15">
        <f t="shared" si="16"/>
        <v>0.666882814</v>
      </c>
      <c r="AP230" s="24"/>
      <c r="AQ230" s="21"/>
      <c r="AR230" s="21"/>
      <c r="AS230" s="15">
        <f t="shared" si="19"/>
        <v>0.184140962</v>
      </c>
      <c r="AT230" s="24"/>
      <c r="AU230" s="21"/>
      <c r="AX230" s="14">
        <f t="shared" si="22"/>
        <v>13358.12305</v>
      </c>
      <c r="AY230" s="14">
        <f t="shared" si="23"/>
        <v>177.0309982</v>
      </c>
      <c r="AZ230" s="14">
        <f t="shared" si="24"/>
        <v>13181.09205</v>
      </c>
      <c r="BA230" s="17"/>
    </row>
    <row r="231">
      <c r="A231" s="2" t="s">
        <v>176</v>
      </c>
      <c r="B231" s="2">
        <v>2020.0</v>
      </c>
      <c r="C231" s="2">
        <v>6825.441895</v>
      </c>
      <c r="D231" s="2">
        <v>88.92499542</v>
      </c>
      <c r="E231" s="2">
        <v>92.6</v>
      </c>
      <c r="F231" s="2">
        <v>7.4</v>
      </c>
      <c r="G231" s="2">
        <v>0.0</v>
      </c>
      <c r="H231" s="2">
        <v>0.0</v>
      </c>
      <c r="I231" s="2" t="s">
        <v>64</v>
      </c>
      <c r="J231" s="2" t="s">
        <v>64</v>
      </c>
      <c r="K231" s="2" t="s">
        <v>64</v>
      </c>
      <c r="L231" s="2" t="s">
        <v>64</v>
      </c>
      <c r="M231" s="2" t="s">
        <v>64</v>
      </c>
      <c r="N231" s="2" t="s">
        <v>64</v>
      </c>
      <c r="O231" s="2" t="s">
        <v>64</v>
      </c>
      <c r="P231" s="2" t="s">
        <v>64</v>
      </c>
      <c r="Q231" s="13" t="str">
        <f t="shared" si="1"/>
        <v>Lebanon|2020</v>
      </c>
      <c r="R231" s="14" t="str">
        <f t="shared" si="2"/>
        <v> </v>
      </c>
      <c r="T231" s="14" t="b">
        <f t="shared" si="3"/>
        <v>0</v>
      </c>
      <c r="U231" s="14" t="b">
        <f t="shared" si="29"/>
        <v>0</v>
      </c>
      <c r="V231" s="14" t="b">
        <f t="shared" si="4"/>
        <v>0</v>
      </c>
      <c r="W231" s="14">
        <f t="shared" si="5"/>
        <v>93</v>
      </c>
      <c r="X231" s="14" t="b">
        <f t="shared" si="6"/>
        <v>0</v>
      </c>
      <c r="Y231" s="14" t="b">
        <f t="shared" si="7"/>
        <v>0</v>
      </c>
      <c r="Z231" s="14" t="str">
        <f t="shared" si="8"/>
        <v/>
      </c>
      <c r="AA231" s="14" t="str">
        <f t="shared" si="9"/>
        <v/>
      </c>
      <c r="AB231" s="14" t="str">
        <f t="shared" si="10"/>
        <v/>
      </c>
      <c r="AC231" s="14">
        <f t="shared" si="11"/>
        <v>0</v>
      </c>
      <c r="AE231" s="15" t="s">
        <v>291</v>
      </c>
      <c r="AF231" s="16" t="s">
        <v>53</v>
      </c>
      <c r="AH231" s="17" t="str">
        <f t="shared" si="12"/>
        <v>Europe &amp; Central Asia</v>
      </c>
      <c r="AI231" s="21"/>
      <c r="AJ231" s="21"/>
      <c r="AK231" s="15">
        <f t="shared" si="13"/>
        <v>0.976940242</v>
      </c>
      <c r="AL231" s="24"/>
      <c r="AM231" s="21"/>
      <c r="AN231" s="21"/>
      <c r="AO231" s="15">
        <f t="shared" si="16"/>
        <v>1.144613242</v>
      </c>
      <c r="AP231" s="24"/>
      <c r="AQ231" s="21"/>
      <c r="AR231" s="21"/>
      <c r="AS231" s="15">
        <f t="shared" si="19"/>
        <v>0.188323488</v>
      </c>
      <c r="AT231" s="24"/>
      <c r="AU231" s="21"/>
      <c r="AX231" s="14" t="str">
        <f t="shared" si="22"/>
        <v>null</v>
      </c>
      <c r="AY231" s="14" t="str">
        <f t="shared" si="23"/>
        <v>null</v>
      </c>
      <c r="AZ231" s="14" t="str">
        <f t="shared" si="24"/>
        <v>null</v>
      </c>
      <c r="BA231" s="17"/>
    </row>
    <row r="232">
      <c r="A232" s="2" t="s">
        <v>177</v>
      </c>
      <c r="B232" s="2">
        <v>2015.0</v>
      </c>
      <c r="C232" s="2">
        <v>2059.010986</v>
      </c>
      <c r="D232" s="2">
        <v>26.90800095</v>
      </c>
      <c r="E232" s="2">
        <v>70.5456894</v>
      </c>
      <c r="F232" s="2">
        <v>10.86331049</v>
      </c>
      <c r="G232" s="2">
        <v>14.5343829</v>
      </c>
      <c r="H232" s="2">
        <v>4.056617208</v>
      </c>
      <c r="I232" s="2">
        <v>63.42088315</v>
      </c>
      <c r="J232" s="2">
        <v>13.04933941</v>
      </c>
      <c r="K232" s="2">
        <v>18.16490493</v>
      </c>
      <c r="L232" s="2">
        <v>5.364872511</v>
      </c>
      <c r="M232" s="2">
        <v>89.89927614</v>
      </c>
      <c r="N232" s="2">
        <v>4.925254235</v>
      </c>
      <c r="O232" s="2">
        <v>4.672553616</v>
      </c>
      <c r="P232" s="2">
        <v>0.502916007</v>
      </c>
      <c r="Q232" s="13" t="str">
        <f t="shared" si="1"/>
        <v>Lesotho|2015</v>
      </c>
      <c r="R232" s="14">
        <f t="shared" si="2"/>
        <v>5</v>
      </c>
      <c r="T232" s="14">
        <f t="shared" si="3"/>
        <v>0.326069974</v>
      </c>
      <c r="U232" s="14">
        <f t="shared" si="29"/>
        <v>0.045894334</v>
      </c>
      <c r="V232" s="14">
        <f t="shared" si="4"/>
        <v>0.624326482</v>
      </c>
      <c r="W232" s="14">
        <f t="shared" si="5"/>
        <v>71</v>
      </c>
      <c r="X232" s="14">
        <f t="shared" si="6"/>
        <v>63</v>
      </c>
      <c r="Y232" s="14">
        <f t="shared" si="7"/>
        <v>90</v>
      </c>
      <c r="Z232" s="14" t="str">
        <f t="shared" si="8"/>
        <v/>
      </c>
      <c r="AA232" s="14" t="str">
        <f t="shared" si="9"/>
        <v/>
      </c>
      <c r="AB232" s="14" t="str">
        <f t="shared" si="10"/>
        <v>Fully Accessible</v>
      </c>
      <c r="AC232" s="14">
        <f t="shared" si="11"/>
        <v>-0.578432148</v>
      </c>
      <c r="AE232" s="15" t="s">
        <v>292</v>
      </c>
      <c r="AF232" s="16" t="s">
        <v>63</v>
      </c>
      <c r="AH232" s="17" t="str">
        <f t="shared" si="12"/>
        <v>Sub-Saharan Africa</v>
      </c>
      <c r="AI232" s="21"/>
      <c r="AJ232" s="21"/>
      <c r="AK232" s="15">
        <f t="shared" si="13"/>
        <v>0.814727458</v>
      </c>
      <c r="AL232" s="24"/>
      <c r="AM232" s="21"/>
      <c r="AN232" s="21"/>
      <c r="AO232" s="15">
        <f t="shared" si="16"/>
        <v>0.922090802</v>
      </c>
      <c r="AP232" s="24"/>
      <c r="AQ232" s="21"/>
      <c r="AR232" s="21"/>
      <c r="AS232" s="15">
        <f t="shared" si="19"/>
        <v>0.165671474</v>
      </c>
      <c r="AT232" s="24"/>
      <c r="AU232" s="21"/>
      <c r="AX232" s="14">
        <f t="shared" si="22"/>
        <v>4201.262939</v>
      </c>
      <c r="AY232" s="14">
        <f t="shared" si="23"/>
        <v>55.93600083</v>
      </c>
      <c r="AZ232" s="14">
        <f t="shared" si="24"/>
        <v>4145.326938</v>
      </c>
      <c r="BA232" s="17"/>
    </row>
    <row r="233">
      <c r="A233" s="2" t="s">
        <v>177</v>
      </c>
      <c r="B233" s="2">
        <v>2020.0</v>
      </c>
      <c r="C233" s="2">
        <v>2142.251953</v>
      </c>
      <c r="D233" s="2">
        <v>29.02799988</v>
      </c>
      <c r="E233" s="2">
        <v>72.17603927</v>
      </c>
      <c r="F233" s="2">
        <v>10.40592597</v>
      </c>
      <c r="G233" s="2">
        <v>12.21725464</v>
      </c>
      <c r="H233" s="2">
        <v>5.200780116</v>
      </c>
      <c r="I233" s="2">
        <v>63.65035482</v>
      </c>
      <c r="J233" s="2">
        <v>13.55843013</v>
      </c>
      <c r="K233" s="2">
        <v>15.73132479</v>
      </c>
      <c r="L233" s="2">
        <v>7.059890254</v>
      </c>
      <c r="M233" s="2">
        <v>93.02090855</v>
      </c>
      <c r="N233" s="2">
        <v>2.698211997</v>
      </c>
      <c r="O233" s="2">
        <v>3.625530038</v>
      </c>
      <c r="P233" s="2">
        <v>0.65534942</v>
      </c>
      <c r="Q233" s="13" t="str">
        <f t="shared" si="1"/>
        <v>Lesotho|2020</v>
      </c>
      <c r="R233" s="14" t="str">
        <f t="shared" si="2"/>
        <v> </v>
      </c>
      <c r="T233" s="14" t="b">
        <f t="shared" si="3"/>
        <v>0</v>
      </c>
      <c r="U233" s="14" t="b">
        <f t="shared" si="29"/>
        <v>0</v>
      </c>
      <c r="V233" s="14" t="b">
        <f t="shared" si="4"/>
        <v>0</v>
      </c>
      <c r="W233" s="14">
        <f t="shared" si="5"/>
        <v>72</v>
      </c>
      <c r="X233" s="14">
        <f t="shared" si="6"/>
        <v>64</v>
      </c>
      <c r="Y233" s="14">
        <f t="shared" si="7"/>
        <v>93</v>
      </c>
      <c r="Z233" s="14" t="str">
        <f t="shared" si="8"/>
        <v/>
      </c>
      <c r="AA233" s="14" t="str">
        <f t="shared" si="9"/>
        <v/>
      </c>
      <c r="AB233" s="14" t="str">
        <f t="shared" si="10"/>
        <v/>
      </c>
      <c r="AC233" s="14">
        <f t="shared" si="11"/>
        <v>0</v>
      </c>
      <c r="AE233" s="15" t="s">
        <v>293</v>
      </c>
      <c r="AF233" s="16" t="s">
        <v>63</v>
      </c>
      <c r="AH233" s="17" t="str">
        <f t="shared" si="12"/>
        <v>Sub-Saharan Africa</v>
      </c>
      <c r="AI233" s="21"/>
      <c r="AJ233" s="21"/>
      <c r="AK233" s="15">
        <f t="shared" si="13"/>
        <v>-0.4576943</v>
      </c>
      <c r="AL233" s="24"/>
      <c r="AM233" s="21"/>
      <c r="AN233" s="21"/>
      <c r="AO233" s="15">
        <f t="shared" si="16"/>
        <v>-0.593526372</v>
      </c>
      <c r="AP233" s="24"/>
      <c r="AQ233" s="21"/>
      <c r="AR233" s="21"/>
      <c r="AS233" s="15">
        <f t="shared" si="19"/>
        <v>-0.134701358</v>
      </c>
      <c r="AT233" s="24"/>
      <c r="AU233" s="21"/>
      <c r="AX233" s="14" t="str">
        <f t="shared" si="22"/>
        <v>null</v>
      </c>
      <c r="AY233" s="14" t="str">
        <f t="shared" si="23"/>
        <v>null</v>
      </c>
      <c r="AZ233" s="14" t="str">
        <f t="shared" si="24"/>
        <v>null</v>
      </c>
      <c r="BA233" s="8"/>
    </row>
    <row r="234">
      <c r="A234" s="2" t="s">
        <v>178</v>
      </c>
      <c r="B234" s="2">
        <v>2015.0</v>
      </c>
      <c r="C234" s="2">
        <v>4472.229004</v>
      </c>
      <c r="D234" s="2">
        <v>49.81999969</v>
      </c>
      <c r="E234" s="2">
        <v>72.56979194</v>
      </c>
      <c r="F234" s="2">
        <v>7.364422679</v>
      </c>
      <c r="G234" s="2">
        <v>6.537233844</v>
      </c>
      <c r="H234" s="2">
        <v>13.52855154</v>
      </c>
      <c r="I234" s="2">
        <v>61.26318196</v>
      </c>
      <c r="J234" s="2">
        <v>5.126042294</v>
      </c>
      <c r="K234" s="2">
        <v>7.524148785</v>
      </c>
      <c r="L234" s="2">
        <v>26.08662696</v>
      </c>
      <c r="M234" s="2">
        <v>83.95810401</v>
      </c>
      <c r="N234" s="2">
        <v>9.618977705</v>
      </c>
      <c r="O234" s="2">
        <v>5.54318741</v>
      </c>
      <c r="P234" s="2">
        <v>0.8797308764</v>
      </c>
      <c r="Q234" s="13" t="str">
        <f t="shared" si="1"/>
        <v>Liberia|2015</v>
      </c>
      <c r="R234" s="14">
        <f t="shared" si="2"/>
        <v>5</v>
      </c>
      <c r="T234" s="14">
        <f t="shared" si="3"/>
        <v>0.53839993</v>
      </c>
      <c r="U234" s="14">
        <f t="shared" si="29"/>
        <v>0.567406986</v>
      </c>
      <c r="V234" s="14">
        <f t="shared" si="4"/>
        <v>0.314001124</v>
      </c>
      <c r="W234" s="14">
        <f t="shared" si="5"/>
        <v>73</v>
      </c>
      <c r="X234" s="14">
        <f t="shared" si="6"/>
        <v>61</v>
      </c>
      <c r="Y234" s="14">
        <f t="shared" si="7"/>
        <v>84</v>
      </c>
      <c r="Z234" s="14" t="str">
        <f t="shared" si="8"/>
        <v/>
      </c>
      <c r="AA234" s="14" t="str">
        <f t="shared" si="9"/>
        <v/>
      </c>
      <c r="AB234" s="14" t="str">
        <f t="shared" si="10"/>
        <v>Fully Accessible</v>
      </c>
      <c r="AC234" s="14">
        <f t="shared" si="11"/>
        <v>0.253405862</v>
      </c>
      <c r="AK234" s="21"/>
      <c r="AO234" s="21"/>
      <c r="AP234" s="24"/>
      <c r="AQ234" s="21"/>
      <c r="AS234" s="21"/>
      <c r="AT234" s="24"/>
      <c r="AU234" s="21"/>
      <c r="AX234" s="14">
        <f t="shared" si="22"/>
        <v>9529.905762</v>
      </c>
      <c r="AY234" s="14">
        <f t="shared" si="23"/>
        <v>101.9089966</v>
      </c>
      <c r="AZ234" s="14">
        <f t="shared" si="24"/>
        <v>9427.996765</v>
      </c>
      <c r="BA234" s="27"/>
    </row>
    <row r="235">
      <c r="A235" s="2" t="s">
        <v>178</v>
      </c>
      <c r="B235" s="2">
        <v>2020.0</v>
      </c>
      <c r="C235" s="2">
        <v>5057.676758</v>
      </c>
      <c r="D235" s="2">
        <v>52.08899689</v>
      </c>
      <c r="E235" s="2">
        <v>75.26179159</v>
      </c>
      <c r="F235" s="2">
        <v>8.700657475</v>
      </c>
      <c r="G235" s="2">
        <v>3.488080869</v>
      </c>
      <c r="H235" s="2">
        <v>12.54947006</v>
      </c>
      <c r="I235" s="2">
        <v>64.10021689</v>
      </c>
      <c r="J235" s="2">
        <v>6.537775797</v>
      </c>
      <c r="K235" s="2">
        <v>3.383709875</v>
      </c>
      <c r="L235" s="2">
        <v>25.97829744</v>
      </c>
      <c r="M235" s="2">
        <v>85.52810963</v>
      </c>
      <c r="N235" s="2">
        <v>10.69005698</v>
      </c>
      <c r="O235" s="2">
        <v>3.58408039</v>
      </c>
      <c r="P235" s="2">
        <v>0.1977530006</v>
      </c>
      <c r="Q235" s="13" t="str">
        <f t="shared" si="1"/>
        <v>Liberia|2020</v>
      </c>
      <c r="R235" s="14" t="str">
        <f t="shared" si="2"/>
        <v> </v>
      </c>
      <c r="T235" s="14" t="b">
        <f t="shared" si="3"/>
        <v>0</v>
      </c>
      <c r="U235" s="14" t="b">
        <f t="shared" si="29"/>
        <v>0</v>
      </c>
      <c r="V235" s="14" t="b">
        <f t="shared" si="4"/>
        <v>0</v>
      </c>
      <c r="W235" s="14">
        <f t="shared" si="5"/>
        <v>75</v>
      </c>
      <c r="X235" s="14">
        <f t="shared" si="6"/>
        <v>64</v>
      </c>
      <c r="Y235" s="14">
        <f t="shared" si="7"/>
        <v>86</v>
      </c>
      <c r="Z235" s="14" t="str">
        <f t="shared" si="8"/>
        <v/>
      </c>
      <c r="AA235" s="14" t="str">
        <f t="shared" si="9"/>
        <v/>
      </c>
      <c r="AB235" s="14" t="str">
        <f t="shared" si="10"/>
        <v/>
      </c>
      <c r="AC235" s="14">
        <f t="shared" si="11"/>
        <v>0</v>
      </c>
      <c r="AK235" s="21"/>
      <c r="AO235" s="21"/>
      <c r="AP235" s="24"/>
      <c r="AQ235" s="21"/>
      <c r="AS235" s="21"/>
      <c r="AT235" s="24"/>
      <c r="AU235" s="21"/>
      <c r="AX235" s="14" t="str">
        <f t="shared" si="22"/>
        <v>null</v>
      </c>
      <c r="AY235" s="14" t="str">
        <f t="shared" si="23"/>
        <v>null</v>
      </c>
      <c r="AZ235" s="14" t="str">
        <f t="shared" si="24"/>
        <v>null</v>
      </c>
      <c r="BA235" s="17"/>
    </row>
    <row r="236">
      <c r="A236" s="2" t="s">
        <v>179</v>
      </c>
      <c r="B236" s="2">
        <v>2015.0</v>
      </c>
      <c r="C236" s="2">
        <v>6418.314941</v>
      </c>
      <c r="D236" s="2">
        <v>79.27000427</v>
      </c>
      <c r="E236" s="2">
        <v>97.28161516</v>
      </c>
      <c r="F236" s="2">
        <v>0.0</v>
      </c>
      <c r="G236" s="2">
        <v>2.718384841</v>
      </c>
      <c r="H236" s="2">
        <v>0.0</v>
      </c>
      <c r="I236" s="2" t="s">
        <v>64</v>
      </c>
      <c r="J236" s="2" t="s">
        <v>64</v>
      </c>
      <c r="K236" s="2" t="s">
        <v>64</v>
      </c>
      <c r="L236" s="2" t="s">
        <v>64</v>
      </c>
      <c r="M236" s="2" t="s">
        <v>64</v>
      </c>
      <c r="N236" s="2" t="s">
        <v>64</v>
      </c>
      <c r="O236" s="2" t="s">
        <v>64</v>
      </c>
      <c r="P236" s="2" t="s">
        <v>64</v>
      </c>
      <c r="Q236" s="13" t="str">
        <f t="shared" si="1"/>
        <v>Libya|2015</v>
      </c>
      <c r="R236" s="14">
        <f t="shared" si="2"/>
        <v>5</v>
      </c>
      <c r="T236" s="14">
        <f t="shared" si="3"/>
        <v>0.521981728</v>
      </c>
      <c r="U236" s="14" t="str">
        <f t="shared" si="29"/>
        <v>null</v>
      </c>
      <c r="V236" s="14" t="str">
        <f t="shared" si="4"/>
        <v>null</v>
      </c>
      <c r="W236" s="14">
        <f t="shared" si="5"/>
        <v>97</v>
      </c>
      <c r="X236" s="14" t="b">
        <f t="shared" si="6"/>
        <v>0</v>
      </c>
      <c r="Y236" s="14" t="b">
        <f t="shared" si="7"/>
        <v>0</v>
      </c>
      <c r="Z236" s="14" t="str">
        <f t="shared" si="8"/>
        <v/>
      </c>
      <c r="AA236" s="14" t="str">
        <f t="shared" si="9"/>
        <v>Fully Accessible</v>
      </c>
      <c r="AB236" s="14" t="str">
        <f t="shared" si="10"/>
        <v>Fully Accessible</v>
      </c>
      <c r="AC236" s="14" t="b">
        <f t="shared" si="11"/>
        <v>0</v>
      </c>
      <c r="AK236" s="21"/>
      <c r="AO236" s="21"/>
      <c r="AP236" s="24"/>
      <c r="AQ236" s="21"/>
      <c r="AS236" s="21"/>
      <c r="AT236" s="24"/>
      <c r="AU236" s="21"/>
      <c r="AX236" s="14">
        <f t="shared" si="22"/>
        <v>13289.60205</v>
      </c>
      <c r="AY236" s="14">
        <f t="shared" si="23"/>
        <v>159.9610062</v>
      </c>
      <c r="AZ236" s="14">
        <f t="shared" si="24"/>
        <v>13129.64104</v>
      </c>
      <c r="BA236" s="27"/>
    </row>
    <row r="237">
      <c r="A237" s="2" t="s">
        <v>179</v>
      </c>
      <c r="B237" s="2">
        <v>2020.0</v>
      </c>
      <c r="C237" s="2">
        <v>6871.287109</v>
      </c>
      <c r="D237" s="2">
        <v>80.69100189</v>
      </c>
      <c r="E237" s="2">
        <v>99.8915238</v>
      </c>
      <c r="F237" s="2">
        <v>0.0</v>
      </c>
      <c r="G237" s="2">
        <v>0.1084762012</v>
      </c>
      <c r="H237" s="2">
        <v>0.0</v>
      </c>
      <c r="I237" s="2" t="s">
        <v>64</v>
      </c>
      <c r="J237" s="2" t="s">
        <v>64</v>
      </c>
      <c r="K237" s="2" t="s">
        <v>64</v>
      </c>
      <c r="L237" s="2" t="s">
        <v>64</v>
      </c>
      <c r="M237" s="2" t="s">
        <v>64</v>
      </c>
      <c r="N237" s="2" t="s">
        <v>64</v>
      </c>
      <c r="O237" s="2" t="s">
        <v>64</v>
      </c>
      <c r="P237" s="2" t="s">
        <v>64</v>
      </c>
      <c r="Q237" s="13" t="str">
        <f t="shared" si="1"/>
        <v>Libya|2020</v>
      </c>
      <c r="R237" s="14" t="str">
        <f t="shared" si="2"/>
        <v> </v>
      </c>
      <c r="T237" s="14" t="b">
        <f t="shared" si="3"/>
        <v>0</v>
      </c>
      <c r="U237" s="14" t="b">
        <f t="shared" si="29"/>
        <v>0</v>
      </c>
      <c r="V237" s="14" t="b">
        <f t="shared" si="4"/>
        <v>0</v>
      </c>
      <c r="W237" s="14">
        <f t="shared" si="5"/>
        <v>100</v>
      </c>
      <c r="X237" s="14" t="b">
        <f t="shared" si="6"/>
        <v>0</v>
      </c>
      <c r="Y237" s="14" t="b">
        <f t="shared" si="7"/>
        <v>0</v>
      </c>
      <c r="Z237" s="14" t="str">
        <f t="shared" si="8"/>
        <v/>
      </c>
      <c r="AA237" s="14" t="str">
        <f t="shared" si="9"/>
        <v/>
      </c>
      <c r="AB237" s="14" t="str">
        <f t="shared" si="10"/>
        <v/>
      </c>
      <c r="AC237" s="14">
        <f t="shared" si="11"/>
        <v>0</v>
      </c>
      <c r="AK237" s="21"/>
      <c r="AO237" s="21"/>
      <c r="AP237" s="24"/>
      <c r="AQ237" s="21"/>
      <c r="AS237" s="21"/>
      <c r="AT237" s="24"/>
      <c r="AU237" s="21"/>
      <c r="AX237" s="14" t="str">
        <f t="shared" si="22"/>
        <v>null</v>
      </c>
      <c r="AY237" s="14" t="str">
        <f t="shared" si="23"/>
        <v>null</v>
      </c>
      <c r="AZ237" s="14" t="str">
        <f t="shared" si="24"/>
        <v>null</v>
      </c>
      <c r="BA237" s="27"/>
    </row>
    <row r="238">
      <c r="A238" s="2" t="s">
        <v>180</v>
      </c>
      <c r="B238" s="2">
        <v>2015.0</v>
      </c>
      <c r="C238" s="2">
        <v>37.46500015</v>
      </c>
      <c r="D238" s="2">
        <v>14.30300045</v>
      </c>
      <c r="E238" s="2">
        <v>100.0</v>
      </c>
      <c r="F238" s="2">
        <v>0.0</v>
      </c>
      <c r="G238" s="2">
        <v>0.0</v>
      </c>
      <c r="H238" s="2">
        <v>0.0</v>
      </c>
      <c r="I238" s="2" t="s">
        <v>64</v>
      </c>
      <c r="J238" s="2" t="s">
        <v>64</v>
      </c>
      <c r="K238" s="2" t="s">
        <v>64</v>
      </c>
      <c r="L238" s="2" t="s">
        <v>64</v>
      </c>
      <c r="M238" s="2" t="s">
        <v>64</v>
      </c>
      <c r="N238" s="2" t="s">
        <v>64</v>
      </c>
      <c r="O238" s="2" t="s">
        <v>64</v>
      </c>
      <c r="P238" s="2" t="s">
        <v>64</v>
      </c>
      <c r="Q238" s="13" t="str">
        <f t="shared" si="1"/>
        <v>Liechtenstein|2015</v>
      </c>
      <c r="R238" s="14">
        <f t="shared" si="2"/>
        <v>5</v>
      </c>
      <c r="T238" s="14">
        <f t="shared" si="3"/>
        <v>0</v>
      </c>
      <c r="U238" s="14" t="str">
        <f t="shared" si="29"/>
        <v>null</v>
      </c>
      <c r="V238" s="14" t="str">
        <f t="shared" si="4"/>
        <v>null</v>
      </c>
      <c r="W238" s="14">
        <f t="shared" si="5"/>
        <v>100</v>
      </c>
      <c r="X238" s="14" t="b">
        <f t="shared" si="6"/>
        <v>0</v>
      </c>
      <c r="Y238" s="14" t="b">
        <f t="shared" si="7"/>
        <v>0</v>
      </c>
      <c r="Z238" s="14" t="str">
        <f t="shared" si="8"/>
        <v/>
      </c>
      <c r="AA238" s="14" t="str">
        <f t="shared" si="9"/>
        <v>Fully Accessible</v>
      </c>
      <c r="AB238" s="14" t="str">
        <f t="shared" si="10"/>
        <v>Fully Accessible</v>
      </c>
      <c r="AC238" s="14" t="b">
        <f t="shared" si="11"/>
        <v>0</v>
      </c>
      <c r="AO238" s="21"/>
      <c r="AP238" s="24"/>
      <c r="AQ238" s="21"/>
      <c r="AS238" s="21"/>
      <c r="AT238" s="24"/>
      <c r="AU238" s="21"/>
      <c r="AX238" s="14">
        <f t="shared" si="22"/>
        <v>75.60200119</v>
      </c>
      <c r="AY238" s="14">
        <f t="shared" si="23"/>
        <v>28.71900082</v>
      </c>
      <c r="AZ238" s="14">
        <f t="shared" si="24"/>
        <v>46.88300037</v>
      </c>
      <c r="BA238" s="17"/>
    </row>
    <row r="239">
      <c r="A239" s="2" t="s">
        <v>180</v>
      </c>
      <c r="B239" s="2">
        <v>2020.0</v>
      </c>
      <c r="C239" s="2">
        <v>38.13700104</v>
      </c>
      <c r="D239" s="2">
        <v>14.41600037</v>
      </c>
      <c r="E239" s="2">
        <v>100.0</v>
      </c>
      <c r="F239" s="2">
        <v>0.0</v>
      </c>
      <c r="G239" s="2">
        <v>0.0</v>
      </c>
      <c r="H239" s="2">
        <v>0.0</v>
      </c>
      <c r="I239" s="2" t="s">
        <v>64</v>
      </c>
      <c r="J239" s="2" t="s">
        <v>64</v>
      </c>
      <c r="K239" s="2" t="s">
        <v>64</v>
      </c>
      <c r="L239" s="2" t="s">
        <v>64</v>
      </c>
      <c r="M239" s="2" t="s">
        <v>64</v>
      </c>
      <c r="N239" s="2" t="s">
        <v>64</v>
      </c>
      <c r="O239" s="2" t="s">
        <v>64</v>
      </c>
      <c r="P239" s="2" t="s">
        <v>64</v>
      </c>
      <c r="Q239" s="13" t="str">
        <f t="shared" si="1"/>
        <v>Liechtenstein|2020</v>
      </c>
      <c r="R239" s="14" t="str">
        <f t="shared" si="2"/>
        <v> </v>
      </c>
      <c r="T239" s="14" t="b">
        <f t="shared" si="3"/>
        <v>0</v>
      </c>
      <c r="U239" s="14" t="b">
        <f t="shared" si="29"/>
        <v>0</v>
      </c>
      <c r="V239" s="14" t="b">
        <f t="shared" si="4"/>
        <v>0</v>
      </c>
      <c r="W239" s="14">
        <f t="shared" si="5"/>
        <v>100</v>
      </c>
      <c r="X239" s="14" t="b">
        <f t="shared" si="6"/>
        <v>0</v>
      </c>
      <c r="Y239" s="14" t="b">
        <f t="shared" si="7"/>
        <v>0</v>
      </c>
      <c r="Z239" s="14" t="str">
        <f t="shared" si="8"/>
        <v/>
      </c>
      <c r="AA239" s="14" t="str">
        <f t="shared" si="9"/>
        <v/>
      </c>
      <c r="AB239" s="14" t="str">
        <f t="shared" si="10"/>
        <v/>
      </c>
      <c r="AC239" s="14">
        <f t="shared" si="11"/>
        <v>0</v>
      </c>
      <c r="AO239" s="21"/>
      <c r="AP239" s="24"/>
      <c r="AQ239" s="21"/>
      <c r="AS239" s="21"/>
      <c r="AT239" s="24"/>
      <c r="AU239" s="21"/>
      <c r="AX239" s="14" t="str">
        <f t="shared" si="22"/>
        <v>null</v>
      </c>
      <c r="AY239" s="14" t="str">
        <f t="shared" si="23"/>
        <v>null</v>
      </c>
      <c r="AZ239" s="14" t="str">
        <f t="shared" si="24"/>
        <v>null</v>
      </c>
      <c r="BA239" s="17"/>
    </row>
    <row r="240">
      <c r="A240" s="2" t="s">
        <v>181</v>
      </c>
      <c r="B240" s="2">
        <v>2015.0</v>
      </c>
      <c r="C240" s="2">
        <v>2931.87207</v>
      </c>
      <c r="D240" s="2">
        <v>67.22999573</v>
      </c>
      <c r="E240" s="2">
        <v>96.60413858</v>
      </c>
      <c r="F240" s="2">
        <v>0.0</v>
      </c>
      <c r="G240" s="2">
        <v>3.395861422</v>
      </c>
      <c r="H240" s="2">
        <v>0.0</v>
      </c>
      <c r="I240" s="2">
        <v>90.71848441</v>
      </c>
      <c r="J240" s="2">
        <v>0.0</v>
      </c>
      <c r="K240" s="2">
        <v>9.281515589</v>
      </c>
      <c r="L240" s="2">
        <v>0.0</v>
      </c>
      <c r="M240" s="2">
        <v>99.47299035</v>
      </c>
      <c r="N240" s="2">
        <v>0.0</v>
      </c>
      <c r="O240" s="2">
        <v>0.5270096501</v>
      </c>
      <c r="P240" s="2">
        <v>0.0</v>
      </c>
      <c r="Q240" s="13" t="str">
        <f t="shared" si="1"/>
        <v>Lithuania|2015</v>
      </c>
      <c r="R240" s="14">
        <f t="shared" si="2"/>
        <v>5</v>
      </c>
      <c r="T240" s="14">
        <f t="shared" si="3"/>
        <v>0.281841732</v>
      </c>
      <c r="U240" s="14">
        <f t="shared" si="29"/>
        <v>0.612859164</v>
      </c>
      <c r="V240" s="14">
        <f t="shared" si="4"/>
        <v>0.10540193</v>
      </c>
      <c r="W240" s="14">
        <f t="shared" si="5"/>
        <v>97</v>
      </c>
      <c r="X240" s="14">
        <f t="shared" si="6"/>
        <v>91</v>
      </c>
      <c r="Y240" s="14">
        <f t="shared" si="7"/>
        <v>99</v>
      </c>
      <c r="Z240" s="14" t="str">
        <f t="shared" si="8"/>
        <v/>
      </c>
      <c r="AA240" s="14" t="str">
        <f t="shared" si="9"/>
        <v/>
      </c>
      <c r="AB240" s="14" t="str">
        <f t="shared" si="10"/>
        <v>Fully Accessible</v>
      </c>
      <c r="AC240" s="14">
        <f t="shared" si="11"/>
        <v>0.507457234</v>
      </c>
      <c r="AO240" s="21"/>
      <c r="AP240" s="24"/>
      <c r="AQ240" s="21"/>
      <c r="AS240" s="21"/>
      <c r="AT240" s="24"/>
      <c r="AU240" s="21"/>
      <c r="AX240" s="14">
        <f t="shared" si="22"/>
        <v>5654.163086</v>
      </c>
      <c r="AY240" s="14">
        <f t="shared" si="23"/>
        <v>135.2759934</v>
      </c>
      <c r="AZ240" s="14">
        <f t="shared" si="24"/>
        <v>5518.887093</v>
      </c>
      <c r="BA240" s="17"/>
    </row>
    <row r="241">
      <c r="A241" s="2" t="s">
        <v>181</v>
      </c>
      <c r="B241" s="2">
        <v>2020.0</v>
      </c>
      <c r="C241" s="2">
        <v>2722.291016</v>
      </c>
      <c r="D241" s="2">
        <v>68.04599762</v>
      </c>
      <c r="E241" s="2">
        <v>98.01334724</v>
      </c>
      <c r="F241" s="2">
        <v>0.0</v>
      </c>
      <c r="G241" s="2">
        <v>1.98665276</v>
      </c>
      <c r="H241" s="2">
        <v>0.0</v>
      </c>
      <c r="I241" s="2">
        <v>93.78278023</v>
      </c>
      <c r="J241" s="2">
        <v>0.0</v>
      </c>
      <c r="K241" s="2">
        <v>6.217219771</v>
      </c>
      <c r="L241" s="2">
        <v>0.0</v>
      </c>
      <c r="M241" s="2">
        <v>100.0</v>
      </c>
      <c r="N241" s="2">
        <v>0.0</v>
      </c>
      <c r="O241" s="2">
        <v>0.0</v>
      </c>
      <c r="P241" s="2">
        <v>0.0</v>
      </c>
      <c r="Q241" s="13" t="str">
        <f t="shared" si="1"/>
        <v>Lithuania|2020</v>
      </c>
      <c r="R241" s="14" t="str">
        <f t="shared" si="2"/>
        <v> </v>
      </c>
      <c r="T241" s="14" t="b">
        <f t="shared" si="3"/>
        <v>0</v>
      </c>
      <c r="U241" s="14" t="b">
        <f t="shared" si="29"/>
        <v>0</v>
      </c>
      <c r="V241" s="14" t="b">
        <f t="shared" si="4"/>
        <v>0</v>
      </c>
      <c r="W241" s="14">
        <f t="shared" si="5"/>
        <v>98</v>
      </c>
      <c r="X241" s="14">
        <f t="shared" si="6"/>
        <v>94</v>
      </c>
      <c r="Y241" s="14">
        <f t="shared" si="7"/>
        <v>100</v>
      </c>
      <c r="Z241" s="14" t="str">
        <f t="shared" si="8"/>
        <v/>
      </c>
      <c r="AA241" s="14" t="str">
        <f t="shared" si="9"/>
        <v/>
      </c>
      <c r="AB241" s="14" t="str">
        <f t="shared" si="10"/>
        <v/>
      </c>
      <c r="AC241" s="14">
        <f t="shared" si="11"/>
        <v>0</v>
      </c>
      <c r="AO241" s="21"/>
      <c r="AP241" s="24"/>
      <c r="AQ241" s="21"/>
      <c r="AS241" s="21"/>
      <c r="AT241" s="24"/>
      <c r="AU241" s="21"/>
      <c r="AX241" s="14" t="str">
        <f t="shared" si="22"/>
        <v>null</v>
      </c>
      <c r="AY241" s="14" t="str">
        <f t="shared" si="23"/>
        <v>null</v>
      </c>
      <c r="AZ241" s="14" t="str">
        <f t="shared" si="24"/>
        <v>null</v>
      </c>
      <c r="BA241" s="8"/>
    </row>
    <row r="242">
      <c r="A242" s="2" t="s">
        <v>182</v>
      </c>
      <c r="B242" s="2">
        <v>2015.0</v>
      </c>
      <c r="C242" s="2">
        <v>566.7410278</v>
      </c>
      <c r="D242" s="2">
        <v>90.17900085</v>
      </c>
      <c r="E242" s="2">
        <v>99.92517066</v>
      </c>
      <c r="F242" s="2">
        <v>0.0</v>
      </c>
      <c r="G242" s="2">
        <v>0.07482934002</v>
      </c>
      <c r="H242" s="2">
        <v>0.0</v>
      </c>
      <c r="I242" s="2">
        <v>99.23809524</v>
      </c>
      <c r="J242" s="2">
        <v>0.0</v>
      </c>
      <c r="K242" s="2">
        <v>0.7619047619</v>
      </c>
      <c r="L242" s="2">
        <v>0.0</v>
      </c>
      <c r="M242" s="2">
        <v>100.0</v>
      </c>
      <c r="N242" s="2">
        <v>0.0</v>
      </c>
      <c r="O242" s="2">
        <v>0.0</v>
      </c>
      <c r="P242" s="2">
        <v>0.0</v>
      </c>
      <c r="Q242" s="13" t="str">
        <f t="shared" si="1"/>
        <v>Luxembourg|2015</v>
      </c>
      <c r="R242" s="14">
        <f t="shared" si="2"/>
        <v>5</v>
      </c>
      <c r="T242" s="14">
        <f t="shared" si="3"/>
        <v>-0.009047624</v>
      </c>
      <c r="U242" s="14">
        <f t="shared" si="29"/>
        <v>-0.128571428</v>
      </c>
      <c r="V242" s="14">
        <f t="shared" si="4"/>
        <v>0</v>
      </c>
      <c r="W242" s="14">
        <f t="shared" si="5"/>
        <v>100</v>
      </c>
      <c r="X242" s="14">
        <f t="shared" si="6"/>
        <v>99</v>
      </c>
      <c r="Y242" s="14">
        <f t="shared" si="7"/>
        <v>100</v>
      </c>
      <c r="Z242" s="14" t="str">
        <f t="shared" si="8"/>
        <v/>
      </c>
      <c r="AA242" s="14" t="str">
        <f t="shared" si="9"/>
        <v/>
      </c>
      <c r="AB242" s="14" t="str">
        <f t="shared" si="10"/>
        <v>Fully Accessible</v>
      </c>
      <c r="AC242" s="14">
        <f t="shared" si="11"/>
        <v>-0.128571428</v>
      </c>
      <c r="AO242" s="21"/>
      <c r="AP242" s="24"/>
      <c r="AQ242" s="21"/>
      <c r="AS242" s="21"/>
      <c r="AT242" s="24"/>
      <c r="AU242" s="21"/>
      <c r="AX242" s="14">
        <f t="shared" si="22"/>
        <v>1192.717041</v>
      </c>
      <c r="AY242" s="14">
        <f t="shared" si="23"/>
        <v>181.6319962</v>
      </c>
      <c r="AZ242" s="14">
        <f t="shared" si="24"/>
        <v>1011.085045</v>
      </c>
      <c r="BA242" s="27"/>
    </row>
    <row r="243">
      <c r="A243" s="2" t="s">
        <v>182</v>
      </c>
      <c r="B243" s="2">
        <v>2020.0</v>
      </c>
      <c r="C243" s="2">
        <v>625.9760132</v>
      </c>
      <c r="D243" s="2">
        <v>91.4529953</v>
      </c>
      <c r="E243" s="2">
        <v>99.87993254</v>
      </c>
      <c r="F243" s="2">
        <v>0.0</v>
      </c>
      <c r="G243" s="2">
        <v>0.1200674649</v>
      </c>
      <c r="H243" s="2">
        <v>0.0</v>
      </c>
      <c r="I243" s="2">
        <v>98.5952381</v>
      </c>
      <c r="J243" s="2">
        <v>0.0</v>
      </c>
      <c r="K243" s="2">
        <v>1.404761905</v>
      </c>
      <c r="L243" s="2">
        <v>0.0</v>
      </c>
      <c r="M243" s="2">
        <v>100.0</v>
      </c>
      <c r="N243" s="2">
        <v>0.0</v>
      </c>
      <c r="O243" s="2">
        <v>0.0</v>
      </c>
      <c r="P243" s="2">
        <v>0.0</v>
      </c>
      <c r="Q243" s="13" t="str">
        <f t="shared" si="1"/>
        <v>Luxembourg|2020</v>
      </c>
      <c r="R243" s="14" t="str">
        <f t="shared" si="2"/>
        <v> </v>
      </c>
      <c r="T243" s="14" t="b">
        <f t="shared" si="3"/>
        <v>0</v>
      </c>
      <c r="U243" s="14" t="b">
        <f t="shared" si="29"/>
        <v>0</v>
      </c>
      <c r="V243" s="14" t="b">
        <f t="shared" si="4"/>
        <v>0</v>
      </c>
      <c r="W243" s="14">
        <f t="shared" si="5"/>
        <v>100</v>
      </c>
      <c r="X243" s="14">
        <f t="shared" si="6"/>
        <v>99</v>
      </c>
      <c r="Y243" s="14">
        <f t="shared" si="7"/>
        <v>100</v>
      </c>
      <c r="Z243" s="14" t="str">
        <f t="shared" si="8"/>
        <v/>
      </c>
      <c r="AA243" s="14" t="str">
        <f t="shared" si="9"/>
        <v/>
      </c>
      <c r="AB243" s="14" t="str">
        <f t="shared" si="10"/>
        <v/>
      </c>
      <c r="AC243" s="14">
        <f t="shared" si="11"/>
        <v>0</v>
      </c>
      <c r="AO243" s="21"/>
      <c r="AP243" s="24"/>
      <c r="AQ243" s="21"/>
      <c r="AS243" s="21"/>
      <c r="AT243" s="24"/>
      <c r="AU243" s="21"/>
      <c r="AX243" s="14" t="str">
        <f t="shared" si="22"/>
        <v>null</v>
      </c>
      <c r="AY243" s="14" t="str">
        <f t="shared" si="23"/>
        <v>null</v>
      </c>
      <c r="AZ243" s="14" t="str">
        <f t="shared" si="24"/>
        <v>null</v>
      </c>
      <c r="BA243" s="17"/>
    </row>
    <row r="244">
      <c r="A244" s="2" t="s">
        <v>183</v>
      </c>
      <c r="B244" s="2">
        <v>2015.0</v>
      </c>
      <c r="C244" s="2">
        <v>24234.08008</v>
      </c>
      <c r="D244" s="2">
        <v>35.19299698</v>
      </c>
      <c r="E244" s="2">
        <v>48.89177354</v>
      </c>
      <c r="F244" s="2">
        <v>2.67716038</v>
      </c>
      <c r="G244" s="2">
        <v>30.40673651</v>
      </c>
      <c r="H244" s="2">
        <v>18.02432957</v>
      </c>
      <c r="I244" s="2">
        <v>33.14457773</v>
      </c>
      <c r="J244" s="2">
        <v>1.743479446</v>
      </c>
      <c r="K244" s="2">
        <v>39.69799969</v>
      </c>
      <c r="L244" s="2">
        <v>25.41394313</v>
      </c>
      <c r="M244" s="2">
        <v>77.88983072</v>
      </c>
      <c r="N244" s="2">
        <v>4.396509873</v>
      </c>
      <c r="O244" s="2">
        <v>13.29711369</v>
      </c>
      <c r="P244" s="2">
        <v>4.416545719</v>
      </c>
      <c r="Q244" s="13" t="str">
        <f t="shared" si="1"/>
        <v>Madagascar|2015</v>
      </c>
      <c r="R244" s="14">
        <f t="shared" si="2"/>
        <v>5</v>
      </c>
      <c r="T244" s="14">
        <f t="shared" si="3"/>
        <v>0.898822274</v>
      </c>
      <c r="U244" s="14">
        <f t="shared" si="29"/>
        <v>0.65236851</v>
      </c>
      <c r="V244" s="14">
        <f t="shared" si="4"/>
        <v>0.516035244</v>
      </c>
      <c r="W244" s="14">
        <f t="shared" si="5"/>
        <v>49</v>
      </c>
      <c r="X244" s="14">
        <f t="shared" si="6"/>
        <v>33</v>
      </c>
      <c r="Y244" s="14">
        <f t="shared" si="7"/>
        <v>78</v>
      </c>
      <c r="Z244" s="14" t="str">
        <f t="shared" si="8"/>
        <v/>
      </c>
      <c r="AA244" s="14" t="str">
        <f t="shared" si="9"/>
        <v/>
      </c>
      <c r="AB244" s="14" t="str">
        <f t="shared" si="10"/>
        <v>Fully Accessible</v>
      </c>
      <c r="AC244" s="14">
        <f t="shared" si="11"/>
        <v>0.136333266</v>
      </c>
      <c r="AO244" s="21"/>
      <c r="AP244" s="24"/>
      <c r="AQ244" s="21"/>
      <c r="AS244" s="21"/>
      <c r="AT244" s="24"/>
      <c r="AU244" s="21"/>
      <c r="AX244" s="14">
        <f t="shared" si="22"/>
        <v>51925.09961</v>
      </c>
      <c r="AY244" s="14">
        <f t="shared" si="23"/>
        <v>73.72699738</v>
      </c>
      <c r="AZ244" s="14">
        <f t="shared" si="24"/>
        <v>51851.37261</v>
      </c>
      <c r="BA244" s="27"/>
    </row>
    <row r="245">
      <c r="A245" s="2" t="s">
        <v>183</v>
      </c>
      <c r="B245" s="2">
        <v>2020.0</v>
      </c>
      <c r="C245" s="2">
        <v>27691.01953</v>
      </c>
      <c r="D245" s="2">
        <v>38.5340004</v>
      </c>
      <c r="E245" s="2">
        <v>53.38588491</v>
      </c>
      <c r="F245" s="2">
        <v>2.71797298</v>
      </c>
      <c r="G245" s="2">
        <v>32.31145967</v>
      </c>
      <c r="H245" s="2">
        <v>11.58468244</v>
      </c>
      <c r="I245" s="2">
        <v>36.40642028</v>
      </c>
      <c r="J245" s="2">
        <v>1.601776163</v>
      </c>
      <c r="K245" s="2">
        <v>43.95389345</v>
      </c>
      <c r="L245" s="2">
        <v>18.03791011</v>
      </c>
      <c r="M245" s="2">
        <v>80.47000694</v>
      </c>
      <c r="N245" s="2">
        <v>4.498430298</v>
      </c>
      <c r="O245" s="2">
        <v>13.74049434</v>
      </c>
      <c r="P245" s="2">
        <v>1.291068417</v>
      </c>
      <c r="Q245" s="13" t="str">
        <f t="shared" si="1"/>
        <v>Madagascar|2020</v>
      </c>
      <c r="R245" s="14" t="str">
        <f t="shared" si="2"/>
        <v> </v>
      </c>
      <c r="T245" s="14" t="b">
        <f t="shared" si="3"/>
        <v>0</v>
      </c>
      <c r="U245" s="14" t="b">
        <f t="shared" si="29"/>
        <v>0</v>
      </c>
      <c r="V245" s="14" t="b">
        <f t="shared" si="4"/>
        <v>0</v>
      </c>
      <c r="W245" s="14">
        <f t="shared" si="5"/>
        <v>53</v>
      </c>
      <c r="X245" s="14">
        <f t="shared" si="6"/>
        <v>36</v>
      </c>
      <c r="Y245" s="14">
        <f t="shared" si="7"/>
        <v>80</v>
      </c>
      <c r="Z245" s="14" t="str">
        <f t="shared" si="8"/>
        <v/>
      </c>
      <c r="AA245" s="14" t="str">
        <f t="shared" si="9"/>
        <v/>
      </c>
      <c r="AB245" s="14" t="str">
        <f t="shared" si="10"/>
        <v/>
      </c>
      <c r="AC245" s="14">
        <f t="shared" si="11"/>
        <v>0</v>
      </c>
      <c r="AO245" s="21"/>
      <c r="AP245" s="24"/>
      <c r="AQ245" s="21"/>
      <c r="AS245" s="21"/>
      <c r="AT245" s="24"/>
      <c r="AU245" s="21"/>
      <c r="AX245" s="14" t="str">
        <f t="shared" si="22"/>
        <v>null</v>
      </c>
      <c r="AY245" s="14" t="str">
        <f t="shared" si="23"/>
        <v>null</v>
      </c>
      <c r="AZ245" s="14" t="str">
        <f t="shared" si="24"/>
        <v>null</v>
      </c>
      <c r="BA245" s="27"/>
    </row>
    <row r="246">
      <c r="A246" s="2" t="s">
        <v>184</v>
      </c>
      <c r="B246" s="2">
        <v>2015.0</v>
      </c>
      <c r="C246" s="2">
        <v>16745.30469</v>
      </c>
      <c r="D246" s="2">
        <v>16.31299973</v>
      </c>
      <c r="E246" s="2">
        <v>66.15495914</v>
      </c>
      <c r="F246" s="2">
        <v>19.71603831</v>
      </c>
      <c r="G246" s="2">
        <v>10.55451427</v>
      </c>
      <c r="H246" s="2">
        <v>3.574488277</v>
      </c>
      <c r="I246" s="2">
        <v>62.24060864</v>
      </c>
      <c r="J246" s="2">
        <v>21.69810966</v>
      </c>
      <c r="K246" s="2">
        <v>11.87522028</v>
      </c>
      <c r="L246" s="2">
        <v>4.186061413</v>
      </c>
      <c r="M246" s="2">
        <v>86.23587985</v>
      </c>
      <c r="N246" s="2">
        <v>9.547849488</v>
      </c>
      <c r="O246" s="2">
        <v>3.779202335</v>
      </c>
      <c r="P246" s="2">
        <v>0.4370683245</v>
      </c>
      <c r="Q246" s="13" t="str">
        <f t="shared" si="1"/>
        <v>Malawi|2015</v>
      </c>
      <c r="R246" s="14">
        <f t="shared" si="2"/>
        <v>5</v>
      </c>
      <c r="T246" s="14">
        <f t="shared" si="3"/>
        <v>0.778553874</v>
      </c>
      <c r="U246" s="14">
        <f t="shared" si="29"/>
        <v>0.868887024</v>
      </c>
      <c r="V246" s="14">
        <f t="shared" si="4"/>
        <v>0.043763672</v>
      </c>
      <c r="W246" s="14">
        <f t="shared" si="5"/>
        <v>66</v>
      </c>
      <c r="X246" s="14">
        <f t="shared" si="6"/>
        <v>62</v>
      </c>
      <c r="Y246" s="14">
        <f t="shared" si="7"/>
        <v>86</v>
      </c>
      <c r="Z246" s="14" t="str">
        <f t="shared" si="8"/>
        <v/>
      </c>
      <c r="AA246" s="14" t="str">
        <f t="shared" si="9"/>
        <v/>
      </c>
      <c r="AB246" s="14" t="str">
        <f t="shared" si="10"/>
        <v>Fully Accessible</v>
      </c>
      <c r="AC246" s="14">
        <f t="shared" si="11"/>
        <v>0.825123352</v>
      </c>
      <c r="AO246" s="21"/>
      <c r="AP246" s="24"/>
      <c r="AQ246" s="21"/>
      <c r="AS246" s="21"/>
      <c r="AT246" s="24"/>
      <c r="AU246" s="21"/>
      <c r="AX246" s="14">
        <f t="shared" si="22"/>
        <v>35875.25977</v>
      </c>
      <c r="AY246" s="14">
        <f t="shared" si="23"/>
        <v>33.73999978</v>
      </c>
      <c r="AZ246" s="14">
        <f t="shared" si="24"/>
        <v>35841.51977</v>
      </c>
      <c r="BA246" s="17"/>
    </row>
    <row r="247">
      <c r="A247" s="2" t="s">
        <v>184</v>
      </c>
      <c r="B247" s="2">
        <v>2020.0</v>
      </c>
      <c r="C247" s="2">
        <v>19129.95508</v>
      </c>
      <c r="D247" s="2">
        <v>17.42700005</v>
      </c>
      <c r="E247" s="2">
        <v>70.04772851</v>
      </c>
      <c r="F247" s="2">
        <v>21.95081497</v>
      </c>
      <c r="G247" s="2">
        <v>5.776304407</v>
      </c>
      <c r="H247" s="2">
        <v>2.22515211</v>
      </c>
      <c r="I247" s="2">
        <v>66.58504376</v>
      </c>
      <c r="J247" s="2">
        <v>24.41415803</v>
      </c>
      <c r="K247" s="2">
        <v>6.383874146</v>
      </c>
      <c r="L247" s="2">
        <v>2.616924066</v>
      </c>
      <c r="M247" s="2">
        <v>86.45469821</v>
      </c>
      <c r="N247" s="2">
        <v>10.27894825</v>
      </c>
      <c r="O247" s="2">
        <v>2.897503996</v>
      </c>
      <c r="P247" s="2">
        <v>0.3688495446</v>
      </c>
      <c r="Q247" s="13" t="str">
        <f t="shared" si="1"/>
        <v>Malawi|2020</v>
      </c>
      <c r="R247" s="14" t="str">
        <f t="shared" si="2"/>
        <v> </v>
      </c>
      <c r="T247" s="14" t="b">
        <f t="shared" si="3"/>
        <v>0</v>
      </c>
      <c r="U247" s="14" t="b">
        <f t="shared" si="29"/>
        <v>0</v>
      </c>
      <c r="V247" s="14" t="b">
        <f t="shared" si="4"/>
        <v>0</v>
      </c>
      <c r="W247" s="14">
        <f t="shared" si="5"/>
        <v>70</v>
      </c>
      <c r="X247" s="14">
        <f t="shared" si="6"/>
        <v>67</v>
      </c>
      <c r="Y247" s="14">
        <f t="shared" si="7"/>
        <v>86</v>
      </c>
      <c r="Z247" s="14" t="str">
        <f t="shared" si="8"/>
        <v/>
      </c>
      <c r="AA247" s="14" t="str">
        <f t="shared" si="9"/>
        <v/>
      </c>
      <c r="AB247" s="14" t="str">
        <f t="shared" si="10"/>
        <v/>
      </c>
      <c r="AC247" s="14">
        <f t="shared" si="11"/>
        <v>0</v>
      </c>
      <c r="AO247" s="21"/>
      <c r="AP247" s="24"/>
      <c r="AQ247" s="21"/>
      <c r="AS247" s="21"/>
      <c r="AT247" s="24"/>
      <c r="AU247" s="21"/>
      <c r="AX247" s="14" t="str">
        <f t="shared" si="22"/>
        <v>null</v>
      </c>
      <c r="AY247" s="14" t="str">
        <f t="shared" si="23"/>
        <v>null</v>
      </c>
      <c r="AZ247" s="14" t="str">
        <f t="shared" si="24"/>
        <v>null</v>
      </c>
      <c r="BA247" s="17"/>
    </row>
    <row r="248">
      <c r="A248" s="2" t="s">
        <v>185</v>
      </c>
      <c r="B248" s="2">
        <v>2015.0</v>
      </c>
      <c r="C248" s="2">
        <v>30270.96484</v>
      </c>
      <c r="D248" s="2">
        <v>74.21299744</v>
      </c>
      <c r="E248" s="2">
        <v>97.05220256</v>
      </c>
      <c r="F248" s="2">
        <v>0.3630055004</v>
      </c>
      <c r="G248" s="2">
        <v>2.584791939</v>
      </c>
      <c r="H248" s="2" t="s">
        <v>64</v>
      </c>
      <c r="I248" s="2">
        <v>90.91830922</v>
      </c>
      <c r="J248" s="2">
        <v>0.5488026714</v>
      </c>
      <c r="K248" s="2">
        <v>8.532888105</v>
      </c>
      <c r="L248" s="2" t="s">
        <v>64</v>
      </c>
      <c r="M248" s="2">
        <v>99.18356605</v>
      </c>
      <c r="N248" s="2">
        <v>0.2984460363</v>
      </c>
      <c r="O248" s="2">
        <v>0.427987911</v>
      </c>
      <c r="P248" s="2">
        <v>0.09</v>
      </c>
      <c r="Q248" s="13" t="str">
        <f t="shared" si="1"/>
        <v>Malaysia|2015</v>
      </c>
      <c r="R248" s="14">
        <f t="shared" si="2"/>
        <v>5</v>
      </c>
      <c r="T248" s="14">
        <f t="shared" si="3"/>
        <v>0.009540902</v>
      </c>
      <c r="U248" s="14">
        <f t="shared" si="29"/>
        <v>-0.14417222</v>
      </c>
      <c r="V248" s="14">
        <f t="shared" si="4"/>
        <v>-0.008094028</v>
      </c>
      <c r="W248" s="14">
        <f t="shared" si="5"/>
        <v>97</v>
      </c>
      <c r="X248" s="14">
        <f t="shared" si="6"/>
        <v>91</v>
      </c>
      <c r="Y248" s="14">
        <f t="shared" si="7"/>
        <v>99</v>
      </c>
      <c r="Z248" s="14" t="str">
        <f t="shared" si="8"/>
        <v/>
      </c>
      <c r="AA248" s="14" t="str">
        <f t="shared" si="9"/>
        <v/>
      </c>
      <c r="AB248" s="14" t="str">
        <f t="shared" si="10"/>
        <v>Fully Accessible</v>
      </c>
      <c r="AC248" s="14">
        <f t="shared" si="11"/>
        <v>-0.136078192</v>
      </c>
      <c r="AO248" s="21"/>
      <c r="AP248" s="24"/>
      <c r="AQ248" s="21"/>
      <c r="AS248" s="21"/>
      <c r="AT248" s="24"/>
      <c r="AU248" s="21"/>
      <c r="AX248" s="14">
        <f t="shared" si="22"/>
        <v>62636.96289</v>
      </c>
      <c r="AY248" s="14">
        <f t="shared" si="23"/>
        <v>151.3729935</v>
      </c>
      <c r="AZ248" s="14">
        <f t="shared" si="24"/>
        <v>62485.5899</v>
      </c>
      <c r="BA248" s="17"/>
    </row>
    <row r="249">
      <c r="A249" s="2" t="s">
        <v>185</v>
      </c>
      <c r="B249" s="2">
        <v>2020.0</v>
      </c>
      <c r="C249" s="2">
        <v>32365.99805</v>
      </c>
      <c r="D249" s="2">
        <v>77.15999603</v>
      </c>
      <c r="E249" s="2">
        <v>97.09990707</v>
      </c>
      <c r="F249" s="2">
        <v>0.3545396865</v>
      </c>
      <c r="G249" s="2">
        <v>2.545553241</v>
      </c>
      <c r="H249" s="2" t="s">
        <v>64</v>
      </c>
      <c r="I249" s="2">
        <v>90.19744812</v>
      </c>
      <c r="J249" s="2">
        <v>0.5444513971</v>
      </c>
      <c r="K249" s="2">
        <v>9.258100478</v>
      </c>
      <c r="L249" s="2" t="s">
        <v>64</v>
      </c>
      <c r="M249" s="2">
        <v>99.14309591</v>
      </c>
      <c r="N249" s="2">
        <v>0.2983242605</v>
      </c>
      <c r="O249" s="2">
        <v>0.4685798319</v>
      </c>
      <c r="P249" s="2">
        <v>0.09</v>
      </c>
      <c r="Q249" s="13" t="str">
        <f t="shared" si="1"/>
        <v>Malaysia|2020</v>
      </c>
      <c r="R249" s="14" t="str">
        <f t="shared" si="2"/>
        <v> </v>
      </c>
      <c r="T249" s="14" t="b">
        <f t="shared" si="3"/>
        <v>0</v>
      </c>
      <c r="U249" s="14" t="b">
        <f t="shared" si="29"/>
        <v>0</v>
      </c>
      <c r="V249" s="14" t="b">
        <f t="shared" si="4"/>
        <v>0</v>
      </c>
      <c r="W249" s="14">
        <f t="shared" si="5"/>
        <v>97</v>
      </c>
      <c r="X249" s="14">
        <f t="shared" si="6"/>
        <v>90</v>
      </c>
      <c r="Y249" s="14">
        <f t="shared" si="7"/>
        <v>99</v>
      </c>
      <c r="Z249" s="14" t="str">
        <f t="shared" si="8"/>
        <v/>
      </c>
      <c r="AA249" s="14" t="str">
        <f t="shared" si="9"/>
        <v/>
      </c>
      <c r="AB249" s="14" t="str">
        <f t="shared" si="10"/>
        <v/>
      </c>
      <c r="AC249" s="14">
        <f t="shared" si="11"/>
        <v>0</v>
      </c>
      <c r="AO249" s="21"/>
      <c r="AP249" s="24"/>
      <c r="AQ249" s="21"/>
      <c r="AS249" s="21"/>
      <c r="AT249" s="24"/>
      <c r="AU249" s="21"/>
      <c r="AX249" s="14" t="str">
        <f t="shared" si="22"/>
        <v>null</v>
      </c>
      <c r="AY249" s="14" t="str">
        <f t="shared" si="23"/>
        <v>null</v>
      </c>
      <c r="AZ249" s="14" t="str">
        <f t="shared" si="24"/>
        <v>null</v>
      </c>
      <c r="BA249" s="8"/>
    </row>
    <row r="250">
      <c r="A250" s="2" t="s">
        <v>186</v>
      </c>
      <c r="B250" s="2">
        <v>2015.0</v>
      </c>
      <c r="C250" s="2">
        <v>454.9140015</v>
      </c>
      <c r="D250" s="2">
        <v>38.52899933</v>
      </c>
      <c r="E250" s="2">
        <v>98.81424429</v>
      </c>
      <c r="F250" s="2">
        <v>0.1121578799</v>
      </c>
      <c r="G250" s="2">
        <v>1.073597835</v>
      </c>
      <c r="H250" s="2">
        <v>0.0</v>
      </c>
      <c r="I250" s="2">
        <v>98.87969927</v>
      </c>
      <c r="J250" s="2">
        <v>0.1669852816</v>
      </c>
      <c r="K250" s="2">
        <v>0.953315453</v>
      </c>
      <c r="L250" s="2">
        <v>0.0</v>
      </c>
      <c r="M250" s="2">
        <v>98.70980569</v>
      </c>
      <c r="N250" s="2">
        <v>0.02468362233</v>
      </c>
      <c r="O250" s="2">
        <v>1.265510688</v>
      </c>
      <c r="P250" s="2">
        <v>0.0</v>
      </c>
      <c r="Q250" s="13" t="str">
        <f t="shared" si="1"/>
        <v>Maldives|2015</v>
      </c>
      <c r="R250" s="14">
        <f t="shared" si="2"/>
        <v>5</v>
      </c>
      <c r="T250" s="14">
        <f t="shared" si="3"/>
        <v>0.146038862</v>
      </c>
      <c r="U250" s="14">
        <f t="shared" si="29"/>
        <v>0.207862646</v>
      </c>
      <c r="V250" s="14">
        <f t="shared" si="4"/>
        <v>0.057636648</v>
      </c>
      <c r="W250" s="14">
        <f t="shared" si="5"/>
        <v>99</v>
      </c>
      <c r="X250" s="14">
        <f t="shared" si="6"/>
        <v>99</v>
      </c>
      <c r="Y250" s="14">
        <f t="shared" si="7"/>
        <v>99</v>
      </c>
      <c r="Z250" s="14" t="str">
        <f t="shared" si="8"/>
        <v/>
      </c>
      <c r="AA250" s="14" t="str">
        <f t="shared" si="9"/>
        <v/>
      </c>
      <c r="AB250" s="14" t="str">
        <f t="shared" si="10"/>
        <v>Fully Accessible</v>
      </c>
      <c r="AC250" s="14">
        <f t="shared" si="11"/>
        <v>0.150225998</v>
      </c>
      <c r="AO250" s="21"/>
      <c r="AP250" s="24"/>
      <c r="AQ250" s="21"/>
      <c r="AS250" s="21"/>
      <c r="AT250" s="24"/>
      <c r="AU250" s="21"/>
      <c r="AX250" s="14">
        <f t="shared" si="22"/>
        <v>995.4559937</v>
      </c>
      <c r="AY250" s="14">
        <f t="shared" si="23"/>
        <v>79.19799805</v>
      </c>
      <c r="AZ250" s="14">
        <f t="shared" si="24"/>
        <v>916.2579957</v>
      </c>
      <c r="BA250" s="27"/>
    </row>
    <row r="251">
      <c r="A251" s="2" t="s">
        <v>186</v>
      </c>
      <c r="B251" s="2">
        <v>2020.0</v>
      </c>
      <c r="C251" s="2">
        <v>540.5419922</v>
      </c>
      <c r="D251" s="2">
        <v>40.66899872</v>
      </c>
      <c r="E251" s="2">
        <v>99.5444386</v>
      </c>
      <c r="F251" s="2">
        <v>0.0480506913</v>
      </c>
      <c r="G251" s="2">
        <v>0.407510705</v>
      </c>
      <c r="H251" s="2">
        <v>0.0</v>
      </c>
      <c r="I251" s="2">
        <v>99.9190125</v>
      </c>
      <c r="J251" s="2">
        <v>0.0809875</v>
      </c>
      <c r="K251" s="2">
        <v>0.0</v>
      </c>
      <c r="L251" s="2">
        <v>0.0</v>
      </c>
      <c r="M251" s="2">
        <v>98.99798893</v>
      </c>
      <c r="N251" s="2">
        <v>0.0</v>
      </c>
      <c r="O251" s="2">
        <v>1.002011069</v>
      </c>
      <c r="P251" s="2">
        <v>0.0</v>
      </c>
      <c r="Q251" s="13" t="str">
        <f t="shared" si="1"/>
        <v>Maldives|2020</v>
      </c>
      <c r="R251" s="14" t="str">
        <f t="shared" si="2"/>
        <v> </v>
      </c>
      <c r="T251" s="14" t="b">
        <f t="shared" si="3"/>
        <v>0</v>
      </c>
      <c r="U251" s="14" t="b">
        <f t="shared" si="29"/>
        <v>0</v>
      </c>
      <c r="V251" s="14" t="b">
        <f t="shared" si="4"/>
        <v>0</v>
      </c>
      <c r="W251" s="14">
        <f t="shared" si="5"/>
        <v>100</v>
      </c>
      <c r="X251" s="14">
        <f t="shared" si="6"/>
        <v>100</v>
      </c>
      <c r="Y251" s="14">
        <f t="shared" si="7"/>
        <v>99</v>
      </c>
      <c r="Z251" s="14" t="str">
        <f t="shared" si="8"/>
        <v/>
      </c>
      <c r="AA251" s="14" t="str">
        <f t="shared" si="9"/>
        <v/>
      </c>
      <c r="AB251" s="14" t="str">
        <f t="shared" si="10"/>
        <v/>
      </c>
      <c r="AC251" s="14">
        <f t="shared" si="11"/>
        <v>0</v>
      </c>
      <c r="AO251" s="21"/>
      <c r="AP251" s="24"/>
      <c r="AQ251" s="21"/>
      <c r="AS251" s="21"/>
      <c r="AT251" s="24"/>
      <c r="AU251" s="21"/>
      <c r="AX251" s="14" t="str">
        <f t="shared" si="22"/>
        <v>null</v>
      </c>
      <c r="AY251" s="14" t="str">
        <f t="shared" si="23"/>
        <v>null</v>
      </c>
      <c r="AZ251" s="14" t="str">
        <f t="shared" si="24"/>
        <v>null</v>
      </c>
      <c r="BA251" s="17"/>
    </row>
    <row r="252">
      <c r="A252" s="2" t="s">
        <v>187</v>
      </c>
      <c r="B252" s="2">
        <v>2015.0</v>
      </c>
      <c r="C252" s="2">
        <v>17438.77148</v>
      </c>
      <c r="D252" s="2">
        <v>39.99099731</v>
      </c>
      <c r="E252" s="2">
        <v>74.39951222</v>
      </c>
      <c r="F252" s="2">
        <v>4.171846453</v>
      </c>
      <c r="G252" s="2">
        <v>19.37992934</v>
      </c>
      <c r="H252" s="2">
        <v>2.048711981</v>
      </c>
      <c r="I252" s="2">
        <v>63.39571403</v>
      </c>
      <c r="J252" s="2">
        <v>4.449382415</v>
      </c>
      <c r="K252" s="2">
        <v>28.94484164</v>
      </c>
      <c r="L252" s="2">
        <v>3.21006192</v>
      </c>
      <c r="M252" s="2">
        <v>90.91140553</v>
      </c>
      <c r="N252" s="2">
        <v>3.755386657</v>
      </c>
      <c r="O252" s="2">
        <v>5.027173979</v>
      </c>
      <c r="P252" s="2">
        <v>0.306033834</v>
      </c>
      <c r="Q252" s="13" t="str">
        <f t="shared" si="1"/>
        <v>Mali|2015</v>
      </c>
      <c r="R252" s="14">
        <f t="shared" si="2"/>
        <v>5</v>
      </c>
      <c r="T252" s="14">
        <f t="shared" si="3"/>
        <v>1.629555762</v>
      </c>
      <c r="U252" s="14">
        <f t="shared" si="29"/>
        <v>1.737036236</v>
      </c>
      <c r="V252" s="14">
        <f t="shared" si="4"/>
        <v>1.001209844</v>
      </c>
      <c r="W252" s="14">
        <f t="shared" si="5"/>
        <v>74</v>
      </c>
      <c r="X252" s="14">
        <f t="shared" si="6"/>
        <v>63</v>
      </c>
      <c r="Y252" s="14">
        <f t="shared" si="7"/>
        <v>91</v>
      </c>
      <c r="Z252" s="14" t="str">
        <f t="shared" si="8"/>
        <v/>
      </c>
      <c r="AA252" s="14" t="str">
        <f t="shared" si="9"/>
        <v/>
      </c>
      <c r="AB252" s="14" t="str">
        <f t="shared" si="10"/>
        <v>Fully Accessible</v>
      </c>
      <c r="AC252" s="14">
        <f t="shared" si="11"/>
        <v>0.735826392</v>
      </c>
      <c r="AO252" s="21"/>
      <c r="AP252" s="24"/>
      <c r="AQ252" s="21"/>
      <c r="AS252" s="21"/>
      <c r="AT252" s="24"/>
      <c r="AU252" s="21"/>
      <c r="AX252" s="14">
        <f t="shared" si="22"/>
        <v>37689.60546</v>
      </c>
      <c r="AY252" s="14">
        <f t="shared" si="23"/>
        <v>83.90000152</v>
      </c>
      <c r="AZ252" s="14">
        <f t="shared" si="24"/>
        <v>37605.70546</v>
      </c>
      <c r="BA252" s="27"/>
    </row>
    <row r="253">
      <c r="A253" s="2" t="s">
        <v>187</v>
      </c>
      <c r="B253" s="2">
        <v>2020.0</v>
      </c>
      <c r="C253" s="2">
        <v>20250.83398</v>
      </c>
      <c r="D253" s="2">
        <v>43.90900421</v>
      </c>
      <c r="E253" s="2">
        <v>82.54729103</v>
      </c>
      <c r="F253" s="2">
        <v>3.854734527</v>
      </c>
      <c r="G253" s="2">
        <v>12.24697135</v>
      </c>
      <c r="H253" s="2">
        <v>1.35100309</v>
      </c>
      <c r="I253" s="2">
        <v>72.08089521</v>
      </c>
      <c r="J253" s="2">
        <v>3.78241223</v>
      </c>
      <c r="K253" s="2">
        <v>21.72810084</v>
      </c>
      <c r="L253" s="2">
        <v>2.408591717</v>
      </c>
      <c r="M253" s="2">
        <v>95.91745475</v>
      </c>
      <c r="N253" s="2">
        <v>3.947121723</v>
      </c>
      <c r="O253" s="2">
        <v>0.1354235314</v>
      </c>
      <c r="P253" s="2">
        <v>0.0</v>
      </c>
      <c r="Q253" s="13" t="str">
        <f t="shared" si="1"/>
        <v>Mali|2020</v>
      </c>
      <c r="R253" s="14" t="str">
        <f t="shared" si="2"/>
        <v> </v>
      </c>
      <c r="T253" s="14" t="b">
        <f t="shared" si="3"/>
        <v>0</v>
      </c>
      <c r="U253" s="14" t="b">
        <f t="shared" si="29"/>
        <v>0</v>
      </c>
      <c r="V253" s="14" t="b">
        <f t="shared" si="4"/>
        <v>0</v>
      </c>
      <c r="W253" s="14">
        <f t="shared" si="5"/>
        <v>83</v>
      </c>
      <c r="X253" s="14">
        <f t="shared" si="6"/>
        <v>72</v>
      </c>
      <c r="Y253" s="14">
        <f t="shared" si="7"/>
        <v>96</v>
      </c>
      <c r="Z253" s="14" t="str">
        <f t="shared" si="8"/>
        <v/>
      </c>
      <c r="AA253" s="14" t="str">
        <f t="shared" si="9"/>
        <v/>
      </c>
      <c r="AB253" s="14" t="str">
        <f t="shared" si="10"/>
        <v/>
      </c>
      <c r="AC253" s="14">
        <f t="shared" si="11"/>
        <v>0</v>
      </c>
      <c r="AO253" s="21"/>
      <c r="AP253" s="24"/>
      <c r="AQ253" s="21"/>
      <c r="AS253" s="21"/>
      <c r="AT253" s="24"/>
      <c r="AU253" s="21"/>
      <c r="AX253" s="14" t="str">
        <f t="shared" si="22"/>
        <v>null</v>
      </c>
      <c r="AY253" s="14" t="str">
        <f t="shared" si="23"/>
        <v>null</v>
      </c>
      <c r="AZ253" s="14" t="str">
        <f t="shared" si="24"/>
        <v>null</v>
      </c>
      <c r="BA253" s="27"/>
    </row>
    <row r="254">
      <c r="A254" s="2" t="s">
        <v>188</v>
      </c>
      <c r="B254" s="2">
        <v>2015.0</v>
      </c>
      <c r="C254" s="2">
        <v>433.5589905</v>
      </c>
      <c r="D254" s="2">
        <v>94.41400146</v>
      </c>
      <c r="E254" s="2">
        <v>100.0</v>
      </c>
      <c r="F254" s="2">
        <v>0.0</v>
      </c>
      <c r="G254" s="2">
        <v>0.0</v>
      </c>
      <c r="H254" s="2">
        <v>0.0</v>
      </c>
      <c r="I254" s="2">
        <v>100.0</v>
      </c>
      <c r="J254" s="2">
        <v>0.0</v>
      </c>
      <c r="K254" s="2">
        <v>0.0</v>
      </c>
      <c r="L254" s="2">
        <v>0.0</v>
      </c>
      <c r="M254" s="2">
        <v>100.0</v>
      </c>
      <c r="N254" s="2">
        <v>0.0</v>
      </c>
      <c r="O254" s="2">
        <v>0.0</v>
      </c>
      <c r="P254" s="2">
        <v>0.0</v>
      </c>
      <c r="Q254" s="13" t="str">
        <f t="shared" si="1"/>
        <v>Malta|2015</v>
      </c>
      <c r="R254" s="14">
        <f t="shared" si="2"/>
        <v>5</v>
      </c>
      <c r="T254" s="14">
        <f t="shared" si="3"/>
        <v>0.00000008000000093</v>
      </c>
      <c r="U254" s="14">
        <f t="shared" si="29"/>
        <v>0</v>
      </c>
      <c r="V254" s="14">
        <f t="shared" si="4"/>
        <v>0</v>
      </c>
      <c r="W254" s="14">
        <f t="shared" si="5"/>
        <v>100</v>
      </c>
      <c r="X254" s="14">
        <f t="shared" si="6"/>
        <v>100</v>
      </c>
      <c r="Y254" s="14">
        <f t="shared" si="7"/>
        <v>100</v>
      </c>
      <c r="Z254" s="14" t="str">
        <f t="shared" si="8"/>
        <v/>
      </c>
      <c r="AA254" s="14" t="str">
        <f t="shared" si="9"/>
        <v/>
      </c>
      <c r="AB254" s="14" t="str">
        <f t="shared" si="10"/>
        <v>Fully Accessible</v>
      </c>
      <c r="AC254" s="14">
        <f t="shared" si="11"/>
        <v>0</v>
      </c>
      <c r="AO254" s="21"/>
      <c r="AP254" s="24"/>
      <c r="AQ254" s="21"/>
      <c r="AS254" s="21"/>
      <c r="AT254" s="24"/>
      <c r="AU254" s="21"/>
      <c r="AX254" s="14">
        <f t="shared" si="22"/>
        <v>875.097992</v>
      </c>
      <c r="AY254" s="14">
        <f t="shared" si="23"/>
        <v>189.1580048</v>
      </c>
      <c r="AZ254" s="14">
        <f t="shared" si="24"/>
        <v>685.9399872</v>
      </c>
      <c r="BA254" s="17"/>
    </row>
    <row r="255">
      <c r="A255" s="2" t="s">
        <v>188</v>
      </c>
      <c r="B255" s="2">
        <v>2020.0</v>
      </c>
      <c r="C255" s="2">
        <v>441.5390015</v>
      </c>
      <c r="D255" s="2">
        <v>94.7440033</v>
      </c>
      <c r="E255" s="2">
        <v>100.0000004</v>
      </c>
      <c r="F255" s="2">
        <v>0.0</v>
      </c>
      <c r="G255" s="2">
        <v>0.0</v>
      </c>
      <c r="H255" s="2">
        <v>0.0</v>
      </c>
      <c r="I255" s="2">
        <v>100.0</v>
      </c>
      <c r="J255" s="2">
        <v>0.0</v>
      </c>
      <c r="K255" s="2">
        <v>0.0</v>
      </c>
      <c r="L255" s="2">
        <v>0.0</v>
      </c>
      <c r="M255" s="2">
        <v>100.0</v>
      </c>
      <c r="N255" s="2">
        <v>0.0</v>
      </c>
      <c r="O255" s="2">
        <v>0.0</v>
      </c>
      <c r="P255" s="2">
        <v>0.0</v>
      </c>
      <c r="Q255" s="13" t="str">
        <f t="shared" si="1"/>
        <v>Malta|2020</v>
      </c>
      <c r="R255" s="14" t="str">
        <f t="shared" si="2"/>
        <v> </v>
      </c>
      <c r="T255" s="14" t="b">
        <f t="shared" si="3"/>
        <v>0</v>
      </c>
      <c r="U255" s="14" t="b">
        <f t="shared" si="29"/>
        <v>0</v>
      </c>
      <c r="V255" s="14" t="b">
        <f t="shared" si="4"/>
        <v>0</v>
      </c>
      <c r="W255" s="14">
        <f t="shared" si="5"/>
        <v>100</v>
      </c>
      <c r="X255" s="14">
        <f t="shared" si="6"/>
        <v>100</v>
      </c>
      <c r="Y255" s="14">
        <f t="shared" si="7"/>
        <v>100</v>
      </c>
      <c r="Z255" s="14" t="str">
        <f t="shared" si="8"/>
        <v/>
      </c>
      <c r="AA255" s="14" t="str">
        <f t="shared" si="9"/>
        <v/>
      </c>
      <c r="AB255" s="14" t="str">
        <f t="shared" si="10"/>
        <v/>
      </c>
      <c r="AC255" s="14">
        <f t="shared" si="11"/>
        <v>0</v>
      </c>
      <c r="AO255" s="21"/>
      <c r="AP255" s="24"/>
      <c r="AQ255" s="21"/>
      <c r="AS255" s="21"/>
      <c r="AT255" s="24"/>
      <c r="AU255" s="21"/>
      <c r="AX255" s="14" t="str">
        <f t="shared" si="22"/>
        <v>null</v>
      </c>
      <c r="AY255" s="14" t="str">
        <f t="shared" si="23"/>
        <v>null</v>
      </c>
      <c r="AZ255" s="14" t="str">
        <f t="shared" si="24"/>
        <v>null</v>
      </c>
      <c r="BA255" s="17"/>
    </row>
    <row r="256">
      <c r="A256" s="2" t="s">
        <v>189</v>
      </c>
      <c r="B256" s="2">
        <v>2015.0</v>
      </c>
      <c r="C256" s="2">
        <v>57.44400024</v>
      </c>
      <c r="D256" s="2">
        <v>75.81099701</v>
      </c>
      <c r="E256" s="2">
        <v>88.34252362</v>
      </c>
      <c r="F256" s="2">
        <v>11.18141559</v>
      </c>
      <c r="G256" s="2">
        <v>0.4760607918</v>
      </c>
      <c r="H256" s="2">
        <v>0.0</v>
      </c>
      <c r="I256" s="2">
        <v>94.27836</v>
      </c>
      <c r="J256" s="2">
        <v>5.38164</v>
      </c>
      <c r="K256" s="2">
        <v>0.34</v>
      </c>
      <c r="L256" s="2">
        <v>0.0</v>
      </c>
      <c r="M256" s="2">
        <v>86.44857737</v>
      </c>
      <c r="N256" s="2">
        <v>13.03194895</v>
      </c>
      <c r="O256" s="2">
        <v>0.5194736842</v>
      </c>
      <c r="P256" s="2">
        <v>0.0</v>
      </c>
      <c r="Q256" s="13" t="str">
        <f t="shared" si="1"/>
        <v>Marshall Islands|2015</v>
      </c>
      <c r="R256" s="14">
        <f t="shared" si="2"/>
        <v>5</v>
      </c>
      <c r="T256" s="14">
        <f t="shared" si="3"/>
        <v>0.045904672</v>
      </c>
      <c r="U256" s="14">
        <f t="shared" si="29"/>
        <v>0.030272</v>
      </c>
      <c r="V256" s="14">
        <f t="shared" si="4"/>
        <v>0.090284526</v>
      </c>
      <c r="W256" s="14">
        <f t="shared" si="5"/>
        <v>88</v>
      </c>
      <c r="X256" s="14">
        <f t="shared" si="6"/>
        <v>94</v>
      </c>
      <c r="Y256" s="14">
        <f t="shared" si="7"/>
        <v>86</v>
      </c>
      <c r="Z256" s="14" t="str">
        <f t="shared" si="8"/>
        <v/>
      </c>
      <c r="AA256" s="14" t="str">
        <f t="shared" si="9"/>
        <v/>
      </c>
      <c r="AB256" s="14" t="str">
        <f t="shared" si="10"/>
        <v>Fully Accessible</v>
      </c>
      <c r="AC256" s="14">
        <f t="shared" si="11"/>
        <v>-0.060012526</v>
      </c>
      <c r="AO256" s="21"/>
      <c r="AP256" s="24"/>
      <c r="AQ256" s="21"/>
      <c r="AS256" s="21"/>
      <c r="AT256" s="24"/>
      <c r="AU256" s="21"/>
      <c r="AX256" s="14">
        <f t="shared" si="22"/>
        <v>116.6380005</v>
      </c>
      <c r="AY256" s="14">
        <f t="shared" si="23"/>
        <v>153.6049881</v>
      </c>
      <c r="AZ256" s="14">
        <f t="shared" si="24"/>
        <v>-36.96698762</v>
      </c>
      <c r="BA256" s="17"/>
    </row>
    <row r="257">
      <c r="A257" s="2" t="s">
        <v>189</v>
      </c>
      <c r="B257" s="2">
        <v>2020.0</v>
      </c>
      <c r="C257" s="2">
        <v>59.19400024</v>
      </c>
      <c r="D257" s="2">
        <v>77.79399109</v>
      </c>
      <c r="E257" s="2">
        <v>88.57204698</v>
      </c>
      <c r="F257" s="2">
        <v>11.387979</v>
      </c>
      <c r="G257" s="2">
        <v>0.03997402585</v>
      </c>
      <c r="H257" s="2">
        <v>0.0</v>
      </c>
      <c r="I257" s="2">
        <v>94.42972</v>
      </c>
      <c r="J257" s="2">
        <v>5.39028</v>
      </c>
      <c r="K257" s="2">
        <v>0.18</v>
      </c>
      <c r="L257" s="2">
        <v>0.0</v>
      </c>
      <c r="M257" s="2">
        <v>86.9</v>
      </c>
      <c r="N257" s="2">
        <v>13.1</v>
      </c>
      <c r="O257" s="2">
        <v>0.0</v>
      </c>
      <c r="P257" s="2">
        <v>0.0</v>
      </c>
      <c r="Q257" s="13" t="str">
        <f t="shared" si="1"/>
        <v>Marshall Islands|2020</v>
      </c>
      <c r="R257" s="14" t="str">
        <f t="shared" si="2"/>
        <v> </v>
      </c>
      <c r="T257" s="14" t="b">
        <f t="shared" si="3"/>
        <v>0</v>
      </c>
      <c r="U257" s="14" t="b">
        <f t="shared" si="29"/>
        <v>0</v>
      </c>
      <c r="V257" s="14" t="b">
        <f t="shared" si="4"/>
        <v>0</v>
      </c>
      <c r="W257" s="14">
        <f t="shared" si="5"/>
        <v>89</v>
      </c>
      <c r="X257" s="14">
        <f t="shared" si="6"/>
        <v>94</v>
      </c>
      <c r="Y257" s="14">
        <f t="shared" si="7"/>
        <v>87</v>
      </c>
      <c r="Z257" s="14" t="str">
        <f t="shared" si="8"/>
        <v/>
      </c>
      <c r="AA257" s="14" t="str">
        <f t="shared" si="9"/>
        <v/>
      </c>
      <c r="AB257" s="14" t="str">
        <f t="shared" si="10"/>
        <v/>
      </c>
      <c r="AC257" s="14">
        <f t="shared" si="11"/>
        <v>0</v>
      </c>
      <c r="AO257" s="21"/>
      <c r="AP257" s="24"/>
      <c r="AQ257" s="21"/>
      <c r="AS257" s="21"/>
      <c r="AT257" s="24"/>
      <c r="AU257" s="21"/>
      <c r="AX257" s="14" t="str">
        <f t="shared" si="22"/>
        <v>null</v>
      </c>
      <c r="AY257" s="14" t="str">
        <f t="shared" si="23"/>
        <v>null</v>
      </c>
      <c r="AZ257" s="14" t="str">
        <f t="shared" si="24"/>
        <v>null</v>
      </c>
      <c r="BA257" s="8"/>
    </row>
    <row r="258">
      <c r="A258" s="2" t="s">
        <v>190</v>
      </c>
      <c r="B258" s="2">
        <v>2015.0</v>
      </c>
      <c r="C258" s="2">
        <v>378.4830017</v>
      </c>
      <c r="D258" s="2">
        <v>88.98100281</v>
      </c>
      <c r="E258" s="2">
        <v>99.79603</v>
      </c>
      <c r="F258" s="2">
        <v>0.0</v>
      </c>
      <c r="G258" s="2">
        <v>0.2039699954</v>
      </c>
      <c r="H258" s="2">
        <v>0.0</v>
      </c>
      <c r="I258" s="2" t="s">
        <v>64</v>
      </c>
      <c r="J258" s="2" t="s">
        <v>64</v>
      </c>
      <c r="K258" s="2" t="s">
        <v>64</v>
      </c>
      <c r="L258" s="2" t="s">
        <v>64</v>
      </c>
      <c r="M258" s="2" t="s">
        <v>64</v>
      </c>
      <c r="N258" s="2" t="s">
        <v>64</v>
      </c>
      <c r="O258" s="2" t="s">
        <v>64</v>
      </c>
      <c r="P258" s="2" t="s">
        <v>64</v>
      </c>
      <c r="Q258" s="13" t="str">
        <f t="shared" si="1"/>
        <v>Martinique|2015</v>
      </c>
      <c r="R258" s="14">
        <f t="shared" si="2"/>
        <v>5</v>
      </c>
      <c r="T258" s="14">
        <f t="shared" si="3"/>
        <v>0.009188156</v>
      </c>
      <c r="U258" s="14" t="str">
        <f t="shared" si="29"/>
        <v>null</v>
      </c>
      <c r="V258" s="14" t="str">
        <f t="shared" si="4"/>
        <v>null</v>
      </c>
      <c r="W258" s="14">
        <f t="shared" si="5"/>
        <v>100</v>
      </c>
      <c r="X258" s="14" t="b">
        <f t="shared" si="6"/>
        <v>0</v>
      </c>
      <c r="Y258" s="14" t="b">
        <f t="shared" si="7"/>
        <v>0</v>
      </c>
      <c r="Z258" s="14" t="str">
        <f t="shared" si="8"/>
        <v/>
      </c>
      <c r="AA258" s="14" t="str">
        <f t="shared" si="9"/>
        <v>Fully Accessible</v>
      </c>
      <c r="AB258" s="14" t="str">
        <f t="shared" si="10"/>
        <v>Fully Accessible</v>
      </c>
      <c r="AC258" s="14" t="b">
        <f t="shared" si="11"/>
        <v>0</v>
      </c>
      <c r="AO258" s="21"/>
      <c r="AP258" s="24"/>
      <c r="AQ258" s="21"/>
      <c r="AS258" s="21"/>
      <c r="AT258" s="24"/>
      <c r="AU258" s="21"/>
      <c r="AX258" s="14">
        <f t="shared" si="22"/>
        <v>753.7480163</v>
      </c>
      <c r="AY258" s="14">
        <f t="shared" si="23"/>
        <v>178.1210022</v>
      </c>
      <c r="AZ258" s="14">
        <f t="shared" si="24"/>
        <v>575.6270141</v>
      </c>
      <c r="BA258" s="27"/>
    </row>
    <row r="259">
      <c r="A259" s="2" t="s">
        <v>190</v>
      </c>
      <c r="B259" s="2">
        <v>2020.0</v>
      </c>
      <c r="C259" s="2">
        <v>375.2650146</v>
      </c>
      <c r="D259" s="2">
        <v>89.13999939</v>
      </c>
      <c r="E259" s="2">
        <v>99.84197078</v>
      </c>
      <c r="F259" s="2">
        <v>0.0</v>
      </c>
      <c r="G259" s="2">
        <v>0.1580292158</v>
      </c>
      <c r="H259" s="2">
        <v>0.0</v>
      </c>
      <c r="I259" s="2" t="s">
        <v>64</v>
      </c>
      <c r="J259" s="2" t="s">
        <v>64</v>
      </c>
      <c r="K259" s="2" t="s">
        <v>64</v>
      </c>
      <c r="L259" s="2" t="s">
        <v>64</v>
      </c>
      <c r="M259" s="2" t="s">
        <v>64</v>
      </c>
      <c r="N259" s="2" t="s">
        <v>64</v>
      </c>
      <c r="O259" s="2" t="s">
        <v>64</v>
      </c>
      <c r="P259" s="2" t="s">
        <v>64</v>
      </c>
      <c r="Q259" s="13" t="str">
        <f t="shared" si="1"/>
        <v>Martinique|2020</v>
      </c>
      <c r="R259" s="14" t="str">
        <f t="shared" si="2"/>
        <v> </v>
      </c>
      <c r="T259" s="14" t="b">
        <f t="shared" si="3"/>
        <v>0</v>
      </c>
      <c r="U259" s="14" t="b">
        <f t="shared" si="29"/>
        <v>0</v>
      </c>
      <c r="V259" s="14" t="b">
        <f t="shared" si="4"/>
        <v>0</v>
      </c>
      <c r="W259" s="14">
        <f t="shared" si="5"/>
        <v>100</v>
      </c>
      <c r="X259" s="14" t="b">
        <f t="shared" si="6"/>
        <v>0</v>
      </c>
      <c r="Y259" s="14" t="b">
        <f t="shared" si="7"/>
        <v>0</v>
      </c>
      <c r="Z259" s="14" t="str">
        <f t="shared" si="8"/>
        <v/>
      </c>
      <c r="AA259" s="14" t="str">
        <f t="shared" si="9"/>
        <v/>
      </c>
      <c r="AB259" s="14" t="str">
        <f t="shared" si="10"/>
        <v/>
      </c>
      <c r="AC259" s="14">
        <f t="shared" si="11"/>
        <v>0</v>
      </c>
      <c r="AO259" s="21"/>
      <c r="AP259" s="24"/>
      <c r="AQ259" s="21"/>
      <c r="AS259" s="21"/>
      <c r="AT259" s="24"/>
      <c r="AU259" s="21"/>
      <c r="AX259" s="14" t="str">
        <f t="shared" si="22"/>
        <v>null</v>
      </c>
      <c r="AY259" s="14" t="str">
        <f t="shared" si="23"/>
        <v>null</v>
      </c>
      <c r="AZ259" s="14" t="str">
        <f t="shared" si="24"/>
        <v>null</v>
      </c>
      <c r="BA259" s="17"/>
    </row>
    <row r="260">
      <c r="A260" s="2" t="s">
        <v>191</v>
      </c>
      <c r="B260" s="2">
        <v>2015.0</v>
      </c>
      <c r="C260" s="2">
        <v>4046.303955</v>
      </c>
      <c r="D260" s="2">
        <v>51.0890007</v>
      </c>
      <c r="E260" s="2">
        <v>66.9733094</v>
      </c>
      <c r="F260" s="2">
        <v>14.81165357</v>
      </c>
      <c r="G260" s="2">
        <v>17.63702375</v>
      </c>
      <c r="H260" s="2">
        <v>0.5780132824</v>
      </c>
      <c r="I260" s="2">
        <v>46.69284218</v>
      </c>
      <c r="J260" s="2">
        <v>18.20063085</v>
      </c>
      <c r="K260" s="2">
        <v>33.9247615</v>
      </c>
      <c r="L260" s="2">
        <v>1.181765464</v>
      </c>
      <c r="M260" s="2">
        <v>86.38918859</v>
      </c>
      <c r="N260" s="2">
        <v>11.56715369</v>
      </c>
      <c r="O260" s="2">
        <v>2.043657719</v>
      </c>
      <c r="P260" s="2">
        <v>0.0</v>
      </c>
      <c r="Q260" s="13" t="str">
        <f t="shared" si="1"/>
        <v>Mauritania|2015</v>
      </c>
      <c r="R260" s="14">
        <f t="shared" si="2"/>
        <v>5</v>
      </c>
      <c r="T260" s="14">
        <f t="shared" si="3"/>
        <v>0.941547966</v>
      </c>
      <c r="U260" s="14">
        <f t="shared" si="29"/>
        <v>0.643699344</v>
      </c>
      <c r="V260" s="14">
        <f t="shared" si="4"/>
        <v>0.573901212</v>
      </c>
      <c r="W260" s="14">
        <f t="shared" si="5"/>
        <v>67</v>
      </c>
      <c r="X260" s="14">
        <f t="shared" si="6"/>
        <v>47</v>
      </c>
      <c r="Y260" s="14">
        <f t="shared" si="7"/>
        <v>86</v>
      </c>
      <c r="Z260" s="14" t="str">
        <f t="shared" si="8"/>
        <v/>
      </c>
      <c r="AA260" s="14" t="str">
        <f t="shared" si="9"/>
        <v/>
      </c>
      <c r="AB260" s="14" t="str">
        <f t="shared" si="10"/>
        <v>Fully Accessible</v>
      </c>
      <c r="AC260" s="14">
        <f t="shared" si="11"/>
        <v>0.069798132</v>
      </c>
      <c r="AO260" s="21"/>
      <c r="AP260" s="24"/>
      <c r="AQ260" s="21"/>
      <c r="AS260" s="21"/>
      <c r="AT260" s="24"/>
      <c r="AU260" s="21"/>
      <c r="AX260" s="14">
        <f t="shared" si="22"/>
        <v>8695.964111</v>
      </c>
      <c r="AY260" s="14">
        <f t="shared" si="23"/>
        <v>106.4159966</v>
      </c>
      <c r="AZ260" s="14">
        <f t="shared" si="24"/>
        <v>8589.548114</v>
      </c>
      <c r="BA260" s="27"/>
    </row>
    <row r="261">
      <c r="A261" s="2" t="s">
        <v>191</v>
      </c>
      <c r="B261" s="2">
        <v>2020.0</v>
      </c>
      <c r="C261" s="2">
        <v>4649.660156</v>
      </c>
      <c r="D261" s="2">
        <v>55.32699585</v>
      </c>
      <c r="E261" s="2">
        <v>71.68104923</v>
      </c>
      <c r="F261" s="2">
        <v>13.47689193</v>
      </c>
      <c r="G261" s="2">
        <v>14.82032681</v>
      </c>
      <c r="H261" s="2">
        <v>0.02173203433</v>
      </c>
      <c r="I261" s="2">
        <v>49.9113389</v>
      </c>
      <c r="J261" s="2">
        <v>18.49039689</v>
      </c>
      <c r="K261" s="2">
        <v>31.5496173</v>
      </c>
      <c r="L261" s="2">
        <v>0.04864690722</v>
      </c>
      <c r="M261" s="2">
        <v>89.25869465</v>
      </c>
      <c r="N261" s="2">
        <v>9.428808083</v>
      </c>
      <c r="O261" s="2">
        <v>1.31249727</v>
      </c>
      <c r="P261" s="2">
        <v>0.0</v>
      </c>
      <c r="Q261" s="13" t="str">
        <f t="shared" si="1"/>
        <v>Mauritania|2020</v>
      </c>
      <c r="R261" s="14" t="str">
        <f t="shared" si="2"/>
        <v> </v>
      </c>
      <c r="T261" s="14" t="b">
        <f t="shared" si="3"/>
        <v>0</v>
      </c>
      <c r="U261" s="14" t="b">
        <f t="shared" si="29"/>
        <v>0</v>
      </c>
      <c r="V261" s="14" t="b">
        <f t="shared" si="4"/>
        <v>0</v>
      </c>
      <c r="W261" s="14">
        <f t="shared" si="5"/>
        <v>72</v>
      </c>
      <c r="X261" s="14">
        <f t="shared" si="6"/>
        <v>50</v>
      </c>
      <c r="Y261" s="14">
        <f t="shared" si="7"/>
        <v>89</v>
      </c>
      <c r="Z261" s="14" t="str">
        <f t="shared" si="8"/>
        <v/>
      </c>
      <c r="AA261" s="14" t="str">
        <f t="shared" si="9"/>
        <v/>
      </c>
      <c r="AB261" s="14" t="str">
        <f t="shared" si="10"/>
        <v/>
      </c>
      <c r="AC261" s="14">
        <f t="shared" si="11"/>
        <v>0</v>
      </c>
      <c r="AO261" s="21"/>
      <c r="AP261" s="24"/>
      <c r="AQ261" s="21"/>
      <c r="AS261" s="21"/>
      <c r="AT261" s="24"/>
      <c r="AU261" s="21"/>
      <c r="AX261" s="14" t="str">
        <f t="shared" si="22"/>
        <v>null</v>
      </c>
      <c r="AY261" s="14" t="str">
        <f t="shared" si="23"/>
        <v>null</v>
      </c>
      <c r="AZ261" s="14" t="str">
        <f t="shared" si="24"/>
        <v>null</v>
      </c>
      <c r="BA261" s="27"/>
    </row>
    <row r="262">
      <c r="A262" s="2" t="s">
        <v>192</v>
      </c>
      <c r="B262" s="2">
        <v>2015.0</v>
      </c>
      <c r="C262" s="2">
        <v>1259.457031</v>
      </c>
      <c r="D262" s="2">
        <v>41.0</v>
      </c>
      <c r="E262" s="2">
        <v>99.86648182</v>
      </c>
      <c r="F262" s="2">
        <v>0.0</v>
      </c>
      <c r="G262" s="2">
        <v>0.1335181809</v>
      </c>
      <c r="H262" s="2">
        <v>0.0</v>
      </c>
      <c r="I262" s="2">
        <v>99.82768234</v>
      </c>
      <c r="J262" s="2">
        <v>0.0</v>
      </c>
      <c r="K262" s="2">
        <v>0.1723176618</v>
      </c>
      <c r="L262" s="2">
        <v>0.0</v>
      </c>
      <c r="M262" s="2">
        <v>99.92231522</v>
      </c>
      <c r="N262" s="2">
        <v>0.0</v>
      </c>
      <c r="O262" s="2">
        <v>0.07768478119</v>
      </c>
      <c r="P262" s="2">
        <v>0.0</v>
      </c>
      <c r="Q262" s="13" t="str">
        <f t="shared" si="1"/>
        <v>Mauritius|2015</v>
      </c>
      <c r="R262" s="14">
        <f t="shared" si="2"/>
        <v>5</v>
      </c>
      <c r="T262" s="14">
        <f t="shared" si="3"/>
        <v>-0.000045424</v>
      </c>
      <c r="U262" s="14">
        <f t="shared" si="29"/>
        <v>0</v>
      </c>
      <c r="V262" s="14">
        <f t="shared" si="4"/>
        <v>0</v>
      </c>
      <c r="W262" s="14">
        <f t="shared" si="5"/>
        <v>100</v>
      </c>
      <c r="X262" s="14">
        <f t="shared" si="6"/>
        <v>100</v>
      </c>
      <c r="Y262" s="14">
        <f t="shared" si="7"/>
        <v>100</v>
      </c>
      <c r="Z262" s="14" t="str">
        <f t="shared" si="8"/>
        <v/>
      </c>
      <c r="AA262" s="14" t="str">
        <f t="shared" si="9"/>
        <v/>
      </c>
      <c r="AB262" s="14" t="str">
        <f t="shared" si="10"/>
        <v>Fully Accessible</v>
      </c>
      <c r="AC262" s="14">
        <f t="shared" si="11"/>
        <v>0</v>
      </c>
      <c r="AO262" s="21"/>
      <c r="AP262" s="24"/>
      <c r="AQ262" s="21"/>
      <c r="AS262" s="21"/>
      <c r="AT262" s="24"/>
      <c r="AU262" s="21"/>
      <c r="AX262" s="14">
        <f t="shared" si="22"/>
        <v>2531.223999</v>
      </c>
      <c r="AY262" s="14">
        <f t="shared" si="23"/>
        <v>81.75999832</v>
      </c>
      <c r="AZ262" s="14">
        <f t="shared" si="24"/>
        <v>2449.464001</v>
      </c>
      <c r="BA262" s="17"/>
    </row>
    <row r="263">
      <c r="A263" s="2" t="s">
        <v>192</v>
      </c>
      <c r="B263" s="2">
        <v>2020.0</v>
      </c>
      <c r="C263" s="2">
        <v>1271.766968</v>
      </c>
      <c r="D263" s="2">
        <v>40.75999832</v>
      </c>
      <c r="E263" s="2">
        <v>99.8662547</v>
      </c>
      <c r="F263" s="2">
        <v>0.0</v>
      </c>
      <c r="G263" s="2">
        <v>0.1337453014</v>
      </c>
      <c r="H263" s="2">
        <v>0.0</v>
      </c>
      <c r="I263" s="2">
        <v>99.82768234</v>
      </c>
      <c r="J263" s="2">
        <v>0.0</v>
      </c>
      <c r="K263" s="2">
        <v>0.1723176618</v>
      </c>
      <c r="L263" s="2">
        <v>0.0</v>
      </c>
      <c r="M263" s="2">
        <v>99.92231522</v>
      </c>
      <c r="N263" s="2">
        <v>0.0</v>
      </c>
      <c r="O263" s="2">
        <v>0.07768478119</v>
      </c>
      <c r="P263" s="2">
        <v>0.0</v>
      </c>
      <c r="Q263" s="13" t="str">
        <f t="shared" si="1"/>
        <v>Mauritius|2020</v>
      </c>
      <c r="R263" s="14" t="str">
        <f t="shared" si="2"/>
        <v> </v>
      </c>
      <c r="T263" s="14" t="b">
        <f t="shared" si="3"/>
        <v>0</v>
      </c>
      <c r="U263" s="14" t="b">
        <f t="shared" si="29"/>
        <v>0</v>
      </c>
      <c r="V263" s="14" t="b">
        <f t="shared" si="4"/>
        <v>0</v>
      </c>
      <c r="W263" s="14">
        <f t="shared" si="5"/>
        <v>100</v>
      </c>
      <c r="X263" s="14">
        <f t="shared" si="6"/>
        <v>100</v>
      </c>
      <c r="Y263" s="14">
        <f t="shared" si="7"/>
        <v>100</v>
      </c>
      <c r="Z263" s="14" t="str">
        <f t="shared" si="8"/>
        <v/>
      </c>
      <c r="AA263" s="14" t="str">
        <f t="shared" si="9"/>
        <v/>
      </c>
      <c r="AB263" s="14" t="str">
        <f t="shared" si="10"/>
        <v/>
      </c>
      <c r="AC263" s="14">
        <f t="shared" si="11"/>
        <v>0</v>
      </c>
      <c r="AO263" s="21"/>
      <c r="AP263" s="24"/>
      <c r="AQ263" s="21"/>
      <c r="AS263" s="21"/>
      <c r="AT263" s="24"/>
      <c r="AU263" s="21"/>
      <c r="AX263" s="14" t="str">
        <f t="shared" si="22"/>
        <v>null</v>
      </c>
      <c r="AY263" s="14" t="str">
        <f t="shared" si="23"/>
        <v>null</v>
      </c>
      <c r="AZ263" s="14" t="str">
        <f t="shared" si="24"/>
        <v>null</v>
      </c>
      <c r="BA263" s="17"/>
    </row>
    <row r="264">
      <c r="A264" s="2" t="s">
        <v>193</v>
      </c>
      <c r="B264" s="2">
        <v>2015.0</v>
      </c>
      <c r="C264" s="2">
        <v>240.0110016</v>
      </c>
      <c r="D264" s="2">
        <v>46.98900223</v>
      </c>
      <c r="E264" s="2">
        <v>96.83781128</v>
      </c>
      <c r="F264" s="2">
        <v>0.0</v>
      </c>
      <c r="G264" s="2">
        <v>0.2820184669</v>
      </c>
      <c r="H264" s="2">
        <v>2.880170256</v>
      </c>
      <c r="I264" s="2" t="s">
        <v>64</v>
      </c>
      <c r="J264" s="2" t="s">
        <v>64</v>
      </c>
      <c r="K264" s="2" t="s">
        <v>64</v>
      </c>
      <c r="L264" s="2" t="s">
        <v>64</v>
      </c>
      <c r="M264" s="2" t="s">
        <v>64</v>
      </c>
      <c r="N264" s="2" t="s">
        <v>64</v>
      </c>
      <c r="O264" s="2" t="s">
        <v>64</v>
      </c>
      <c r="P264" s="2" t="s">
        <v>64</v>
      </c>
      <c r="Q264" s="13" t="str">
        <f t="shared" si="1"/>
        <v>Mayotte|2015</v>
      </c>
      <c r="R264" s="14">
        <f t="shared" si="2"/>
        <v>5</v>
      </c>
      <c r="T264" s="14">
        <f t="shared" si="3"/>
        <v>-0.093326314</v>
      </c>
      <c r="U264" s="14" t="str">
        <f t="shared" si="29"/>
        <v>null</v>
      </c>
      <c r="V264" s="14" t="str">
        <f t="shared" si="4"/>
        <v>null</v>
      </c>
      <c r="W264" s="14">
        <f t="shared" si="5"/>
        <v>97</v>
      </c>
      <c r="X264" s="14" t="b">
        <f t="shared" si="6"/>
        <v>0</v>
      </c>
      <c r="Y264" s="14" t="b">
        <f t="shared" si="7"/>
        <v>0</v>
      </c>
      <c r="Z264" s="14" t="str">
        <f t="shared" si="8"/>
        <v/>
      </c>
      <c r="AA264" s="14" t="str">
        <f t="shared" si="9"/>
        <v>Fully Accessible</v>
      </c>
      <c r="AB264" s="14" t="str">
        <f t="shared" si="10"/>
        <v>Fully Accessible</v>
      </c>
      <c r="AC264" s="14" t="b">
        <f t="shared" si="11"/>
        <v>0</v>
      </c>
      <c r="AO264" s="21"/>
      <c r="AP264" s="24"/>
      <c r="AQ264" s="21"/>
      <c r="AS264" s="21"/>
      <c r="AT264" s="24"/>
      <c r="AU264" s="21"/>
      <c r="AX264" s="14">
        <f t="shared" si="22"/>
        <v>512.8239899</v>
      </c>
      <c r="AY264" s="14">
        <f t="shared" si="23"/>
        <v>92.74000168</v>
      </c>
      <c r="AZ264" s="14">
        <f t="shared" si="24"/>
        <v>420.0839882</v>
      </c>
      <c r="BA264" s="17"/>
    </row>
    <row r="265">
      <c r="A265" s="2" t="s">
        <v>193</v>
      </c>
      <c r="B265" s="2">
        <v>2020.0</v>
      </c>
      <c r="C265" s="2">
        <v>272.8129883</v>
      </c>
      <c r="D265" s="2">
        <v>45.75099945</v>
      </c>
      <c r="E265" s="2">
        <v>96.37117971</v>
      </c>
      <c r="F265" s="2">
        <v>0.0</v>
      </c>
      <c r="G265" s="2">
        <v>3.628820295</v>
      </c>
      <c r="H265" s="2" t="s">
        <v>64</v>
      </c>
      <c r="I265" s="2" t="s">
        <v>64</v>
      </c>
      <c r="J265" s="2" t="s">
        <v>64</v>
      </c>
      <c r="K265" s="2" t="s">
        <v>64</v>
      </c>
      <c r="L265" s="2" t="s">
        <v>64</v>
      </c>
      <c r="M265" s="2" t="s">
        <v>64</v>
      </c>
      <c r="N265" s="2" t="s">
        <v>64</v>
      </c>
      <c r="O265" s="2" t="s">
        <v>64</v>
      </c>
      <c r="P265" s="2" t="s">
        <v>64</v>
      </c>
      <c r="Q265" s="13" t="str">
        <f t="shared" si="1"/>
        <v>Mayotte|2020</v>
      </c>
      <c r="R265" s="14" t="str">
        <f t="shared" si="2"/>
        <v> </v>
      </c>
      <c r="T265" s="14" t="b">
        <f t="shared" si="3"/>
        <v>0</v>
      </c>
      <c r="U265" s="14" t="b">
        <f t="shared" si="29"/>
        <v>0</v>
      </c>
      <c r="V265" s="14" t="b">
        <f t="shared" si="4"/>
        <v>0</v>
      </c>
      <c r="W265" s="14">
        <f t="shared" si="5"/>
        <v>96</v>
      </c>
      <c r="X265" s="14" t="b">
        <f t="shared" si="6"/>
        <v>0</v>
      </c>
      <c r="Y265" s="14" t="b">
        <f t="shared" si="7"/>
        <v>0</v>
      </c>
      <c r="Z265" s="14" t="str">
        <f t="shared" si="8"/>
        <v/>
      </c>
      <c r="AA265" s="14" t="str">
        <f t="shared" si="9"/>
        <v/>
      </c>
      <c r="AB265" s="14" t="str">
        <f t="shared" si="10"/>
        <v/>
      </c>
      <c r="AC265" s="14">
        <f t="shared" si="11"/>
        <v>0</v>
      </c>
      <c r="AO265" s="21"/>
      <c r="AP265" s="24"/>
      <c r="AQ265" s="21"/>
      <c r="AS265" s="21"/>
      <c r="AT265" s="24"/>
      <c r="AU265" s="21"/>
      <c r="AX265" s="14" t="str">
        <f t="shared" si="22"/>
        <v>null</v>
      </c>
      <c r="AY265" s="14" t="str">
        <f t="shared" si="23"/>
        <v>null</v>
      </c>
      <c r="AZ265" s="14" t="str">
        <f t="shared" si="24"/>
        <v>null</v>
      </c>
      <c r="BA265" s="8"/>
    </row>
    <row r="266">
      <c r="A266" s="2" t="s">
        <v>194</v>
      </c>
      <c r="B266" s="2">
        <v>2015.0</v>
      </c>
      <c r="C266" s="2">
        <v>121858.25</v>
      </c>
      <c r="D266" s="2">
        <v>79.28499603</v>
      </c>
      <c r="E266" s="2">
        <v>98.02544354</v>
      </c>
      <c r="F266" s="2">
        <v>0.0</v>
      </c>
      <c r="G266" s="2">
        <v>1.412360964</v>
      </c>
      <c r="H266" s="2">
        <v>0.5621954921</v>
      </c>
      <c r="I266" s="2">
        <v>93.28669403</v>
      </c>
      <c r="J266" s="2">
        <v>0.0</v>
      </c>
      <c r="K266" s="2">
        <v>4.310938852</v>
      </c>
      <c r="L266" s="2">
        <v>2.402367121</v>
      </c>
      <c r="M266" s="2">
        <v>99.2635529</v>
      </c>
      <c r="N266" s="2">
        <v>0.0</v>
      </c>
      <c r="O266" s="2">
        <v>0.655038006</v>
      </c>
      <c r="P266" s="2">
        <v>0.08140909465</v>
      </c>
      <c r="Q266" s="13" t="str">
        <f t="shared" si="1"/>
        <v>Mexico|2015</v>
      </c>
      <c r="R266" s="14">
        <f t="shared" si="2"/>
        <v>5</v>
      </c>
      <c r="T266" s="14">
        <f t="shared" si="3"/>
        <v>0.330824948</v>
      </c>
      <c r="U266" s="14">
        <f t="shared" si="29"/>
        <v>1.01007498</v>
      </c>
      <c r="V266" s="14">
        <f t="shared" si="4"/>
        <v>0.14728942</v>
      </c>
      <c r="W266" s="14">
        <f t="shared" si="5"/>
        <v>98</v>
      </c>
      <c r="X266" s="14">
        <f t="shared" si="6"/>
        <v>93</v>
      </c>
      <c r="Y266" s="14">
        <f t="shared" si="7"/>
        <v>99</v>
      </c>
      <c r="Z266" s="14" t="str">
        <f t="shared" si="8"/>
        <v/>
      </c>
      <c r="AA266" s="14" t="str">
        <f t="shared" si="9"/>
        <v/>
      </c>
      <c r="AB266" s="14" t="str">
        <f t="shared" si="10"/>
        <v>Fully Accessible</v>
      </c>
      <c r="AC266" s="14">
        <f t="shared" si="11"/>
        <v>0.86278556</v>
      </c>
      <c r="AO266" s="21"/>
      <c r="AP266" s="24"/>
      <c r="AQ266" s="21"/>
      <c r="AS266" s="21"/>
      <c r="AT266" s="24"/>
      <c r="AU266" s="21"/>
      <c r="AX266" s="14">
        <f t="shared" si="22"/>
        <v>250791</v>
      </c>
      <c r="AY266" s="14">
        <f t="shared" si="23"/>
        <v>160.0159912</v>
      </c>
      <c r="AZ266" s="14">
        <f t="shared" si="24"/>
        <v>250630.984</v>
      </c>
      <c r="BA266" s="27"/>
    </row>
    <row r="267">
      <c r="A267" s="2" t="s">
        <v>194</v>
      </c>
      <c r="B267" s="2">
        <v>2020.0</v>
      </c>
      <c r="C267" s="2">
        <v>128932.75</v>
      </c>
      <c r="D267" s="2">
        <v>80.73099518</v>
      </c>
      <c r="E267" s="2">
        <v>99.67956828</v>
      </c>
      <c r="F267" s="2">
        <v>0.0</v>
      </c>
      <c r="G267" s="2">
        <v>0.3204317169</v>
      </c>
      <c r="H267" s="2">
        <v>0.0</v>
      </c>
      <c r="I267" s="2">
        <v>98.33706893</v>
      </c>
      <c r="J267" s="2">
        <v>0.0</v>
      </c>
      <c r="K267" s="2">
        <v>1.662931067</v>
      </c>
      <c r="L267" s="2">
        <v>0.0</v>
      </c>
      <c r="M267" s="2">
        <v>100.0</v>
      </c>
      <c r="N267" s="2">
        <v>0.0</v>
      </c>
      <c r="O267" s="2">
        <v>0.0</v>
      </c>
      <c r="P267" s="2">
        <v>0.0</v>
      </c>
      <c r="Q267" s="13" t="str">
        <f t="shared" si="1"/>
        <v>Mexico|2020</v>
      </c>
      <c r="R267" s="14" t="str">
        <f t="shared" si="2"/>
        <v> </v>
      </c>
      <c r="T267" s="14" t="b">
        <f t="shared" si="3"/>
        <v>0</v>
      </c>
      <c r="U267" s="14" t="b">
        <f t="shared" si="29"/>
        <v>0</v>
      </c>
      <c r="V267" s="14" t="b">
        <f t="shared" si="4"/>
        <v>0</v>
      </c>
      <c r="W267" s="14">
        <f t="shared" si="5"/>
        <v>100</v>
      </c>
      <c r="X267" s="14">
        <f t="shared" si="6"/>
        <v>98</v>
      </c>
      <c r="Y267" s="14">
        <f t="shared" si="7"/>
        <v>100</v>
      </c>
      <c r="Z267" s="14" t="str">
        <f t="shared" si="8"/>
        <v/>
      </c>
      <c r="AA267" s="14" t="str">
        <f t="shared" si="9"/>
        <v/>
      </c>
      <c r="AB267" s="14" t="str">
        <f t="shared" si="10"/>
        <v/>
      </c>
      <c r="AC267" s="14">
        <f t="shared" si="11"/>
        <v>0</v>
      </c>
      <c r="AO267" s="21"/>
      <c r="AP267" s="24"/>
      <c r="AQ267" s="21"/>
      <c r="AS267" s="21"/>
      <c r="AT267" s="24"/>
      <c r="AU267" s="21"/>
      <c r="AX267" s="14" t="str">
        <f t="shared" si="22"/>
        <v>null</v>
      </c>
      <c r="AY267" s="14" t="str">
        <f t="shared" si="23"/>
        <v>null</v>
      </c>
      <c r="AZ267" s="14" t="str">
        <f t="shared" si="24"/>
        <v>null</v>
      </c>
      <c r="BA267" s="17"/>
    </row>
    <row r="268">
      <c r="A268" s="2" t="s">
        <v>195</v>
      </c>
      <c r="B268" s="2">
        <v>2015.0</v>
      </c>
      <c r="C268" s="2">
        <v>108.8860016</v>
      </c>
      <c r="D268" s="2">
        <v>22.45599937</v>
      </c>
      <c r="E268" s="2">
        <v>88.30815668</v>
      </c>
      <c r="F268" s="2">
        <v>0.0</v>
      </c>
      <c r="G268" s="2">
        <v>11.69184332</v>
      </c>
      <c r="H268" s="2" t="s">
        <v>64</v>
      </c>
      <c r="I268" s="2" t="s">
        <v>64</v>
      </c>
      <c r="J268" s="2" t="s">
        <v>64</v>
      </c>
      <c r="K268" s="2" t="s">
        <v>64</v>
      </c>
      <c r="L268" s="2" t="s">
        <v>64</v>
      </c>
      <c r="M268" s="2" t="s">
        <v>64</v>
      </c>
      <c r="N268" s="2" t="s">
        <v>64</v>
      </c>
      <c r="O268" s="2" t="s">
        <v>64</v>
      </c>
      <c r="P268" s="2" t="s">
        <v>64</v>
      </c>
      <c r="Q268" s="13" t="str">
        <f t="shared" si="1"/>
        <v>Micronesia (Federated States of)|2015</v>
      </c>
      <c r="R268" s="14">
        <f t="shared" si="2"/>
        <v>4</v>
      </c>
      <c r="T268" s="14">
        <f t="shared" si="3"/>
        <v>0</v>
      </c>
      <c r="U268" s="14" t="str">
        <f t="shared" si="29"/>
        <v>null</v>
      </c>
      <c r="V268" s="14" t="str">
        <f t="shared" si="4"/>
        <v>null</v>
      </c>
      <c r="W268" s="14">
        <f t="shared" si="5"/>
        <v>88</v>
      </c>
      <c r="X268" s="14" t="b">
        <f t="shared" si="6"/>
        <v>0</v>
      </c>
      <c r="Y268" s="14" t="b">
        <f t="shared" si="7"/>
        <v>0</v>
      </c>
      <c r="Z268" s="14" t="str">
        <f t="shared" si="8"/>
        <v/>
      </c>
      <c r="AA268" s="14" t="str">
        <f t="shared" si="9"/>
        <v>Fully Accessible</v>
      </c>
      <c r="AB268" s="14" t="str">
        <f t="shared" si="10"/>
        <v>Fully Accessible</v>
      </c>
      <c r="AC268" s="14" t="b">
        <f t="shared" si="11"/>
        <v>0</v>
      </c>
      <c r="AO268" s="21"/>
      <c r="AP268" s="24"/>
      <c r="AQ268" s="21"/>
      <c r="AS268" s="21"/>
      <c r="AT268" s="24"/>
      <c r="AU268" s="21"/>
      <c r="AX268" s="14">
        <f t="shared" si="22"/>
        <v>222.6969986</v>
      </c>
      <c r="AY268" s="14">
        <f t="shared" si="23"/>
        <v>45.26799964</v>
      </c>
      <c r="AZ268" s="14">
        <f t="shared" si="24"/>
        <v>177.428999</v>
      </c>
      <c r="BA268" s="27"/>
    </row>
    <row r="269">
      <c r="A269" s="2" t="s">
        <v>195</v>
      </c>
      <c r="B269" s="2">
        <v>2019.0</v>
      </c>
      <c r="C269" s="2">
        <v>113.810997</v>
      </c>
      <c r="D269" s="2">
        <v>22.81200027</v>
      </c>
      <c r="E269" s="2">
        <v>88.30815668</v>
      </c>
      <c r="F269" s="2">
        <v>0.0</v>
      </c>
      <c r="G269" s="2">
        <v>11.69184332</v>
      </c>
      <c r="H269" s="2" t="s">
        <v>64</v>
      </c>
      <c r="I269" s="2" t="s">
        <v>64</v>
      </c>
      <c r="J269" s="2" t="s">
        <v>64</v>
      </c>
      <c r="K269" s="2" t="s">
        <v>64</v>
      </c>
      <c r="L269" s="2" t="s">
        <v>64</v>
      </c>
      <c r="M269" s="2" t="s">
        <v>64</v>
      </c>
      <c r="N269" s="2" t="s">
        <v>64</v>
      </c>
      <c r="O269" s="2" t="s">
        <v>64</v>
      </c>
      <c r="P269" s="2" t="s">
        <v>64</v>
      </c>
      <c r="Q269" s="13" t="str">
        <f t="shared" si="1"/>
        <v>Micronesia (Federated States of)|2019</v>
      </c>
      <c r="R269" s="14" t="str">
        <f t="shared" si="2"/>
        <v> </v>
      </c>
      <c r="T269" s="14" t="b">
        <f t="shared" si="3"/>
        <v>0</v>
      </c>
      <c r="U269" s="14" t="b">
        <f t="shared" si="29"/>
        <v>0</v>
      </c>
      <c r="V269" s="14" t="b">
        <f t="shared" si="4"/>
        <v>0</v>
      </c>
      <c r="W269" s="14">
        <f t="shared" si="5"/>
        <v>88</v>
      </c>
      <c r="X269" s="14" t="b">
        <f t="shared" si="6"/>
        <v>0</v>
      </c>
      <c r="Y269" s="14" t="b">
        <f t="shared" si="7"/>
        <v>0</v>
      </c>
      <c r="Z269" s="14" t="str">
        <f t="shared" si="8"/>
        <v/>
      </c>
      <c r="AA269" s="14" t="str">
        <f t="shared" si="9"/>
        <v/>
      </c>
      <c r="AB269" s="14" t="str">
        <f t="shared" si="10"/>
        <v/>
      </c>
      <c r="AC269" s="14">
        <f t="shared" si="11"/>
        <v>0</v>
      </c>
      <c r="AO269" s="21"/>
      <c r="AP269" s="24"/>
      <c r="AQ269" s="21"/>
      <c r="AS269" s="21"/>
      <c r="AT269" s="24"/>
      <c r="AU269" s="21"/>
      <c r="AX269" s="14" t="str">
        <f t="shared" si="22"/>
        <v>null</v>
      </c>
      <c r="AY269" s="14" t="str">
        <f t="shared" si="23"/>
        <v>null</v>
      </c>
      <c r="AZ269" s="14" t="str">
        <f t="shared" si="24"/>
        <v>null</v>
      </c>
      <c r="BA269" s="27"/>
    </row>
    <row r="270">
      <c r="A270" s="2" t="s">
        <v>196</v>
      </c>
      <c r="B270" s="2">
        <v>2015.0</v>
      </c>
      <c r="C270" s="2">
        <v>37.72299957</v>
      </c>
      <c r="D270" s="2">
        <v>100.0</v>
      </c>
      <c r="E270" s="2">
        <v>100.0</v>
      </c>
      <c r="F270" s="2">
        <v>0.0</v>
      </c>
      <c r="G270" s="2">
        <v>0.0</v>
      </c>
      <c r="H270" s="2">
        <v>0.0</v>
      </c>
      <c r="I270" s="2" t="s">
        <v>64</v>
      </c>
      <c r="J270" s="2" t="s">
        <v>64</v>
      </c>
      <c r="K270" s="2" t="s">
        <v>64</v>
      </c>
      <c r="L270" s="2" t="s">
        <v>64</v>
      </c>
      <c r="M270" s="2">
        <v>100.0</v>
      </c>
      <c r="N270" s="2">
        <v>0.0</v>
      </c>
      <c r="O270" s="2">
        <v>0.0</v>
      </c>
      <c r="P270" s="2">
        <v>0.0</v>
      </c>
      <c r="Q270" s="13" t="str">
        <f t="shared" si="1"/>
        <v>Monaco|2015</v>
      </c>
      <c r="R270" s="14">
        <f t="shared" si="2"/>
        <v>5</v>
      </c>
      <c r="T270" s="14">
        <f t="shared" si="3"/>
        <v>0</v>
      </c>
      <c r="U270" s="14" t="str">
        <f t="shared" si="29"/>
        <v>null</v>
      </c>
      <c r="V270" s="14">
        <f t="shared" si="4"/>
        <v>0</v>
      </c>
      <c r="W270" s="14">
        <f t="shared" si="5"/>
        <v>100</v>
      </c>
      <c r="X270" s="14" t="b">
        <f t="shared" si="6"/>
        <v>0</v>
      </c>
      <c r="Y270" s="14">
        <f t="shared" si="7"/>
        <v>100</v>
      </c>
      <c r="Z270" s="14" t="str">
        <f t="shared" si="8"/>
        <v/>
      </c>
      <c r="AA270" s="14" t="str">
        <f t="shared" si="9"/>
        <v>Fully Accessible</v>
      </c>
      <c r="AB270" s="14" t="str">
        <f t="shared" si="10"/>
        <v>Fully Accessible</v>
      </c>
      <c r="AC270" s="14" t="b">
        <f t="shared" si="11"/>
        <v>0</v>
      </c>
      <c r="AO270" s="21"/>
      <c r="AP270" s="24"/>
      <c r="AQ270" s="21"/>
      <c r="AS270" s="21"/>
      <c r="AT270" s="24"/>
      <c r="AU270" s="21"/>
      <c r="AX270" s="14">
        <f t="shared" si="22"/>
        <v>76.96699905</v>
      </c>
      <c r="AY270" s="14">
        <f t="shared" si="23"/>
        <v>200</v>
      </c>
      <c r="AZ270" s="14">
        <f t="shared" si="24"/>
        <v>-123.033001</v>
      </c>
      <c r="BA270" s="17"/>
    </row>
    <row r="271">
      <c r="A271" s="2" t="s">
        <v>196</v>
      </c>
      <c r="B271" s="2">
        <v>2020.0</v>
      </c>
      <c r="C271" s="2">
        <v>39.24399948</v>
      </c>
      <c r="D271" s="2">
        <v>100.0</v>
      </c>
      <c r="E271" s="2">
        <v>100.0</v>
      </c>
      <c r="F271" s="2">
        <v>0.0</v>
      </c>
      <c r="G271" s="2">
        <v>0.0</v>
      </c>
      <c r="H271" s="2">
        <v>0.0</v>
      </c>
      <c r="I271" s="2" t="s">
        <v>64</v>
      </c>
      <c r="J271" s="2" t="s">
        <v>64</v>
      </c>
      <c r="K271" s="2" t="s">
        <v>64</v>
      </c>
      <c r="L271" s="2" t="s">
        <v>64</v>
      </c>
      <c r="M271" s="2">
        <v>100.0</v>
      </c>
      <c r="N271" s="2">
        <v>0.0</v>
      </c>
      <c r="O271" s="2">
        <v>0.0</v>
      </c>
      <c r="P271" s="2">
        <v>0.0</v>
      </c>
      <c r="Q271" s="13" t="str">
        <f t="shared" si="1"/>
        <v>Monaco|2020</v>
      </c>
      <c r="R271" s="14" t="str">
        <f t="shared" si="2"/>
        <v> </v>
      </c>
      <c r="T271" s="14" t="b">
        <f t="shared" si="3"/>
        <v>0</v>
      </c>
      <c r="U271" s="14" t="b">
        <f t="shared" si="29"/>
        <v>0</v>
      </c>
      <c r="V271" s="14" t="b">
        <f t="shared" si="4"/>
        <v>0</v>
      </c>
      <c r="W271" s="14">
        <f t="shared" si="5"/>
        <v>100</v>
      </c>
      <c r="X271" s="14" t="b">
        <f t="shared" si="6"/>
        <v>0</v>
      </c>
      <c r="Y271" s="14">
        <f t="shared" si="7"/>
        <v>100</v>
      </c>
      <c r="Z271" s="14" t="str">
        <f t="shared" si="8"/>
        <v/>
      </c>
      <c r="AA271" s="14" t="str">
        <f t="shared" si="9"/>
        <v/>
      </c>
      <c r="AB271" s="14" t="str">
        <f t="shared" si="10"/>
        <v/>
      </c>
      <c r="AC271" s="14">
        <f t="shared" si="11"/>
        <v>0</v>
      </c>
      <c r="AO271" s="21"/>
      <c r="AP271" s="24"/>
      <c r="AQ271" s="21"/>
      <c r="AS271" s="21"/>
      <c r="AT271" s="24"/>
      <c r="AU271" s="21"/>
      <c r="AX271" s="14" t="str">
        <f t="shared" si="22"/>
        <v>null</v>
      </c>
      <c r="AY271" s="14" t="str">
        <f t="shared" si="23"/>
        <v>null</v>
      </c>
      <c r="AZ271" s="14" t="str">
        <f t="shared" si="24"/>
        <v>null</v>
      </c>
      <c r="BA271" s="17"/>
    </row>
    <row r="272">
      <c r="A272" s="2" t="s">
        <v>197</v>
      </c>
      <c r="B272" s="2">
        <v>2015.0</v>
      </c>
      <c r="C272" s="2">
        <v>2998.433105</v>
      </c>
      <c r="D272" s="2">
        <v>68.22999573</v>
      </c>
      <c r="E272" s="2">
        <v>80.81301209</v>
      </c>
      <c r="F272" s="2">
        <v>3.905181378</v>
      </c>
      <c r="G272" s="2">
        <v>7.578644581</v>
      </c>
      <c r="H272" s="2">
        <v>7.70316195</v>
      </c>
      <c r="I272" s="2">
        <v>52.09388801</v>
      </c>
      <c r="J272" s="2">
        <v>5.33358915</v>
      </c>
      <c r="K272" s="2">
        <v>18.71864336</v>
      </c>
      <c r="L272" s="2">
        <v>23.85387948</v>
      </c>
      <c r="M272" s="2">
        <v>94.18552724</v>
      </c>
      <c r="N272" s="2">
        <v>3.240070405</v>
      </c>
      <c r="O272" s="2">
        <v>2.391515544</v>
      </c>
      <c r="P272" s="2">
        <v>0.1828868106</v>
      </c>
      <c r="Q272" s="13" t="str">
        <f t="shared" si="1"/>
        <v>Mongolia|2015</v>
      </c>
      <c r="R272" s="14">
        <f t="shared" si="2"/>
        <v>5</v>
      </c>
      <c r="T272" s="14">
        <f t="shared" si="3"/>
        <v>0.936522636</v>
      </c>
      <c r="U272" s="14">
        <f t="shared" si="29"/>
        <v>1.795372626</v>
      </c>
      <c r="V272" s="14">
        <f t="shared" si="4"/>
        <v>0.492087668</v>
      </c>
      <c r="W272" s="14">
        <f t="shared" si="5"/>
        <v>81</v>
      </c>
      <c r="X272" s="14">
        <f t="shared" si="6"/>
        <v>52</v>
      </c>
      <c r="Y272" s="14">
        <f t="shared" si="7"/>
        <v>94</v>
      </c>
      <c r="Z272" s="14" t="str">
        <f t="shared" si="8"/>
        <v/>
      </c>
      <c r="AA272" s="14" t="str">
        <f t="shared" si="9"/>
        <v/>
      </c>
      <c r="AB272" s="14" t="str">
        <f t="shared" si="10"/>
        <v>Fully Accessible</v>
      </c>
      <c r="AC272" s="14">
        <f t="shared" si="11"/>
        <v>1.303284958</v>
      </c>
      <c r="AO272" s="21"/>
      <c r="AP272" s="24"/>
      <c r="AQ272" s="21"/>
      <c r="AS272" s="21"/>
      <c r="AT272" s="24"/>
      <c r="AU272" s="21"/>
      <c r="AX272" s="14">
        <f t="shared" si="22"/>
        <v>6276.725097</v>
      </c>
      <c r="AY272" s="14">
        <f t="shared" si="23"/>
        <v>136.8869934</v>
      </c>
      <c r="AZ272" s="14">
        <f t="shared" si="24"/>
        <v>6139.838104</v>
      </c>
      <c r="BA272" s="17"/>
    </row>
    <row r="273">
      <c r="A273" s="2" t="s">
        <v>197</v>
      </c>
      <c r="B273" s="2">
        <v>2020.0</v>
      </c>
      <c r="C273" s="2">
        <v>3278.291992</v>
      </c>
      <c r="D273" s="2">
        <v>68.65699768</v>
      </c>
      <c r="E273" s="2">
        <v>85.49562527</v>
      </c>
      <c r="F273" s="2">
        <v>2.14642893</v>
      </c>
      <c r="G273" s="2">
        <v>6.633366714</v>
      </c>
      <c r="H273" s="2">
        <v>5.724579081</v>
      </c>
      <c r="I273" s="2">
        <v>61.07075114</v>
      </c>
      <c r="J273" s="2">
        <v>3.084170572</v>
      </c>
      <c r="K273" s="2">
        <v>17.58078116</v>
      </c>
      <c r="L273" s="2">
        <v>18.26429713</v>
      </c>
      <c r="M273" s="2">
        <v>96.64596558</v>
      </c>
      <c r="N273" s="2">
        <v>1.718335079</v>
      </c>
      <c r="O273" s="2">
        <v>1.635699341</v>
      </c>
      <c r="P273" s="2">
        <v>0.0</v>
      </c>
      <c r="Q273" s="13" t="str">
        <f t="shared" si="1"/>
        <v>Mongolia|2020</v>
      </c>
      <c r="R273" s="14" t="str">
        <f t="shared" si="2"/>
        <v> </v>
      </c>
      <c r="T273" s="14" t="b">
        <f t="shared" si="3"/>
        <v>0</v>
      </c>
      <c r="U273" s="14" t="b">
        <f t="shared" si="29"/>
        <v>0</v>
      </c>
      <c r="V273" s="14" t="b">
        <f t="shared" si="4"/>
        <v>0</v>
      </c>
      <c r="W273" s="14">
        <f t="shared" si="5"/>
        <v>85</v>
      </c>
      <c r="X273" s="14">
        <f t="shared" si="6"/>
        <v>61</v>
      </c>
      <c r="Y273" s="14">
        <f t="shared" si="7"/>
        <v>97</v>
      </c>
      <c r="Z273" s="14" t="str">
        <f t="shared" si="8"/>
        <v/>
      </c>
      <c r="AA273" s="14" t="str">
        <f t="shared" si="9"/>
        <v/>
      </c>
      <c r="AB273" s="14" t="str">
        <f t="shared" si="10"/>
        <v/>
      </c>
      <c r="AC273" s="14">
        <f t="shared" si="11"/>
        <v>0</v>
      </c>
      <c r="AO273" s="21"/>
      <c r="AP273" s="24"/>
      <c r="AQ273" s="21"/>
      <c r="AS273" s="21"/>
      <c r="AT273" s="24"/>
      <c r="AU273" s="21"/>
      <c r="AX273" s="14" t="str">
        <f t="shared" si="22"/>
        <v>null</v>
      </c>
      <c r="AY273" s="14" t="str">
        <f t="shared" si="23"/>
        <v>null</v>
      </c>
      <c r="AZ273" s="14" t="str">
        <f t="shared" si="24"/>
        <v>null</v>
      </c>
      <c r="BA273" s="8"/>
    </row>
    <row r="274">
      <c r="A274" s="2" t="s">
        <v>198</v>
      </c>
      <c r="B274" s="2">
        <v>2015.0</v>
      </c>
      <c r="C274" s="2">
        <v>626.9569702</v>
      </c>
      <c r="D274" s="2">
        <v>65.80599976</v>
      </c>
      <c r="E274" s="2">
        <v>97.39129537</v>
      </c>
      <c r="F274" s="2">
        <v>1.68690191</v>
      </c>
      <c r="G274" s="2">
        <v>0.8814458462</v>
      </c>
      <c r="H274" s="2">
        <v>0.04035686954</v>
      </c>
      <c r="I274" s="2">
        <v>95.96066218</v>
      </c>
      <c r="J274" s="2">
        <v>1.539303155</v>
      </c>
      <c r="K274" s="2">
        <v>2.38201141</v>
      </c>
      <c r="L274" s="2">
        <v>0.1180232558</v>
      </c>
      <c r="M274" s="2">
        <v>98.13467845</v>
      </c>
      <c r="N274" s="2">
        <v>1.763596913</v>
      </c>
      <c r="O274" s="2">
        <v>0.101724636</v>
      </c>
      <c r="P274" s="2">
        <v>0.0</v>
      </c>
      <c r="Q274" s="13" t="str">
        <f t="shared" si="1"/>
        <v>Montenegro|2015</v>
      </c>
      <c r="R274" s="14">
        <f t="shared" si="2"/>
        <v>5</v>
      </c>
      <c r="T274" s="14">
        <f t="shared" si="3"/>
        <v>0.29312423</v>
      </c>
      <c r="U274" s="14">
        <f t="shared" si="29"/>
        <v>0.440245072</v>
      </c>
      <c r="V274" s="14">
        <f t="shared" si="4"/>
        <v>0.211412228</v>
      </c>
      <c r="W274" s="14">
        <f t="shared" si="5"/>
        <v>97</v>
      </c>
      <c r="X274" s="14">
        <f t="shared" si="6"/>
        <v>96</v>
      </c>
      <c r="Y274" s="14">
        <f t="shared" si="7"/>
        <v>98</v>
      </c>
      <c r="Z274" s="14" t="str">
        <f t="shared" si="8"/>
        <v/>
      </c>
      <c r="AA274" s="14" t="str">
        <f t="shared" si="9"/>
        <v/>
      </c>
      <c r="AB274" s="14" t="str">
        <f t="shared" si="10"/>
        <v>Fully Accessible</v>
      </c>
      <c r="AC274" s="14">
        <f t="shared" si="11"/>
        <v>0.228832844</v>
      </c>
      <c r="AO274" s="21"/>
      <c r="AP274" s="24"/>
      <c r="AQ274" s="21"/>
      <c r="AS274" s="21"/>
      <c r="AT274" s="24"/>
      <c r="AU274" s="21"/>
      <c r="AX274" s="14">
        <f t="shared" si="22"/>
        <v>1255.018982</v>
      </c>
      <c r="AY274" s="14">
        <f t="shared" si="23"/>
        <v>133.2940064</v>
      </c>
      <c r="AZ274" s="14">
        <f t="shared" si="24"/>
        <v>1121.724976</v>
      </c>
      <c r="BA274" s="27"/>
    </row>
    <row r="275">
      <c r="A275" s="2" t="s">
        <v>198</v>
      </c>
      <c r="B275" s="2">
        <v>2020.0</v>
      </c>
      <c r="C275" s="2">
        <v>628.0620117</v>
      </c>
      <c r="D275" s="2">
        <v>67.48800659</v>
      </c>
      <c r="E275" s="2">
        <v>98.85691652</v>
      </c>
      <c r="F275" s="2">
        <v>0.5454788204</v>
      </c>
      <c r="G275" s="2">
        <v>0.592312011</v>
      </c>
      <c r="H275" s="2">
        <v>0.005292650894</v>
      </c>
      <c r="I275" s="2">
        <v>98.16188754</v>
      </c>
      <c r="J275" s="2">
        <v>0.0</v>
      </c>
      <c r="K275" s="2">
        <v>1.821833386</v>
      </c>
      <c r="L275" s="2">
        <v>0.01627906977</v>
      </c>
      <c r="M275" s="2">
        <v>99.19173959</v>
      </c>
      <c r="N275" s="2">
        <v>0.8082604128</v>
      </c>
      <c r="O275" s="2">
        <v>0.0</v>
      </c>
      <c r="P275" s="2">
        <v>0.0</v>
      </c>
      <c r="Q275" s="13" t="str">
        <f t="shared" si="1"/>
        <v>Montenegro|2020</v>
      </c>
      <c r="R275" s="14" t="str">
        <f t="shared" si="2"/>
        <v> </v>
      </c>
      <c r="T275" s="14" t="b">
        <f t="shared" si="3"/>
        <v>0</v>
      </c>
      <c r="U275" s="14" t="b">
        <f t="shared" si="29"/>
        <v>0</v>
      </c>
      <c r="V275" s="14" t="b">
        <f t="shared" si="4"/>
        <v>0</v>
      </c>
      <c r="W275" s="14">
        <f t="shared" si="5"/>
        <v>99</v>
      </c>
      <c r="X275" s="14">
        <f t="shared" si="6"/>
        <v>98</v>
      </c>
      <c r="Y275" s="14">
        <f t="shared" si="7"/>
        <v>99</v>
      </c>
      <c r="Z275" s="14" t="str">
        <f t="shared" si="8"/>
        <v/>
      </c>
      <c r="AA275" s="14" t="str">
        <f t="shared" si="9"/>
        <v/>
      </c>
      <c r="AB275" s="14" t="str">
        <f t="shared" si="10"/>
        <v/>
      </c>
      <c r="AC275" s="14">
        <f t="shared" si="11"/>
        <v>0</v>
      </c>
      <c r="AO275" s="21"/>
      <c r="AP275" s="24"/>
      <c r="AQ275" s="21"/>
      <c r="AS275" s="21"/>
      <c r="AT275" s="24"/>
      <c r="AU275" s="21"/>
      <c r="AX275" s="14" t="str">
        <f t="shared" si="22"/>
        <v>null</v>
      </c>
      <c r="AY275" s="14" t="str">
        <f t="shared" si="23"/>
        <v>null</v>
      </c>
      <c r="AZ275" s="14" t="str">
        <f t="shared" si="24"/>
        <v>null</v>
      </c>
      <c r="BA275" s="17"/>
    </row>
    <row r="276">
      <c r="A276" s="2" t="s">
        <v>199</v>
      </c>
      <c r="B276" s="2">
        <v>2015.0</v>
      </c>
      <c r="C276" s="2">
        <v>4.96600008</v>
      </c>
      <c r="D276" s="2">
        <v>9.041000366</v>
      </c>
      <c r="E276" s="2">
        <v>98.07082056</v>
      </c>
      <c r="F276" s="2">
        <v>0.0</v>
      </c>
      <c r="G276" s="2">
        <v>1.929179439</v>
      </c>
      <c r="H276" s="2">
        <v>0.0</v>
      </c>
      <c r="I276" s="2" t="s">
        <v>64</v>
      </c>
      <c r="J276" s="2" t="s">
        <v>64</v>
      </c>
      <c r="K276" s="2" t="s">
        <v>64</v>
      </c>
      <c r="L276" s="2" t="s">
        <v>64</v>
      </c>
      <c r="M276" s="2" t="s">
        <v>64</v>
      </c>
      <c r="N276" s="2" t="s">
        <v>64</v>
      </c>
      <c r="O276" s="2" t="s">
        <v>64</v>
      </c>
      <c r="P276" s="2" t="s">
        <v>64</v>
      </c>
      <c r="Q276" s="13" t="str">
        <f t="shared" si="1"/>
        <v>Montserrat|2015</v>
      </c>
      <c r="R276" s="14">
        <f t="shared" si="2"/>
        <v>5</v>
      </c>
      <c r="T276" s="14">
        <f t="shared" si="3"/>
        <v>0.001332412</v>
      </c>
      <c r="U276" s="14" t="str">
        <f t="shared" si="29"/>
        <v>null</v>
      </c>
      <c r="V276" s="14" t="str">
        <f t="shared" si="4"/>
        <v>null</v>
      </c>
      <c r="W276" s="14">
        <f t="shared" si="5"/>
        <v>98</v>
      </c>
      <c r="X276" s="14" t="b">
        <f t="shared" si="6"/>
        <v>0</v>
      </c>
      <c r="Y276" s="14" t="b">
        <f t="shared" si="7"/>
        <v>0</v>
      </c>
      <c r="Z276" s="14" t="str">
        <f t="shared" si="8"/>
        <v/>
      </c>
      <c r="AA276" s="14" t="str">
        <f t="shared" si="9"/>
        <v>Fully Accessible</v>
      </c>
      <c r="AB276" s="14" t="str">
        <f t="shared" si="10"/>
        <v>Fully Accessible</v>
      </c>
      <c r="AC276" s="14" t="b">
        <f t="shared" si="11"/>
        <v>0</v>
      </c>
      <c r="AO276" s="21"/>
      <c r="AP276" s="24"/>
      <c r="AQ276" s="21"/>
      <c r="AS276" s="21"/>
      <c r="AT276" s="24"/>
      <c r="AU276" s="21"/>
      <c r="AX276" s="14">
        <f t="shared" si="22"/>
        <v>9.965000152</v>
      </c>
      <c r="AY276" s="14">
        <f t="shared" si="23"/>
        <v>18.15600014</v>
      </c>
      <c r="AZ276" s="14">
        <f t="shared" si="24"/>
        <v>-8.190999985</v>
      </c>
      <c r="BA276" s="27"/>
    </row>
    <row r="277">
      <c r="A277" s="2" t="s">
        <v>199</v>
      </c>
      <c r="B277" s="2">
        <v>2020.0</v>
      </c>
      <c r="C277" s="2">
        <v>4.999000072</v>
      </c>
      <c r="D277" s="2">
        <v>9.114999771</v>
      </c>
      <c r="E277" s="2">
        <v>98.07748262</v>
      </c>
      <c r="F277" s="2">
        <v>0.0</v>
      </c>
      <c r="G277" s="2">
        <v>1.922517378</v>
      </c>
      <c r="H277" s="2">
        <v>0.0</v>
      </c>
      <c r="I277" s="2" t="s">
        <v>64</v>
      </c>
      <c r="J277" s="2" t="s">
        <v>64</v>
      </c>
      <c r="K277" s="2" t="s">
        <v>64</v>
      </c>
      <c r="L277" s="2" t="s">
        <v>64</v>
      </c>
      <c r="M277" s="2" t="s">
        <v>64</v>
      </c>
      <c r="N277" s="2" t="s">
        <v>64</v>
      </c>
      <c r="O277" s="2" t="s">
        <v>64</v>
      </c>
      <c r="P277" s="2" t="s">
        <v>64</v>
      </c>
      <c r="Q277" s="13" t="str">
        <f t="shared" si="1"/>
        <v>Montserrat|2020</v>
      </c>
      <c r="R277" s="14" t="str">
        <f t="shared" si="2"/>
        <v> </v>
      </c>
      <c r="T277" s="14" t="b">
        <f t="shared" si="3"/>
        <v>0</v>
      </c>
      <c r="U277" s="14" t="b">
        <f t="shared" si="29"/>
        <v>0</v>
      </c>
      <c r="V277" s="14" t="b">
        <f t="shared" si="4"/>
        <v>0</v>
      </c>
      <c r="W277" s="14">
        <f t="shared" si="5"/>
        <v>98</v>
      </c>
      <c r="X277" s="14" t="b">
        <f t="shared" si="6"/>
        <v>0</v>
      </c>
      <c r="Y277" s="14" t="b">
        <f t="shared" si="7"/>
        <v>0</v>
      </c>
      <c r="Z277" s="14" t="str">
        <f t="shared" si="8"/>
        <v/>
      </c>
      <c r="AA277" s="14" t="str">
        <f t="shared" si="9"/>
        <v/>
      </c>
      <c r="AB277" s="14" t="str">
        <f t="shared" si="10"/>
        <v/>
      </c>
      <c r="AC277" s="14">
        <f t="shared" si="11"/>
        <v>0</v>
      </c>
      <c r="AO277" s="21"/>
      <c r="AP277" s="24"/>
      <c r="AQ277" s="21"/>
      <c r="AS277" s="21"/>
      <c r="AT277" s="24"/>
      <c r="AU277" s="21"/>
      <c r="AX277" s="14" t="str">
        <f t="shared" si="22"/>
        <v>null</v>
      </c>
      <c r="AY277" s="14" t="str">
        <f t="shared" si="23"/>
        <v>null</v>
      </c>
      <c r="AZ277" s="14" t="str">
        <f t="shared" si="24"/>
        <v>null</v>
      </c>
      <c r="BA277" s="27"/>
    </row>
    <row r="278">
      <c r="A278" s="2" t="s">
        <v>200</v>
      </c>
      <c r="B278" s="2">
        <v>2015.0</v>
      </c>
      <c r="C278" s="2">
        <v>34663.60938</v>
      </c>
      <c r="D278" s="2">
        <v>60.80899811</v>
      </c>
      <c r="E278" s="2">
        <v>83.75113288</v>
      </c>
      <c r="F278" s="2">
        <v>5.937188415</v>
      </c>
      <c r="G278" s="2">
        <v>8.517881858</v>
      </c>
      <c r="H278" s="2">
        <v>1.793796851</v>
      </c>
      <c r="I278" s="2">
        <v>64.17252874</v>
      </c>
      <c r="J278" s="2">
        <v>12.25581871</v>
      </c>
      <c r="K278" s="2">
        <v>19.02957964</v>
      </c>
      <c r="L278" s="2">
        <v>4.542072914</v>
      </c>
      <c r="M278" s="2">
        <v>96.36941502</v>
      </c>
      <c r="N278" s="2">
        <v>1.864872571</v>
      </c>
      <c r="O278" s="2">
        <v>1.743161481</v>
      </c>
      <c r="P278" s="2">
        <v>0.02255092798</v>
      </c>
      <c r="Q278" s="13" t="str">
        <f t="shared" si="1"/>
        <v>Morocco|2015</v>
      </c>
      <c r="R278" s="14">
        <f t="shared" si="2"/>
        <v>5</v>
      </c>
      <c r="T278" s="14">
        <f t="shared" si="3"/>
        <v>1.33024236</v>
      </c>
      <c r="U278" s="14">
        <f t="shared" si="29"/>
        <v>2.634720044</v>
      </c>
      <c r="V278" s="14">
        <f t="shared" si="4"/>
        <v>0.305466198</v>
      </c>
      <c r="W278" s="14">
        <f t="shared" si="5"/>
        <v>84</v>
      </c>
      <c r="X278" s="14">
        <f t="shared" si="6"/>
        <v>64</v>
      </c>
      <c r="Y278" s="14">
        <f t="shared" si="7"/>
        <v>96</v>
      </c>
      <c r="Z278" s="14" t="str">
        <f t="shared" si="8"/>
        <v/>
      </c>
      <c r="AA278" s="14" t="str">
        <f t="shared" si="9"/>
        <v/>
      </c>
      <c r="AB278" s="14" t="str">
        <f t="shared" si="10"/>
        <v>Fully Accessible</v>
      </c>
      <c r="AC278" s="14">
        <f t="shared" si="11"/>
        <v>2.329253846</v>
      </c>
      <c r="AO278" s="21"/>
      <c r="AP278" s="24"/>
      <c r="AQ278" s="21"/>
      <c r="AS278" s="21"/>
      <c r="AT278" s="24"/>
      <c r="AU278" s="21"/>
      <c r="AX278" s="14">
        <f t="shared" si="22"/>
        <v>71574.16797</v>
      </c>
      <c r="AY278" s="14">
        <f t="shared" si="23"/>
        <v>124.3409958</v>
      </c>
      <c r="AZ278" s="14">
        <f t="shared" si="24"/>
        <v>71449.82697</v>
      </c>
      <c r="BA278" s="17"/>
    </row>
    <row r="279">
      <c r="A279" s="2" t="s">
        <v>200</v>
      </c>
      <c r="B279" s="2">
        <v>2020.0</v>
      </c>
      <c r="C279" s="2">
        <v>36910.55859</v>
      </c>
      <c r="D279" s="2">
        <v>63.53199768</v>
      </c>
      <c r="E279" s="2">
        <v>90.40234468</v>
      </c>
      <c r="F279" s="2">
        <v>5.263549601</v>
      </c>
      <c r="G279" s="2">
        <v>2.8776725</v>
      </c>
      <c r="H279" s="2">
        <v>1.456433219</v>
      </c>
      <c r="I279" s="2">
        <v>77.34612896</v>
      </c>
      <c r="J279" s="2">
        <v>12.03707816</v>
      </c>
      <c r="K279" s="2">
        <v>6.623063373</v>
      </c>
      <c r="L279" s="2">
        <v>3.993729502</v>
      </c>
      <c r="M279" s="2">
        <v>97.89674601</v>
      </c>
      <c r="N279" s="2">
        <v>1.375477117</v>
      </c>
      <c r="O279" s="2">
        <v>0.7277768759</v>
      </c>
      <c r="P279" s="2">
        <v>0.0</v>
      </c>
      <c r="Q279" s="13" t="str">
        <f t="shared" si="1"/>
        <v>Morocco|2020</v>
      </c>
      <c r="R279" s="14" t="str">
        <f t="shared" si="2"/>
        <v> </v>
      </c>
      <c r="T279" s="14" t="b">
        <f t="shared" si="3"/>
        <v>0</v>
      </c>
      <c r="U279" s="14" t="b">
        <f t="shared" si="29"/>
        <v>0</v>
      </c>
      <c r="V279" s="14" t="b">
        <f t="shared" si="4"/>
        <v>0</v>
      </c>
      <c r="W279" s="14">
        <f t="shared" si="5"/>
        <v>90</v>
      </c>
      <c r="X279" s="14">
        <f t="shared" si="6"/>
        <v>77</v>
      </c>
      <c r="Y279" s="14">
        <f t="shared" si="7"/>
        <v>98</v>
      </c>
      <c r="Z279" s="14" t="str">
        <f t="shared" si="8"/>
        <v/>
      </c>
      <c r="AA279" s="14" t="str">
        <f t="shared" si="9"/>
        <v/>
      </c>
      <c r="AB279" s="14" t="str">
        <f t="shared" si="10"/>
        <v/>
      </c>
      <c r="AC279" s="14">
        <f t="shared" si="11"/>
        <v>0</v>
      </c>
      <c r="AO279" s="21"/>
      <c r="AP279" s="24"/>
      <c r="AQ279" s="21"/>
      <c r="AS279" s="21"/>
      <c r="AT279" s="24"/>
      <c r="AU279" s="21"/>
      <c r="AX279" s="14" t="str">
        <f t="shared" si="22"/>
        <v>null</v>
      </c>
      <c r="AY279" s="14" t="str">
        <f t="shared" si="23"/>
        <v>null</v>
      </c>
      <c r="AZ279" s="14" t="str">
        <f t="shared" si="24"/>
        <v>null</v>
      </c>
      <c r="BA279" s="17"/>
    </row>
    <row r="280">
      <c r="A280" s="2" t="s">
        <v>201</v>
      </c>
      <c r="B280" s="2">
        <v>2015.0</v>
      </c>
      <c r="C280" s="2">
        <v>27042.00195</v>
      </c>
      <c r="D280" s="2">
        <v>34.40000153</v>
      </c>
      <c r="E280" s="2">
        <v>51.17617521</v>
      </c>
      <c r="F280" s="2">
        <v>10.3714084</v>
      </c>
      <c r="G280" s="2">
        <v>26.51349315</v>
      </c>
      <c r="H280" s="2">
        <v>11.93892324</v>
      </c>
      <c r="I280" s="2">
        <v>35.97137876</v>
      </c>
      <c r="J280" s="2">
        <v>12.36707992</v>
      </c>
      <c r="K280" s="2">
        <v>34.81487395</v>
      </c>
      <c r="L280" s="2">
        <v>16.84666736</v>
      </c>
      <c r="M280" s="2">
        <v>80.17136583</v>
      </c>
      <c r="N280" s="2">
        <v>6.565709571</v>
      </c>
      <c r="O280" s="2">
        <v>10.68295442</v>
      </c>
      <c r="P280" s="2">
        <v>2.579970181</v>
      </c>
      <c r="Q280" s="13" t="str">
        <f t="shared" si="1"/>
        <v>Mozambique|2015</v>
      </c>
      <c r="R280" s="14">
        <f t="shared" si="2"/>
        <v>5</v>
      </c>
      <c r="T280" s="14">
        <f t="shared" si="3"/>
        <v>2.438650084</v>
      </c>
      <c r="U280" s="14">
        <f t="shared" si="29"/>
        <v>2.579061548</v>
      </c>
      <c r="V280" s="14">
        <f t="shared" si="4"/>
        <v>1.562736418</v>
      </c>
      <c r="W280" s="14">
        <f t="shared" si="5"/>
        <v>51</v>
      </c>
      <c r="X280" s="14">
        <f t="shared" si="6"/>
        <v>36</v>
      </c>
      <c r="Y280" s="14">
        <f t="shared" si="7"/>
        <v>80</v>
      </c>
      <c r="Z280" s="14" t="str">
        <f t="shared" si="8"/>
        <v/>
      </c>
      <c r="AA280" s="14" t="str">
        <f t="shared" si="9"/>
        <v/>
      </c>
      <c r="AB280" s="14" t="str">
        <f t="shared" si="10"/>
        <v>Fully Accessible</v>
      </c>
      <c r="AC280" s="14">
        <f t="shared" si="11"/>
        <v>1.01632513</v>
      </c>
      <c r="AO280" s="21"/>
      <c r="AP280" s="24"/>
      <c r="AQ280" s="21"/>
      <c r="AS280" s="21"/>
      <c r="AT280" s="24"/>
      <c r="AU280" s="21"/>
      <c r="AX280" s="14">
        <f t="shared" si="22"/>
        <v>58297.4375</v>
      </c>
      <c r="AY280" s="14">
        <f t="shared" si="23"/>
        <v>71.47399903</v>
      </c>
      <c r="AZ280" s="14">
        <f t="shared" si="24"/>
        <v>58225.9635</v>
      </c>
      <c r="BA280" s="17"/>
    </row>
    <row r="281">
      <c r="A281" s="2" t="s">
        <v>201</v>
      </c>
      <c r="B281" s="2">
        <v>2020.0</v>
      </c>
      <c r="C281" s="2">
        <v>31255.43555</v>
      </c>
      <c r="D281" s="2">
        <v>37.0739975</v>
      </c>
      <c r="E281" s="2">
        <v>63.36942563</v>
      </c>
      <c r="F281" s="2">
        <v>9.975784507</v>
      </c>
      <c r="G281" s="2">
        <v>16.72614511</v>
      </c>
      <c r="H281" s="2">
        <v>9.928644759</v>
      </c>
      <c r="I281" s="2">
        <v>48.8666865</v>
      </c>
      <c r="J281" s="2">
        <v>12.64088359</v>
      </c>
      <c r="K281" s="2">
        <v>23.6862564</v>
      </c>
      <c r="L281" s="2">
        <v>14.80617352</v>
      </c>
      <c r="M281" s="2">
        <v>87.98504792</v>
      </c>
      <c r="N281" s="2">
        <v>5.452291027</v>
      </c>
      <c r="O281" s="2">
        <v>4.912684644</v>
      </c>
      <c r="P281" s="2">
        <v>1.649976404</v>
      </c>
      <c r="Q281" s="13" t="str">
        <f t="shared" si="1"/>
        <v>Mozambique|2020</v>
      </c>
      <c r="R281" s="14" t="str">
        <f t="shared" si="2"/>
        <v> </v>
      </c>
      <c r="T281" s="14" t="b">
        <f t="shared" si="3"/>
        <v>0</v>
      </c>
      <c r="U281" s="14" t="b">
        <f t="shared" si="29"/>
        <v>0</v>
      </c>
      <c r="V281" s="14" t="b">
        <f t="shared" si="4"/>
        <v>0</v>
      </c>
      <c r="W281" s="14">
        <f t="shared" si="5"/>
        <v>63</v>
      </c>
      <c r="X281" s="14">
        <f t="shared" si="6"/>
        <v>49</v>
      </c>
      <c r="Y281" s="14">
        <f t="shared" si="7"/>
        <v>88</v>
      </c>
      <c r="Z281" s="14" t="str">
        <f t="shared" si="8"/>
        <v/>
      </c>
      <c r="AA281" s="14" t="str">
        <f t="shared" si="9"/>
        <v/>
      </c>
      <c r="AB281" s="14" t="str">
        <f t="shared" si="10"/>
        <v/>
      </c>
      <c r="AC281" s="14">
        <f t="shared" si="11"/>
        <v>0</v>
      </c>
      <c r="AO281" s="21"/>
      <c r="AP281" s="24"/>
      <c r="AQ281" s="21"/>
      <c r="AS281" s="21"/>
      <c r="AT281" s="24"/>
      <c r="AU281" s="21"/>
      <c r="AX281" s="14" t="str">
        <f t="shared" si="22"/>
        <v>null</v>
      </c>
      <c r="AY281" s="14" t="str">
        <f t="shared" si="23"/>
        <v>null</v>
      </c>
      <c r="AZ281" s="14" t="str">
        <f t="shared" si="24"/>
        <v>null</v>
      </c>
      <c r="BA281" s="8"/>
    </row>
    <row r="282">
      <c r="A282" s="2" t="s">
        <v>202</v>
      </c>
      <c r="B282" s="2">
        <v>2015.0</v>
      </c>
      <c r="C282" s="2">
        <v>52680.72266</v>
      </c>
      <c r="D282" s="2">
        <v>29.8579998</v>
      </c>
      <c r="E282" s="2">
        <v>73.5874705</v>
      </c>
      <c r="F282" s="2">
        <v>6.835532269</v>
      </c>
      <c r="G282" s="2">
        <v>8.269037119</v>
      </c>
      <c r="H282" s="2">
        <v>11.30796011</v>
      </c>
      <c r="I282" s="2">
        <v>67.24961354</v>
      </c>
      <c r="J282" s="2">
        <v>8.042280354</v>
      </c>
      <c r="K282" s="2">
        <v>10.1459869</v>
      </c>
      <c r="L282" s="2">
        <v>14.56211921</v>
      </c>
      <c r="M282" s="2">
        <v>88.47627629</v>
      </c>
      <c r="N282" s="2">
        <v>4.000656379</v>
      </c>
      <c r="O282" s="2">
        <v>3.859732696</v>
      </c>
      <c r="P282" s="2">
        <v>3.663334632</v>
      </c>
      <c r="Q282" s="13" t="str">
        <f t="shared" si="1"/>
        <v>Myanmar|2015</v>
      </c>
      <c r="R282" s="14">
        <f t="shared" si="2"/>
        <v>5</v>
      </c>
      <c r="T282" s="14">
        <f t="shared" si="3"/>
        <v>2.026144282</v>
      </c>
      <c r="U282" s="14">
        <f t="shared" si="29"/>
        <v>2.23459023</v>
      </c>
      <c r="V282" s="14">
        <f t="shared" si="4"/>
        <v>1.390321954</v>
      </c>
      <c r="W282" s="14">
        <f t="shared" si="5"/>
        <v>74</v>
      </c>
      <c r="X282" s="14">
        <f t="shared" si="6"/>
        <v>67</v>
      </c>
      <c r="Y282" s="14">
        <f t="shared" si="7"/>
        <v>88</v>
      </c>
      <c r="Z282" s="14" t="str">
        <f t="shared" si="8"/>
        <v/>
      </c>
      <c r="AA282" s="14" t="str">
        <f t="shared" si="9"/>
        <v/>
      </c>
      <c r="AB282" s="14" t="str">
        <f t="shared" si="10"/>
        <v>Fully Accessible</v>
      </c>
      <c r="AC282" s="14">
        <f t="shared" si="11"/>
        <v>0.844268276</v>
      </c>
      <c r="AO282" s="21"/>
      <c r="AP282" s="24"/>
      <c r="AQ282" s="21"/>
      <c r="AS282" s="21"/>
      <c r="AT282" s="24"/>
      <c r="AU282" s="21"/>
      <c r="AX282" s="14">
        <f t="shared" si="22"/>
        <v>107090.5156</v>
      </c>
      <c r="AY282" s="14">
        <f t="shared" si="23"/>
        <v>60.99900055</v>
      </c>
      <c r="AZ282" s="14">
        <f t="shared" si="24"/>
        <v>107029.5166</v>
      </c>
      <c r="BA282" s="27"/>
    </row>
    <row r="283">
      <c r="A283" s="2" t="s">
        <v>202</v>
      </c>
      <c r="B283" s="2">
        <v>2020.0</v>
      </c>
      <c r="C283" s="2">
        <v>54409.79297</v>
      </c>
      <c r="D283" s="2">
        <v>31.14100075</v>
      </c>
      <c r="E283" s="2">
        <v>83.71819191</v>
      </c>
      <c r="F283" s="2">
        <v>1.595436949</v>
      </c>
      <c r="G283" s="2">
        <v>5.10942478</v>
      </c>
      <c r="H283" s="2">
        <v>9.576946362</v>
      </c>
      <c r="I283" s="2">
        <v>78.42256469</v>
      </c>
      <c r="J283" s="2">
        <v>2.316962142</v>
      </c>
      <c r="K283" s="2">
        <v>6.592393694</v>
      </c>
      <c r="L283" s="2">
        <v>12.66807947</v>
      </c>
      <c r="M283" s="2">
        <v>95.42788606</v>
      </c>
      <c r="N283" s="2">
        <v>0.0</v>
      </c>
      <c r="O283" s="2">
        <v>1.830283006</v>
      </c>
      <c r="P283" s="2">
        <v>2.741830931</v>
      </c>
      <c r="Q283" s="13" t="str">
        <f t="shared" si="1"/>
        <v>Myanmar|2020</v>
      </c>
      <c r="R283" s="14" t="str">
        <f t="shared" si="2"/>
        <v> </v>
      </c>
      <c r="T283" s="14" t="b">
        <f t="shared" si="3"/>
        <v>0</v>
      </c>
      <c r="U283" s="14" t="b">
        <f t="shared" si="29"/>
        <v>0</v>
      </c>
      <c r="V283" s="14" t="b">
        <f t="shared" si="4"/>
        <v>0</v>
      </c>
      <c r="W283" s="14">
        <f t="shared" si="5"/>
        <v>84</v>
      </c>
      <c r="X283" s="14">
        <f t="shared" si="6"/>
        <v>78</v>
      </c>
      <c r="Y283" s="14">
        <f t="shared" si="7"/>
        <v>95</v>
      </c>
      <c r="Z283" s="14" t="str">
        <f t="shared" si="8"/>
        <v/>
      </c>
      <c r="AA283" s="14" t="str">
        <f t="shared" si="9"/>
        <v/>
      </c>
      <c r="AB283" s="14" t="str">
        <f t="shared" si="10"/>
        <v/>
      </c>
      <c r="AC283" s="14">
        <f t="shared" si="11"/>
        <v>0</v>
      </c>
      <c r="AO283" s="21"/>
      <c r="AP283" s="24"/>
      <c r="AQ283" s="21"/>
      <c r="AS283" s="21"/>
      <c r="AT283" s="24"/>
      <c r="AU283" s="21"/>
      <c r="AX283" s="14" t="str">
        <f t="shared" si="22"/>
        <v>null</v>
      </c>
      <c r="AY283" s="14" t="str">
        <f t="shared" si="23"/>
        <v>null</v>
      </c>
      <c r="AZ283" s="14" t="str">
        <f t="shared" si="24"/>
        <v>null</v>
      </c>
      <c r="BA283" s="17"/>
    </row>
    <row r="284">
      <c r="A284" s="2" t="s">
        <v>203</v>
      </c>
      <c r="B284" s="2">
        <v>2015.0</v>
      </c>
      <c r="C284" s="2">
        <v>2314.900879</v>
      </c>
      <c r="D284" s="2">
        <v>46.90000534</v>
      </c>
      <c r="E284" s="2">
        <v>82.52413515</v>
      </c>
      <c r="F284" s="2">
        <v>7.275476154</v>
      </c>
      <c r="G284" s="2">
        <v>4.416461411</v>
      </c>
      <c r="H284" s="2">
        <v>5.783927281</v>
      </c>
      <c r="I284" s="2">
        <v>70.14103138</v>
      </c>
      <c r="J284" s="2">
        <v>11.72007222</v>
      </c>
      <c r="K284" s="2">
        <v>7.614389637</v>
      </c>
      <c r="L284" s="2">
        <v>10.52450676</v>
      </c>
      <c r="M284" s="2">
        <v>96.54423562</v>
      </c>
      <c r="N284" s="2">
        <v>2.243322298</v>
      </c>
      <c r="O284" s="2">
        <v>0.7957798889</v>
      </c>
      <c r="P284" s="2">
        <v>0.4166621911</v>
      </c>
      <c r="Q284" s="13" t="str">
        <f t="shared" si="1"/>
        <v>Namibia|2015</v>
      </c>
      <c r="R284" s="14">
        <f t="shared" si="2"/>
        <v>5</v>
      </c>
      <c r="T284" s="14">
        <f t="shared" si="3"/>
        <v>0.349180226</v>
      </c>
      <c r="U284" s="14">
        <f t="shared" si="29"/>
        <v>0.22302721</v>
      </c>
      <c r="V284" s="14">
        <f t="shared" si="4"/>
        <v>-0.055454054</v>
      </c>
      <c r="W284" s="14">
        <f t="shared" si="5"/>
        <v>83</v>
      </c>
      <c r="X284" s="14">
        <f t="shared" si="6"/>
        <v>70</v>
      </c>
      <c r="Y284" s="14">
        <f t="shared" si="7"/>
        <v>97</v>
      </c>
      <c r="Z284" s="14" t="str">
        <f t="shared" si="8"/>
        <v/>
      </c>
      <c r="AA284" s="14" t="str">
        <f t="shared" si="9"/>
        <v/>
      </c>
      <c r="AB284" s="14" t="str">
        <f t="shared" si="10"/>
        <v>Fully Accessible</v>
      </c>
      <c r="AC284" s="14">
        <f t="shared" si="11"/>
        <v>0.278481264</v>
      </c>
      <c r="AO284" s="21"/>
      <c r="AP284" s="24"/>
      <c r="AQ284" s="21"/>
      <c r="AS284" s="21"/>
      <c r="AT284" s="24"/>
      <c r="AU284" s="21"/>
      <c r="AX284" s="14">
        <f t="shared" si="22"/>
        <v>4855.816895</v>
      </c>
      <c r="AY284" s="14">
        <f t="shared" si="23"/>
        <v>98.93300629</v>
      </c>
      <c r="AZ284" s="14">
        <f t="shared" si="24"/>
        <v>4756.883889</v>
      </c>
      <c r="BA284" s="27"/>
    </row>
    <row r="285">
      <c r="A285" s="2" t="s">
        <v>203</v>
      </c>
      <c r="B285" s="2">
        <v>2020.0</v>
      </c>
      <c r="C285" s="2">
        <v>2540.916016</v>
      </c>
      <c r="D285" s="2">
        <v>52.03300095</v>
      </c>
      <c r="E285" s="2">
        <v>84.27003628</v>
      </c>
      <c r="F285" s="2">
        <v>7.08762751</v>
      </c>
      <c r="G285" s="2">
        <v>3.740143722</v>
      </c>
      <c r="H285" s="2">
        <v>4.902192485</v>
      </c>
      <c r="I285" s="2">
        <v>71.25616743</v>
      </c>
      <c r="J285" s="2">
        <v>11.97218925</v>
      </c>
      <c r="K285" s="2">
        <v>7.081803759</v>
      </c>
      <c r="L285" s="2">
        <v>9.689839563</v>
      </c>
      <c r="M285" s="2">
        <v>96.26696535</v>
      </c>
      <c r="N285" s="2">
        <v>2.584758965</v>
      </c>
      <c r="O285" s="2">
        <v>0.6596102638</v>
      </c>
      <c r="P285" s="2">
        <v>0.4886654211</v>
      </c>
      <c r="Q285" s="13" t="str">
        <f t="shared" si="1"/>
        <v>Namibia|2020</v>
      </c>
      <c r="R285" s="14" t="str">
        <f t="shared" si="2"/>
        <v> </v>
      </c>
      <c r="T285" s="14" t="b">
        <f t="shared" si="3"/>
        <v>0</v>
      </c>
      <c r="U285" s="14" t="b">
        <f t="shared" si="29"/>
        <v>0</v>
      </c>
      <c r="V285" s="14" t="b">
        <f t="shared" si="4"/>
        <v>0</v>
      </c>
      <c r="W285" s="14">
        <f t="shared" si="5"/>
        <v>84</v>
      </c>
      <c r="X285" s="14">
        <f t="shared" si="6"/>
        <v>71</v>
      </c>
      <c r="Y285" s="14">
        <f t="shared" si="7"/>
        <v>96</v>
      </c>
      <c r="Z285" s="14" t="str">
        <f t="shared" si="8"/>
        <v/>
      </c>
      <c r="AA285" s="14" t="str">
        <f t="shared" si="9"/>
        <v/>
      </c>
      <c r="AB285" s="14" t="str">
        <f t="shared" si="10"/>
        <v/>
      </c>
      <c r="AC285" s="14">
        <f t="shared" si="11"/>
        <v>0</v>
      </c>
      <c r="AO285" s="21"/>
      <c r="AP285" s="24"/>
      <c r="AQ285" s="21"/>
      <c r="AS285" s="21"/>
      <c r="AT285" s="24"/>
      <c r="AU285" s="21"/>
      <c r="AX285" s="14" t="str">
        <f t="shared" si="22"/>
        <v>null</v>
      </c>
      <c r="AY285" s="14" t="str">
        <f t="shared" si="23"/>
        <v>null</v>
      </c>
      <c r="AZ285" s="14" t="str">
        <f t="shared" si="24"/>
        <v>null</v>
      </c>
      <c r="BA285" s="27"/>
    </row>
    <row r="286">
      <c r="A286" s="2" t="s">
        <v>204</v>
      </c>
      <c r="B286" s="2">
        <v>2015.0</v>
      </c>
      <c r="C286" s="2">
        <v>10.3739996</v>
      </c>
      <c r="D286" s="2">
        <v>100.0</v>
      </c>
      <c r="E286" s="2">
        <v>100.0</v>
      </c>
      <c r="F286" s="2">
        <v>0.0</v>
      </c>
      <c r="G286" s="2">
        <v>0.0</v>
      </c>
      <c r="H286" s="2">
        <v>0.0</v>
      </c>
      <c r="I286" s="2" t="s">
        <v>64</v>
      </c>
      <c r="J286" s="2" t="s">
        <v>64</v>
      </c>
      <c r="K286" s="2" t="s">
        <v>64</v>
      </c>
      <c r="L286" s="2" t="s">
        <v>64</v>
      </c>
      <c r="M286" s="2">
        <v>100.0</v>
      </c>
      <c r="N286" s="2">
        <v>0.0</v>
      </c>
      <c r="O286" s="2">
        <v>0.0</v>
      </c>
      <c r="P286" s="2">
        <v>0.0</v>
      </c>
      <c r="Q286" s="13" t="str">
        <f t="shared" si="1"/>
        <v>Nauru|2015</v>
      </c>
      <c r="R286" s="14">
        <f t="shared" si="2"/>
        <v>5</v>
      </c>
      <c r="T286" s="14">
        <f t="shared" si="3"/>
        <v>0</v>
      </c>
      <c r="U286" s="14" t="str">
        <f t="shared" si="29"/>
        <v>null</v>
      </c>
      <c r="V286" s="14">
        <f t="shared" si="4"/>
        <v>0</v>
      </c>
      <c r="W286" s="14">
        <f t="shared" si="5"/>
        <v>100</v>
      </c>
      <c r="X286" s="14" t="b">
        <f t="shared" si="6"/>
        <v>0</v>
      </c>
      <c r="Y286" s="14">
        <f t="shared" si="7"/>
        <v>100</v>
      </c>
      <c r="Z286" s="14" t="str">
        <f t="shared" si="8"/>
        <v/>
      </c>
      <c r="AA286" s="14" t="str">
        <f t="shared" si="9"/>
        <v>Fully Accessible</v>
      </c>
      <c r="AB286" s="14" t="str">
        <f t="shared" si="10"/>
        <v>Fully Accessible</v>
      </c>
      <c r="AC286" s="14" t="b">
        <f t="shared" si="11"/>
        <v>0</v>
      </c>
      <c r="AO286" s="21"/>
      <c r="AP286" s="24"/>
      <c r="AQ286" s="21"/>
      <c r="AS286" s="21"/>
      <c r="AT286" s="24"/>
      <c r="AU286" s="21"/>
      <c r="AX286" s="14">
        <f t="shared" si="22"/>
        <v>21.20799923</v>
      </c>
      <c r="AY286" s="14">
        <f t="shared" si="23"/>
        <v>200</v>
      </c>
      <c r="AZ286" s="14">
        <f t="shared" si="24"/>
        <v>-178.7920008</v>
      </c>
      <c r="BA286" s="17"/>
    </row>
    <row r="287">
      <c r="A287" s="2" t="s">
        <v>204</v>
      </c>
      <c r="B287" s="2">
        <v>2020.0</v>
      </c>
      <c r="C287" s="2">
        <v>10.83399963</v>
      </c>
      <c r="D287" s="2">
        <v>100.0</v>
      </c>
      <c r="E287" s="2">
        <v>100.0</v>
      </c>
      <c r="F287" s="2">
        <v>0.0</v>
      </c>
      <c r="G287" s="2">
        <v>0.0</v>
      </c>
      <c r="H287" s="2">
        <v>0.0</v>
      </c>
      <c r="I287" s="2" t="s">
        <v>64</v>
      </c>
      <c r="J287" s="2" t="s">
        <v>64</v>
      </c>
      <c r="K287" s="2" t="s">
        <v>64</v>
      </c>
      <c r="L287" s="2" t="s">
        <v>64</v>
      </c>
      <c r="M287" s="2">
        <v>100.0</v>
      </c>
      <c r="N287" s="2">
        <v>0.0</v>
      </c>
      <c r="O287" s="2">
        <v>0.0</v>
      </c>
      <c r="P287" s="2">
        <v>0.0</v>
      </c>
      <c r="Q287" s="13" t="str">
        <f t="shared" si="1"/>
        <v>Nauru|2020</v>
      </c>
      <c r="R287" s="14" t="str">
        <f t="shared" si="2"/>
        <v> </v>
      </c>
      <c r="T287" s="14" t="b">
        <f t="shared" si="3"/>
        <v>0</v>
      </c>
      <c r="U287" s="14" t="b">
        <f t="shared" si="29"/>
        <v>0</v>
      </c>
      <c r="V287" s="14" t="b">
        <f t="shared" si="4"/>
        <v>0</v>
      </c>
      <c r="W287" s="14">
        <f t="shared" si="5"/>
        <v>100</v>
      </c>
      <c r="X287" s="14" t="b">
        <f t="shared" si="6"/>
        <v>0</v>
      </c>
      <c r="Y287" s="14">
        <f t="shared" si="7"/>
        <v>100</v>
      </c>
      <c r="Z287" s="14" t="str">
        <f t="shared" si="8"/>
        <v/>
      </c>
      <c r="AA287" s="14" t="str">
        <f t="shared" si="9"/>
        <v/>
      </c>
      <c r="AB287" s="14" t="str">
        <f t="shared" si="10"/>
        <v/>
      </c>
      <c r="AC287" s="14">
        <f t="shared" si="11"/>
        <v>0</v>
      </c>
      <c r="AO287" s="21"/>
      <c r="AP287" s="24"/>
      <c r="AQ287" s="21"/>
      <c r="AS287" s="21"/>
      <c r="AT287" s="24"/>
      <c r="AU287" s="21"/>
      <c r="AX287" s="14" t="str">
        <f t="shared" si="22"/>
        <v>null</v>
      </c>
      <c r="AY287" s="14" t="str">
        <f t="shared" si="23"/>
        <v>null</v>
      </c>
      <c r="AZ287" s="14" t="str">
        <f t="shared" si="24"/>
        <v>null</v>
      </c>
      <c r="BA287" s="17"/>
    </row>
    <row r="288">
      <c r="A288" s="2" t="s">
        <v>205</v>
      </c>
      <c r="B288" s="2">
        <v>2015.0</v>
      </c>
      <c r="C288" s="2">
        <v>27015.0332</v>
      </c>
      <c r="D288" s="2">
        <v>18.55699921</v>
      </c>
      <c r="E288" s="2">
        <v>87.80846759</v>
      </c>
      <c r="F288" s="2">
        <v>3.167904459</v>
      </c>
      <c r="G288" s="2">
        <v>7.264208528</v>
      </c>
      <c r="H288" s="2">
        <v>1.759419423</v>
      </c>
      <c r="I288" s="2">
        <v>87.24197964</v>
      </c>
      <c r="J288" s="2">
        <v>3.310271258</v>
      </c>
      <c r="K288" s="2">
        <v>7.531317484</v>
      </c>
      <c r="L288" s="2">
        <v>1.916431618</v>
      </c>
      <c r="M288" s="2">
        <v>90.2946711</v>
      </c>
      <c r="N288" s="2">
        <v>2.543084752</v>
      </c>
      <c r="O288" s="2">
        <v>6.091920182</v>
      </c>
      <c r="P288" s="2">
        <v>1.07032397</v>
      </c>
      <c r="Q288" s="13" t="str">
        <f t="shared" si="1"/>
        <v>Nepal|2015</v>
      </c>
      <c r="R288" s="14">
        <f t="shared" si="2"/>
        <v>5</v>
      </c>
      <c r="T288" s="14">
        <f t="shared" si="3"/>
        <v>0.45321484</v>
      </c>
      <c r="U288" s="14">
        <f t="shared" si="29"/>
        <v>0.592258402</v>
      </c>
      <c r="V288" s="14">
        <f t="shared" si="4"/>
        <v>-0.143407588</v>
      </c>
      <c r="W288" s="14">
        <f t="shared" si="5"/>
        <v>88</v>
      </c>
      <c r="X288" s="14">
        <f t="shared" si="6"/>
        <v>87</v>
      </c>
      <c r="Y288" s="14">
        <f t="shared" si="7"/>
        <v>90</v>
      </c>
      <c r="Z288" s="14" t="str">
        <f t="shared" si="8"/>
        <v/>
      </c>
      <c r="AA288" s="14" t="str">
        <f t="shared" si="9"/>
        <v/>
      </c>
      <c r="AB288" s="14" t="str">
        <f t="shared" si="10"/>
        <v>Fully Accessible</v>
      </c>
      <c r="AC288" s="14">
        <f t="shared" si="11"/>
        <v>0.73566599</v>
      </c>
      <c r="AO288" s="21"/>
      <c r="AP288" s="24"/>
      <c r="AQ288" s="21"/>
      <c r="AS288" s="21"/>
      <c r="AT288" s="24"/>
      <c r="AU288" s="21"/>
      <c r="AX288" s="14">
        <f t="shared" si="22"/>
        <v>56151.84179</v>
      </c>
      <c r="AY288" s="14">
        <f t="shared" si="23"/>
        <v>39.13299942</v>
      </c>
      <c r="AZ288" s="14">
        <f t="shared" si="24"/>
        <v>56112.70879</v>
      </c>
      <c r="BA288" s="17"/>
    </row>
    <row r="289">
      <c r="A289" s="2" t="s">
        <v>205</v>
      </c>
      <c r="B289" s="2">
        <v>2020.0</v>
      </c>
      <c r="C289" s="2">
        <v>29136.80859</v>
      </c>
      <c r="D289" s="2">
        <v>20.57600021</v>
      </c>
      <c r="E289" s="2">
        <v>90.07454179</v>
      </c>
      <c r="F289" s="2">
        <v>3.979825725</v>
      </c>
      <c r="G289" s="2">
        <v>4.699081176</v>
      </c>
      <c r="H289" s="2">
        <v>1.246551314</v>
      </c>
      <c r="I289" s="2">
        <v>90.20327165</v>
      </c>
      <c r="J289" s="2">
        <v>4.207348246</v>
      </c>
      <c r="K289" s="2">
        <v>4.269023951</v>
      </c>
      <c r="L289" s="2">
        <v>1.320356149</v>
      </c>
      <c r="M289" s="2">
        <v>89.57763316</v>
      </c>
      <c r="N289" s="2">
        <v>3.101581411</v>
      </c>
      <c r="O289" s="2">
        <v>6.359123168</v>
      </c>
      <c r="P289" s="2">
        <v>0.9616622585</v>
      </c>
      <c r="Q289" s="13" t="str">
        <f t="shared" si="1"/>
        <v>Nepal|2020</v>
      </c>
      <c r="R289" s="14" t="str">
        <f t="shared" si="2"/>
        <v> </v>
      </c>
      <c r="T289" s="14" t="b">
        <f t="shared" si="3"/>
        <v>0</v>
      </c>
      <c r="U289" s="14" t="b">
        <f t="shared" si="29"/>
        <v>0</v>
      </c>
      <c r="V289" s="14" t="b">
        <f t="shared" si="4"/>
        <v>0</v>
      </c>
      <c r="W289" s="14">
        <f t="shared" si="5"/>
        <v>90</v>
      </c>
      <c r="X289" s="14">
        <f t="shared" si="6"/>
        <v>90</v>
      </c>
      <c r="Y289" s="14">
        <f t="shared" si="7"/>
        <v>90</v>
      </c>
      <c r="Z289" s="14" t="str">
        <f t="shared" si="8"/>
        <v/>
      </c>
      <c r="AA289" s="14" t="str">
        <f t="shared" si="9"/>
        <v/>
      </c>
      <c r="AB289" s="14" t="str">
        <f t="shared" si="10"/>
        <v/>
      </c>
      <c r="AC289" s="14">
        <f t="shared" si="11"/>
        <v>0</v>
      </c>
      <c r="AO289" s="21"/>
      <c r="AP289" s="24"/>
      <c r="AQ289" s="21"/>
      <c r="AS289" s="21"/>
      <c r="AT289" s="24"/>
      <c r="AU289" s="21"/>
      <c r="AX289" s="14" t="str">
        <f t="shared" si="22"/>
        <v>null</v>
      </c>
      <c r="AY289" s="14" t="str">
        <f t="shared" si="23"/>
        <v>null</v>
      </c>
      <c r="AZ289" s="14" t="str">
        <f t="shared" si="24"/>
        <v>null</v>
      </c>
      <c r="BA289" s="8"/>
    </row>
    <row r="290">
      <c r="A290" s="2" t="s">
        <v>206</v>
      </c>
      <c r="B290" s="2">
        <v>2015.0</v>
      </c>
      <c r="C290" s="2">
        <v>16938.49219</v>
      </c>
      <c r="D290" s="2">
        <v>90.17299652</v>
      </c>
      <c r="E290" s="2">
        <v>99.99999856</v>
      </c>
      <c r="F290" s="2">
        <v>0.0</v>
      </c>
      <c r="G290" s="2">
        <v>1.441336238E-6</v>
      </c>
      <c r="H290" s="2">
        <v>0.0</v>
      </c>
      <c r="I290" s="2">
        <v>100.0</v>
      </c>
      <c r="J290" s="2">
        <v>0.0</v>
      </c>
      <c r="K290" s="2">
        <v>0.0</v>
      </c>
      <c r="L290" s="2">
        <v>0.0</v>
      </c>
      <c r="M290" s="2">
        <v>100.0</v>
      </c>
      <c r="N290" s="2">
        <v>0.0</v>
      </c>
      <c r="O290" s="2">
        <v>0.0</v>
      </c>
      <c r="P290" s="2">
        <v>0.0</v>
      </c>
      <c r="Q290" s="13" t="str">
        <f t="shared" si="1"/>
        <v>Netherlands|2015</v>
      </c>
      <c r="R290" s="14">
        <f t="shared" si="2"/>
        <v>5</v>
      </c>
      <c r="T290" s="14">
        <f t="shared" si="3"/>
        <v>0.0000001460000021</v>
      </c>
      <c r="U290" s="14">
        <f t="shared" si="29"/>
        <v>0</v>
      </c>
      <c r="V290" s="14">
        <f t="shared" si="4"/>
        <v>0</v>
      </c>
      <c r="W290" s="14">
        <f t="shared" si="5"/>
        <v>100</v>
      </c>
      <c r="X290" s="14">
        <f t="shared" si="6"/>
        <v>100</v>
      </c>
      <c r="Y290" s="14">
        <f t="shared" si="7"/>
        <v>100</v>
      </c>
      <c r="Z290" s="14" t="str">
        <f t="shared" si="8"/>
        <v/>
      </c>
      <c r="AA290" s="14" t="str">
        <f t="shared" si="9"/>
        <v/>
      </c>
      <c r="AB290" s="14" t="str">
        <f t="shared" si="10"/>
        <v>Fully Accessible</v>
      </c>
      <c r="AC290" s="14">
        <f t="shared" si="11"/>
        <v>0</v>
      </c>
      <c r="AO290" s="21"/>
      <c r="AP290" s="24"/>
      <c r="AQ290" s="21"/>
      <c r="AS290" s="21"/>
      <c r="AT290" s="24"/>
      <c r="AU290" s="21"/>
      <c r="AX290" s="14">
        <f t="shared" si="22"/>
        <v>34073.36524</v>
      </c>
      <c r="AY290" s="14">
        <f t="shared" si="23"/>
        <v>182.4089966</v>
      </c>
      <c r="AZ290" s="14">
        <f t="shared" si="24"/>
        <v>33890.95624</v>
      </c>
      <c r="BA290" s="27"/>
    </row>
    <row r="291">
      <c r="A291" s="2" t="s">
        <v>206</v>
      </c>
      <c r="B291" s="2">
        <v>2020.0</v>
      </c>
      <c r="C291" s="2">
        <v>17134.87305</v>
      </c>
      <c r="D291" s="2">
        <v>92.23600006</v>
      </c>
      <c r="E291" s="2">
        <v>99.99999929</v>
      </c>
      <c r="F291" s="2">
        <v>0.0</v>
      </c>
      <c r="G291" s="2">
        <v>7.12408621E-7</v>
      </c>
      <c r="H291" s="2">
        <v>0.0</v>
      </c>
      <c r="I291" s="2">
        <v>100.0</v>
      </c>
      <c r="J291" s="2">
        <v>0.0</v>
      </c>
      <c r="K291" s="2">
        <v>0.0</v>
      </c>
      <c r="L291" s="2">
        <v>0.0</v>
      </c>
      <c r="M291" s="2">
        <v>100.0</v>
      </c>
      <c r="N291" s="2">
        <v>0.0</v>
      </c>
      <c r="O291" s="2">
        <v>0.0</v>
      </c>
      <c r="P291" s="2">
        <v>0.0</v>
      </c>
      <c r="Q291" s="13" t="str">
        <f t="shared" si="1"/>
        <v>Netherlands|2020</v>
      </c>
      <c r="R291" s="14" t="str">
        <f t="shared" si="2"/>
        <v> </v>
      </c>
      <c r="T291" s="14" t="b">
        <f t="shared" si="3"/>
        <v>0</v>
      </c>
      <c r="U291" s="14" t="b">
        <f t="shared" si="29"/>
        <v>0</v>
      </c>
      <c r="V291" s="14" t="b">
        <f t="shared" si="4"/>
        <v>0</v>
      </c>
      <c r="W291" s="14">
        <f t="shared" si="5"/>
        <v>100</v>
      </c>
      <c r="X291" s="14">
        <f t="shared" si="6"/>
        <v>100</v>
      </c>
      <c r="Y291" s="14">
        <f t="shared" si="7"/>
        <v>100</v>
      </c>
      <c r="Z291" s="14" t="str">
        <f t="shared" si="8"/>
        <v/>
      </c>
      <c r="AA291" s="14" t="str">
        <f t="shared" si="9"/>
        <v/>
      </c>
      <c r="AB291" s="14" t="str">
        <f t="shared" si="10"/>
        <v/>
      </c>
      <c r="AC291" s="14">
        <f t="shared" si="11"/>
        <v>0</v>
      </c>
      <c r="AO291" s="21"/>
      <c r="AP291" s="24"/>
      <c r="AQ291" s="21"/>
      <c r="AS291" s="21"/>
      <c r="AT291" s="24"/>
      <c r="AU291" s="21"/>
      <c r="AX291" s="14" t="str">
        <f t="shared" si="22"/>
        <v>null</v>
      </c>
      <c r="AY291" s="14" t="str">
        <f t="shared" si="23"/>
        <v>null</v>
      </c>
      <c r="AZ291" s="14" t="str">
        <f t="shared" si="24"/>
        <v>null</v>
      </c>
      <c r="BA291" s="17"/>
    </row>
    <row r="292">
      <c r="A292" s="2" t="s">
        <v>207</v>
      </c>
      <c r="B292" s="2">
        <v>2015.0</v>
      </c>
      <c r="C292" s="2">
        <v>271.0620117</v>
      </c>
      <c r="D292" s="2">
        <v>69.37900543</v>
      </c>
      <c r="E292" s="2">
        <v>98.13855849</v>
      </c>
      <c r="F292" s="2">
        <v>0.0</v>
      </c>
      <c r="G292" s="2">
        <v>1.861441508</v>
      </c>
      <c r="H292" s="2">
        <v>0.0</v>
      </c>
      <c r="I292" s="2" t="s">
        <v>64</v>
      </c>
      <c r="J292" s="2" t="s">
        <v>64</v>
      </c>
      <c r="K292" s="2" t="s">
        <v>64</v>
      </c>
      <c r="L292" s="2" t="s">
        <v>64</v>
      </c>
      <c r="M292" s="2" t="s">
        <v>64</v>
      </c>
      <c r="N292" s="2" t="s">
        <v>64</v>
      </c>
      <c r="O292" s="2" t="s">
        <v>64</v>
      </c>
      <c r="P292" s="2" t="s">
        <v>64</v>
      </c>
      <c r="Q292" s="13" t="str">
        <f t="shared" si="1"/>
        <v>New Caledonia|2015</v>
      </c>
      <c r="R292" s="14">
        <f t="shared" si="2"/>
        <v>5</v>
      </c>
      <c r="T292" s="14">
        <f t="shared" si="3"/>
        <v>0.233352416</v>
      </c>
      <c r="U292" s="14" t="str">
        <f t="shared" si="29"/>
        <v>null</v>
      </c>
      <c r="V292" s="14" t="str">
        <f t="shared" si="4"/>
        <v>null</v>
      </c>
      <c r="W292" s="14">
        <f t="shared" si="5"/>
        <v>98</v>
      </c>
      <c r="X292" s="14" t="b">
        <f t="shared" si="6"/>
        <v>0</v>
      </c>
      <c r="Y292" s="14" t="b">
        <f t="shared" si="7"/>
        <v>0</v>
      </c>
      <c r="Z292" s="14" t="str">
        <f t="shared" si="8"/>
        <v/>
      </c>
      <c r="AA292" s="14" t="str">
        <f t="shared" si="9"/>
        <v>Fully Accessible</v>
      </c>
      <c r="AB292" s="14" t="str">
        <f t="shared" si="10"/>
        <v>Fully Accessible</v>
      </c>
      <c r="AC292" s="14" t="b">
        <f t="shared" si="11"/>
        <v>0</v>
      </c>
      <c r="AO292" s="21"/>
      <c r="AP292" s="24"/>
      <c r="AQ292" s="21"/>
      <c r="AS292" s="21"/>
      <c r="AT292" s="24"/>
      <c r="AU292" s="21"/>
      <c r="AX292" s="14">
        <f t="shared" si="22"/>
        <v>556.553009</v>
      </c>
      <c r="AY292" s="14">
        <f t="shared" si="23"/>
        <v>140.8970032</v>
      </c>
      <c r="AZ292" s="14">
        <f t="shared" si="24"/>
        <v>415.6560058</v>
      </c>
      <c r="BA292" s="27"/>
    </row>
    <row r="293">
      <c r="A293" s="2" t="s">
        <v>207</v>
      </c>
      <c r="B293" s="2">
        <v>2020.0</v>
      </c>
      <c r="C293" s="2">
        <v>285.4909973</v>
      </c>
      <c r="D293" s="2">
        <v>71.51799774</v>
      </c>
      <c r="E293" s="2">
        <v>99.30532057</v>
      </c>
      <c r="F293" s="2">
        <v>0.0</v>
      </c>
      <c r="G293" s="2">
        <v>0.6946794278</v>
      </c>
      <c r="H293" s="2">
        <v>0.0</v>
      </c>
      <c r="I293" s="2" t="s">
        <v>64</v>
      </c>
      <c r="J293" s="2" t="s">
        <v>64</v>
      </c>
      <c r="K293" s="2" t="s">
        <v>64</v>
      </c>
      <c r="L293" s="2" t="s">
        <v>64</v>
      </c>
      <c r="M293" s="2" t="s">
        <v>64</v>
      </c>
      <c r="N293" s="2" t="s">
        <v>64</v>
      </c>
      <c r="O293" s="2" t="s">
        <v>64</v>
      </c>
      <c r="P293" s="2" t="s">
        <v>64</v>
      </c>
      <c r="Q293" s="13" t="str">
        <f t="shared" si="1"/>
        <v>New Caledonia|2020</v>
      </c>
      <c r="R293" s="14" t="str">
        <f t="shared" si="2"/>
        <v> </v>
      </c>
      <c r="T293" s="14" t="b">
        <f t="shared" si="3"/>
        <v>0</v>
      </c>
      <c r="U293" s="14" t="b">
        <f t="shared" si="29"/>
        <v>0</v>
      </c>
      <c r="V293" s="14" t="b">
        <f t="shared" si="4"/>
        <v>0</v>
      </c>
      <c r="W293" s="14">
        <f t="shared" si="5"/>
        <v>99</v>
      </c>
      <c r="X293" s="14" t="b">
        <f t="shared" si="6"/>
        <v>0</v>
      </c>
      <c r="Y293" s="14" t="b">
        <f t="shared" si="7"/>
        <v>0</v>
      </c>
      <c r="Z293" s="14" t="str">
        <f t="shared" si="8"/>
        <v/>
      </c>
      <c r="AA293" s="14" t="str">
        <f t="shared" si="9"/>
        <v/>
      </c>
      <c r="AB293" s="14" t="str">
        <f t="shared" si="10"/>
        <v/>
      </c>
      <c r="AC293" s="14">
        <f t="shared" si="11"/>
        <v>0</v>
      </c>
      <c r="AO293" s="21"/>
      <c r="AP293" s="24"/>
      <c r="AQ293" s="21"/>
      <c r="AS293" s="21"/>
      <c r="AT293" s="24"/>
      <c r="AU293" s="21"/>
      <c r="AX293" s="14" t="str">
        <f t="shared" si="22"/>
        <v>null</v>
      </c>
      <c r="AY293" s="14" t="str">
        <f t="shared" si="23"/>
        <v>null</v>
      </c>
      <c r="AZ293" s="14" t="str">
        <f t="shared" si="24"/>
        <v>null</v>
      </c>
      <c r="BA293" s="27"/>
    </row>
    <row r="294">
      <c r="A294" s="2" t="s">
        <v>208</v>
      </c>
      <c r="B294" s="2">
        <v>2015.0</v>
      </c>
      <c r="C294" s="2">
        <v>4614.526855</v>
      </c>
      <c r="D294" s="2">
        <v>86.34099579</v>
      </c>
      <c r="E294" s="2">
        <v>99.99999735</v>
      </c>
      <c r="F294" s="2">
        <v>0.0</v>
      </c>
      <c r="G294" s="2">
        <v>2.645348403E-6</v>
      </c>
      <c r="H294" s="2">
        <v>0.0</v>
      </c>
      <c r="I294" s="2">
        <v>100.0</v>
      </c>
      <c r="J294" s="2">
        <v>0.0</v>
      </c>
      <c r="K294" s="2">
        <v>0.0</v>
      </c>
      <c r="L294" s="2">
        <v>0.0</v>
      </c>
      <c r="M294" s="2">
        <v>100.0</v>
      </c>
      <c r="N294" s="2">
        <v>0.0</v>
      </c>
      <c r="O294" s="2">
        <v>0.0</v>
      </c>
      <c r="P294" s="2">
        <v>0.0</v>
      </c>
      <c r="Q294" s="13" t="str">
        <f t="shared" si="1"/>
        <v>New Zealand|2015</v>
      </c>
      <c r="R294" s="14">
        <f t="shared" si="2"/>
        <v>5</v>
      </c>
      <c r="T294" s="14">
        <f t="shared" si="3"/>
        <v>0.0000007899999986</v>
      </c>
      <c r="U294" s="14">
        <f t="shared" si="29"/>
        <v>0</v>
      </c>
      <c r="V294" s="14">
        <f t="shared" si="4"/>
        <v>0</v>
      </c>
      <c r="W294" s="14">
        <f t="shared" si="5"/>
        <v>100</v>
      </c>
      <c r="X294" s="14">
        <f t="shared" si="6"/>
        <v>100</v>
      </c>
      <c r="Y294" s="14">
        <f t="shared" si="7"/>
        <v>100</v>
      </c>
      <c r="Z294" s="14" t="str">
        <f t="shared" si="8"/>
        <v/>
      </c>
      <c r="AA294" s="14" t="str">
        <f t="shared" si="9"/>
        <v/>
      </c>
      <c r="AB294" s="14" t="str">
        <f t="shared" si="10"/>
        <v>Fully Accessible</v>
      </c>
      <c r="AC294" s="14">
        <f t="shared" si="11"/>
        <v>0</v>
      </c>
      <c r="AO294" s="21"/>
      <c r="AP294" s="24"/>
      <c r="AQ294" s="21"/>
      <c r="AS294" s="21"/>
      <c r="AT294" s="24"/>
      <c r="AU294" s="21"/>
      <c r="AX294" s="14">
        <f t="shared" si="22"/>
        <v>9436.759765</v>
      </c>
      <c r="AY294" s="14">
        <f t="shared" si="23"/>
        <v>173.0399933</v>
      </c>
      <c r="AZ294" s="14">
        <f t="shared" si="24"/>
        <v>9263.719772</v>
      </c>
      <c r="BA294" s="17"/>
    </row>
    <row r="295">
      <c r="A295" s="2" t="s">
        <v>208</v>
      </c>
      <c r="B295" s="2">
        <v>2020.0</v>
      </c>
      <c r="C295" s="2">
        <v>4822.23291</v>
      </c>
      <c r="D295" s="2">
        <v>86.6989975</v>
      </c>
      <c r="E295" s="2">
        <v>100.0000013</v>
      </c>
      <c r="F295" s="2">
        <v>0.0</v>
      </c>
      <c r="G295" s="2">
        <v>0.0</v>
      </c>
      <c r="H295" s="2">
        <v>0.0</v>
      </c>
      <c r="I295" s="2">
        <v>100.0</v>
      </c>
      <c r="J295" s="2">
        <v>0.0</v>
      </c>
      <c r="K295" s="2">
        <v>0.0</v>
      </c>
      <c r="L295" s="2">
        <v>0.0</v>
      </c>
      <c r="M295" s="2">
        <v>100.0</v>
      </c>
      <c r="N295" s="2">
        <v>0.0</v>
      </c>
      <c r="O295" s="2">
        <v>0.0</v>
      </c>
      <c r="P295" s="2">
        <v>0.0</v>
      </c>
      <c r="Q295" s="13" t="str">
        <f t="shared" si="1"/>
        <v>New Zealand|2020</v>
      </c>
      <c r="R295" s="14" t="str">
        <f t="shared" si="2"/>
        <v> </v>
      </c>
      <c r="T295" s="14" t="b">
        <f t="shared" si="3"/>
        <v>0</v>
      </c>
      <c r="U295" s="14" t="b">
        <f t="shared" si="29"/>
        <v>0</v>
      </c>
      <c r="V295" s="14" t="b">
        <f t="shared" si="4"/>
        <v>0</v>
      </c>
      <c r="W295" s="14">
        <f t="shared" si="5"/>
        <v>100</v>
      </c>
      <c r="X295" s="14">
        <f t="shared" si="6"/>
        <v>100</v>
      </c>
      <c r="Y295" s="14">
        <f t="shared" si="7"/>
        <v>100</v>
      </c>
      <c r="Z295" s="14" t="str">
        <f t="shared" si="8"/>
        <v/>
      </c>
      <c r="AA295" s="14" t="str">
        <f t="shared" si="9"/>
        <v/>
      </c>
      <c r="AB295" s="14" t="str">
        <f t="shared" si="10"/>
        <v/>
      </c>
      <c r="AC295" s="14">
        <f t="shared" si="11"/>
        <v>0</v>
      </c>
      <c r="AO295" s="21"/>
      <c r="AP295" s="24"/>
      <c r="AQ295" s="21"/>
      <c r="AS295" s="21"/>
      <c r="AT295" s="24"/>
      <c r="AU295" s="21"/>
      <c r="AX295" s="14" t="str">
        <f t="shared" si="22"/>
        <v>null</v>
      </c>
      <c r="AY295" s="14" t="str">
        <f t="shared" si="23"/>
        <v>null</v>
      </c>
      <c r="AZ295" s="14" t="str">
        <f t="shared" si="24"/>
        <v>null</v>
      </c>
      <c r="BA295" s="17"/>
    </row>
    <row r="296">
      <c r="A296" s="2" t="s">
        <v>209</v>
      </c>
      <c r="B296" s="2">
        <v>2015.0</v>
      </c>
      <c r="C296" s="2">
        <v>6223.233887</v>
      </c>
      <c r="D296" s="2">
        <v>57.89499664</v>
      </c>
      <c r="E296" s="2">
        <v>81.35312854</v>
      </c>
      <c r="F296" s="2">
        <v>1.425927388</v>
      </c>
      <c r="G296" s="2">
        <v>13.835759</v>
      </c>
      <c r="H296" s="2">
        <v>3.38518507</v>
      </c>
      <c r="I296" s="2">
        <v>59.50465784</v>
      </c>
      <c r="J296" s="2">
        <v>3.238961865</v>
      </c>
      <c r="K296" s="2">
        <v>29.55960602</v>
      </c>
      <c r="L296" s="2">
        <v>7.696774271</v>
      </c>
      <c r="M296" s="2">
        <v>97.24275488</v>
      </c>
      <c r="N296" s="2">
        <v>0.1073710103</v>
      </c>
      <c r="O296" s="2">
        <v>2.400356622</v>
      </c>
      <c r="P296" s="2">
        <v>0.2495174846</v>
      </c>
      <c r="Q296" s="13" t="str">
        <f t="shared" si="1"/>
        <v>Nicaragua|2015</v>
      </c>
      <c r="R296" s="14">
        <f t="shared" si="2"/>
        <v>5</v>
      </c>
      <c r="T296" s="14">
        <f t="shared" si="3"/>
        <v>0.071125052</v>
      </c>
      <c r="U296" s="14">
        <f t="shared" si="29"/>
        <v>-0.079442242</v>
      </c>
      <c r="V296" s="14">
        <f t="shared" si="4"/>
        <v>0.032840346</v>
      </c>
      <c r="W296" s="14">
        <f t="shared" si="5"/>
        <v>81</v>
      </c>
      <c r="X296" s="14">
        <f t="shared" si="6"/>
        <v>60</v>
      </c>
      <c r="Y296" s="14">
        <f t="shared" si="7"/>
        <v>97</v>
      </c>
      <c r="Z296" s="14" t="str">
        <f t="shared" si="8"/>
        <v/>
      </c>
      <c r="AA296" s="14" t="str">
        <f t="shared" si="9"/>
        <v/>
      </c>
      <c r="AB296" s="14" t="str">
        <f t="shared" si="10"/>
        <v>Fully Accessible</v>
      </c>
      <c r="AC296" s="14">
        <f t="shared" si="11"/>
        <v>-0.112282588</v>
      </c>
      <c r="AO296" s="21"/>
      <c r="AP296" s="24"/>
      <c r="AQ296" s="21"/>
      <c r="AS296" s="21"/>
      <c r="AT296" s="24"/>
      <c r="AU296" s="21"/>
      <c r="AX296" s="14">
        <f t="shared" si="22"/>
        <v>12847.78809</v>
      </c>
      <c r="AY296" s="14">
        <f t="shared" si="23"/>
        <v>116.9069977</v>
      </c>
      <c r="AZ296" s="14">
        <f t="shared" si="24"/>
        <v>12730.88109</v>
      </c>
      <c r="BA296" s="17"/>
    </row>
    <row r="297">
      <c r="A297" s="2" t="s">
        <v>209</v>
      </c>
      <c r="B297" s="2">
        <v>2020.0</v>
      </c>
      <c r="C297" s="2">
        <v>6624.554199</v>
      </c>
      <c r="D297" s="2">
        <v>59.01200104</v>
      </c>
      <c r="E297" s="2">
        <v>81.7087538</v>
      </c>
      <c r="F297" s="2">
        <v>1.506645682</v>
      </c>
      <c r="G297" s="2">
        <v>13.53053114</v>
      </c>
      <c r="H297" s="2">
        <v>3.254069378</v>
      </c>
      <c r="I297" s="2">
        <v>59.10744663</v>
      </c>
      <c r="J297" s="2">
        <v>3.520974285</v>
      </c>
      <c r="K297" s="2">
        <v>29.78017368</v>
      </c>
      <c r="L297" s="2">
        <v>7.5914054</v>
      </c>
      <c r="M297" s="2">
        <v>97.40695661</v>
      </c>
      <c r="N297" s="2">
        <v>0.1075523143</v>
      </c>
      <c r="O297" s="2">
        <v>2.244007656</v>
      </c>
      <c r="P297" s="2">
        <v>0.2414834229</v>
      </c>
      <c r="Q297" s="13" t="str">
        <f t="shared" si="1"/>
        <v>Nicaragua|2020</v>
      </c>
      <c r="R297" s="14" t="str">
        <f t="shared" si="2"/>
        <v> </v>
      </c>
      <c r="T297" s="14" t="b">
        <f t="shared" si="3"/>
        <v>0</v>
      </c>
      <c r="U297" s="14" t="b">
        <f t="shared" si="29"/>
        <v>0</v>
      </c>
      <c r="V297" s="14" t="b">
        <f t="shared" si="4"/>
        <v>0</v>
      </c>
      <c r="W297" s="14">
        <f t="shared" si="5"/>
        <v>82</v>
      </c>
      <c r="X297" s="14">
        <f t="shared" si="6"/>
        <v>59</v>
      </c>
      <c r="Y297" s="14">
        <f t="shared" si="7"/>
        <v>97</v>
      </c>
      <c r="Z297" s="14" t="str">
        <f t="shared" si="8"/>
        <v/>
      </c>
      <c r="AA297" s="14" t="str">
        <f t="shared" si="9"/>
        <v/>
      </c>
      <c r="AB297" s="14" t="str">
        <f t="shared" si="10"/>
        <v/>
      </c>
      <c r="AC297" s="14">
        <f t="shared" si="11"/>
        <v>0</v>
      </c>
      <c r="AO297" s="21"/>
      <c r="AP297" s="24"/>
      <c r="AQ297" s="21"/>
      <c r="AS297" s="21"/>
      <c r="AT297" s="24"/>
      <c r="AU297" s="21"/>
      <c r="AX297" s="14" t="str">
        <f t="shared" si="22"/>
        <v>null</v>
      </c>
      <c r="AY297" s="14" t="str">
        <f t="shared" si="23"/>
        <v>null</v>
      </c>
      <c r="AZ297" s="14" t="str">
        <f t="shared" si="24"/>
        <v>null</v>
      </c>
      <c r="BA297" s="8"/>
    </row>
    <row r="298">
      <c r="A298" s="2" t="s">
        <v>210</v>
      </c>
      <c r="B298" s="2">
        <v>2015.0</v>
      </c>
      <c r="C298" s="2">
        <v>20001.66211</v>
      </c>
      <c r="D298" s="2">
        <v>16.24699974</v>
      </c>
      <c r="E298" s="2">
        <v>45.48245806</v>
      </c>
      <c r="F298" s="2">
        <v>16.12883696</v>
      </c>
      <c r="G298" s="2">
        <v>34.71956001</v>
      </c>
      <c r="H298" s="2">
        <v>3.669144972</v>
      </c>
      <c r="I298" s="2">
        <v>37.32994165</v>
      </c>
      <c r="J298" s="2">
        <v>17.64359486</v>
      </c>
      <c r="K298" s="2">
        <v>40.88848775</v>
      </c>
      <c r="L298" s="2">
        <v>4.137975751</v>
      </c>
      <c r="M298" s="2">
        <v>87.50853904</v>
      </c>
      <c r="N298" s="2">
        <v>8.320286196</v>
      </c>
      <c r="O298" s="2">
        <v>2.918844344</v>
      </c>
      <c r="P298" s="2">
        <v>1.252330425</v>
      </c>
      <c r="Q298" s="13" t="str">
        <f t="shared" si="1"/>
        <v>Niger|2015</v>
      </c>
      <c r="R298" s="14">
        <f t="shared" si="2"/>
        <v>5</v>
      </c>
      <c r="T298" s="14">
        <f t="shared" si="3"/>
        <v>0.285867882</v>
      </c>
      <c r="U298" s="14">
        <f t="shared" si="29"/>
        <v>0.364843534</v>
      </c>
      <c r="V298" s="14">
        <f t="shared" si="4"/>
        <v>-0.338939856</v>
      </c>
      <c r="W298" s="14">
        <f t="shared" si="5"/>
        <v>45</v>
      </c>
      <c r="X298" s="14">
        <f t="shared" si="6"/>
        <v>37</v>
      </c>
      <c r="Y298" s="14">
        <f t="shared" si="7"/>
        <v>88</v>
      </c>
      <c r="Z298" s="14" t="str">
        <f t="shared" si="8"/>
        <v/>
      </c>
      <c r="AA298" s="14" t="str">
        <f t="shared" si="9"/>
        <v/>
      </c>
      <c r="AB298" s="14" t="str">
        <f t="shared" si="10"/>
        <v>Fully Accessible</v>
      </c>
      <c r="AC298" s="14">
        <f t="shared" si="11"/>
        <v>0.70378339</v>
      </c>
      <c r="AO298" s="21"/>
      <c r="AP298" s="24"/>
      <c r="AQ298" s="21"/>
      <c r="AS298" s="21"/>
      <c r="AT298" s="24"/>
      <c r="AU298" s="21"/>
      <c r="AX298" s="14">
        <f t="shared" si="22"/>
        <v>44208.29883</v>
      </c>
      <c r="AY298" s="14">
        <f t="shared" si="23"/>
        <v>32.87299919</v>
      </c>
      <c r="AZ298" s="14">
        <f t="shared" si="24"/>
        <v>44175.42583</v>
      </c>
      <c r="BA298" s="27"/>
    </row>
    <row r="299">
      <c r="A299" s="2" t="s">
        <v>210</v>
      </c>
      <c r="B299" s="2">
        <v>2020.0</v>
      </c>
      <c r="C299" s="2">
        <v>24206.63672</v>
      </c>
      <c r="D299" s="2">
        <v>16.62599945</v>
      </c>
      <c r="E299" s="2">
        <v>46.91179747</v>
      </c>
      <c r="F299" s="2">
        <v>21.6538987</v>
      </c>
      <c r="G299" s="2">
        <v>27.02751244</v>
      </c>
      <c r="H299" s="2">
        <v>4.406791392</v>
      </c>
      <c r="I299" s="2">
        <v>39.15415932</v>
      </c>
      <c r="J299" s="2">
        <v>23.98774039</v>
      </c>
      <c r="K299" s="2">
        <v>31.99150648</v>
      </c>
      <c r="L299" s="2">
        <v>4.866593813</v>
      </c>
      <c r="M299" s="2">
        <v>85.81383976</v>
      </c>
      <c r="N299" s="2">
        <v>9.950440829</v>
      </c>
      <c r="O299" s="2">
        <v>2.13468778</v>
      </c>
      <c r="P299" s="2">
        <v>2.101031634</v>
      </c>
      <c r="Q299" s="13" t="str">
        <f t="shared" si="1"/>
        <v>Niger|2020</v>
      </c>
      <c r="R299" s="14" t="str">
        <f t="shared" si="2"/>
        <v> </v>
      </c>
      <c r="T299" s="14" t="b">
        <f t="shared" si="3"/>
        <v>0</v>
      </c>
      <c r="U299" s="14" t="b">
        <f t="shared" si="29"/>
        <v>0</v>
      </c>
      <c r="V299" s="14" t="b">
        <f t="shared" si="4"/>
        <v>0</v>
      </c>
      <c r="W299" s="14">
        <f t="shared" si="5"/>
        <v>47</v>
      </c>
      <c r="X299" s="14">
        <f t="shared" si="6"/>
        <v>39</v>
      </c>
      <c r="Y299" s="14">
        <f t="shared" si="7"/>
        <v>86</v>
      </c>
      <c r="Z299" s="14" t="str">
        <f t="shared" si="8"/>
        <v/>
      </c>
      <c r="AA299" s="14" t="str">
        <f t="shared" si="9"/>
        <v/>
      </c>
      <c r="AB299" s="14" t="str">
        <f t="shared" si="10"/>
        <v/>
      </c>
      <c r="AC299" s="14">
        <f t="shared" si="11"/>
        <v>0</v>
      </c>
      <c r="AO299" s="21"/>
      <c r="AP299" s="24"/>
      <c r="AQ299" s="21"/>
      <c r="AS299" s="21"/>
      <c r="AT299" s="24"/>
      <c r="AU299" s="21"/>
      <c r="AX299" s="14" t="str">
        <f t="shared" si="22"/>
        <v>null</v>
      </c>
      <c r="AY299" s="14" t="str">
        <f t="shared" si="23"/>
        <v>null</v>
      </c>
      <c r="AZ299" s="14" t="str">
        <f t="shared" si="24"/>
        <v>null</v>
      </c>
      <c r="BA299" s="17"/>
    </row>
    <row r="300">
      <c r="A300" s="2" t="s">
        <v>211</v>
      </c>
      <c r="B300" s="2">
        <v>2015.0</v>
      </c>
      <c r="C300" s="2">
        <v>181137.4531</v>
      </c>
      <c r="D300" s="2">
        <v>47.83799744</v>
      </c>
      <c r="E300" s="2">
        <v>68.77975546</v>
      </c>
      <c r="F300" s="2">
        <v>6.713550996</v>
      </c>
      <c r="G300" s="2">
        <v>14.73376246</v>
      </c>
      <c r="H300" s="2">
        <v>9.772931086</v>
      </c>
      <c r="I300" s="2">
        <v>53.492449</v>
      </c>
      <c r="J300" s="2">
        <v>7.106440271</v>
      </c>
      <c r="K300" s="2">
        <v>23.1071601</v>
      </c>
      <c r="L300" s="2">
        <v>16.29395062</v>
      </c>
      <c r="M300" s="2">
        <v>85.44885832</v>
      </c>
      <c r="N300" s="2">
        <v>6.285149056</v>
      </c>
      <c r="O300" s="2">
        <v>5.603506118</v>
      </c>
      <c r="P300" s="2">
        <v>2.662486501</v>
      </c>
      <c r="Q300" s="13" t="str">
        <f t="shared" si="1"/>
        <v>Nigeria|2015</v>
      </c>
      <c r="R300" s="14">
        <f t="shared" si="2"/>
        <v>5</v>
      </c>
      <c r="T300" s="14">
        <f t="shared" si="3"/>
        <v>1.765859584</v>
      </c>
      <c r="U300" s="14">
        <f t="shared" si="29"/>
        <v>1.633152206</v>
      </c>
      <c r="V300" s="14">
        <f t="shared" si="4"/>
        <v>1.381769374</v>
      </c>
      <c r="W300" s="14">
        <f t="shared" si="5"/>
        <v>69</v>
      </c>
      <c r="X300" s="14">
        <f t="shared" si="6"/>
        <v>53</v>
      </c>
      <c r="Y300" s="14">
        <f t="shared" si="7"/>
        <v>85</v>
      </c>
      <c r="Z300" s="14" t="str">
        <f t="shared" si="8"/>
        <v/>
      </c>
      <c r="AA300" s="14" t="str">
        <f t="shared" si="9"/>
        <v/>
      </c>
      <c r="AB300" s="14" t="str">
        <f t="shared" si="10"/>
        <v>Fully Accessible</v>
      </c>
      <c r="AC300" s="14">
        <f t="shared" si="11"/>
        <v>0.251382832</v>
      </c>
      <c r="AO300" s="21"/>
      <c r="AP300" s="24"/>
      <c r="AQ300" s="21"/>
      <c r="AS300" s="21"/>
      <c r="AT300" s="24"/>
      <c r="AU300" s="21"/>
      <c r="AX300" s="14">
        <f t="shared" si="22"/>
        <v>387277.0469</v>
      </c>
      <c r="AY300" s="14">
        <f t="shared" si="23"/>
        <v>99.79599762</v>
      </c>
      <c r="AZ300" s="14">
        <f t="shared" si="24"/>
        <v>387177.2509</v>
      </c>
      <c r="BA300" s="27"/>
    </row>
    <row r="301">
      <c r="A301" s="2" t="s">
        <v>211</v>
      </c>
      <c r="B301" s="2">
        <v>2020.0</v>
      </c>
      <c r="C301" s="2">
        <v>206139.5938</v>
      </c>
      <c r="D301" s="2">
        <v>51.95800018</v>
      </c>
      <c r="E301" s="2">
        <v>77.60905338</v>
      </c>
      <c r="F301" s="2">
        <v>4.979399343</v>
      </c>
      <c r="G301" s="2">
        <v>11.79691148</v>
      </c>
      <c r="H301" s="2">
        <v>5.614635794</v>
      </c>
      <c r="I301" s="2">
        <v>61.65821003</v>
      </c>
      <c r="J301" s="2">
        <v>7.128924583</v>
      </c>
      <c r="K301" s="2">
        <v>20.92487535</v>
      </c>
      <c r="L301" s="2">
        <v>10.28799004</v>
      </c>
      <c r="M301" s="2">
        <v>92.35770519</v>
      </c>
      <c r="N301" s="2">
        <v>2.99188065</v>
      </c>
      <c r="O301" s="2">
        <v>3.356908786</v>
      </c>
      <c r="P301" s="2">
        <v>1.29350537</v>
      </c>
      <c r="Q301" s="13" t="str">
        <f t="shared" si="1"/>
        <v>Nigeria|2020</v>
      </c>
      <c r="R301" s="14" t="str">
        <f t="shared" si="2"/>
        <v> </v>
      </c>
      <c r="T301" s="14" t="b">
        <f t="shared" si="3"/>
        <v>0</v>
      </c>
      <c r="U301" s="14" t="b">
        <f t="shared" si="29"/>
        <v>0</v>
      </c>
      <c r="V301" s="14" t="b">
        <f t="shared" si="4"/>
        <v>0</v>
      </c>
      <c r="W301" s="14">
        <f t="shared" si="5"/>
        <v>78</v>
      </c>
      <c r="X301" s="14">
        <f t="shared" si="6"/>
        <v>62</v>
      </c>
      <c r="Y301" s="14">
        <f t="shared" si="7"/>
        <v>92</v>
      </c>
      <c r="Z301" s="14" t="str">
        <f t="shared" si="8"/>
        <v/>
      </c>
      <c r="AA301" s="14" t="str">
        <f t="shared" si="9"/>
        <v/>
      </c>
      <c r="AB301" s="14" t="str">
        <f t="shared" si="10"/>
        <v/>
      </c>
      <c r="AC301" s="14">
        <f t="shared" si="11"/>
        <v>0</v>
      </c>
      <c r="AO301" s="21"/>
      <c r="AP301" s="24"/>
      <c r="AQ301" s="21"/>
      <c r="AS301" s="21"/>
      <c r="AT301" s="24"/>
      <c r="AU301" s="21"/>
      <c r="AX301" s="14" t="str">
        <f t="shared" si="22"/>
        <v>null</v>
      </c>
      <c r="AY301" s="14" t="str">
        <f t="shared" si="23"/>
        <v>null</v>
      </c>
      <c r="AZ301" s="14" t="str">
        <f t="shared" si="24"/>
        <v>null</v>
      </c>
      <c r="BA301" s="27"/>
    </row>
    <row r="302">
      <c r="A302" s="2" t="s">
        <v>212</v>
      </c>
      <c r="B302" s="2">
        <v>2015.0</v>
      </c>
      <c r="C302" s="2">
        <v>1.610000014</v>
      </c>
      <c r="D302" s="2">
        <v>42.56800079</v>
      </c>
      <c r="E302" s="2">
        <v>97.60613941</v>
      </c>
      <c r="F302" s="2">
        <v>0.0</v>
      </c>
      <c r="G302" s="2">
        <v>2.393860594</v>
      </c>
      <c r="H302" s="2">
        <v>0.0</v>
      </c>
      <c r="I302" s="2" t="s">
        <v>64</v>
      </c>
      <c r="J302" s="2" t="s">
        <v>64</v>
      </c>
      <c r="K302" s="2" t="s">
        <v>64</v>
      </c>
      <c r="L302" s="2" t="s">
        <v>64</v>
      </c>
      <c r="M302" s="2" t="s">
        <v>64</v>
      </c>
      <c r="N302" s="2" t="s">
        <v>64</v>
      </c>
      <c r="O302" s="2" t="s">
        <v>64</v>
      </c>
      <c r="P302" s="2" t="s">
        <v>64</v>
      </c>
      <c r="Q302" s="13" t="str">
        <f t="shared" si="1"/>
        <v>Niue|2015</v>
      </c>
      <c r="R302" s="14">
        <f t="shared" si="2"/>
        <v>5</v>
      </c>
      <c r="T302" s="14">
        <f t="shared" si="3"/>
        <v>-0.119052646</v>
      </c>
      <c r="U302" s="14" t="str">
        <f t="shared" si="29"/>
        <v>null</v>
      </c>
      <c r="V302" s="14" t="str">
        <f t="shared" si="4"/>
        <v>null</v>
      </c>
      <c r="W302" s="14">
        <f t="shared" si="5"/>
        <v>98</v>
      </c>
      <c r="X302" s="14" t="b">
        <f t="shared" si="6"/>
        <v>0</v>
      </c>
      <c r="Y302" s="14" t="b">
        <f t="shared" si="7"/>
        <v>0</v>
      </c>
      <c r="Z302" s="14" t="str">
        <f t="shared" si="8"/>
        <v/>
      </c>
      <c r="AA302" s="14" t="str">
        <f t="shared" si="9"/>
        <v>Fully Accessible</v>
      </c>
      <c r="AB302" s="14" t="str">
        <f t="shared" si="10"/>
        <v>Fully Accessible</v>
      </c>
      <c r="AC302" s="14" t="b">
        <f t="shared" si="11"/>
        <v>0</v>
      </c>
      <c r="AO302" s="21"/>
      <c r="AP302" s="24"/>
      <c r="AQ302" s="21"/>
      <c r="AS302" s="21"/>
      <c r="AT302" s="24"/>
      <c r="AU302" s="21"/>
      <c r="AX302" s="14">
        <f t="shared" si="22"/>
        <v>3.228000045</v>
      </c>
      <c r="AY302" s="14">
        <f t="shared" si="23"/>
        <v>88.77000427</v>
      </c>
      <c r="AZ302" s="14">
        <f t="shared" si="24"/>
        <v>-85.54200423</v>
      </c>
      <c r="BA302" s="17"/>
    </row>
    <row r="303">
      <c r="A303" s="2" t="s">
        <v>212</v>
      </c>
      <c r="B303" s="2">
        <v>2020.0</v>
      </c>
      <c r="C303" s="2">
        <v>1.618000031</v>
      </c>
      <c r="D303" s="2">
        <v>46.20200348</v>
      </c>
      <c r="E303" s="2">
        <v>97.01087618</v>
      </c>
      <c r="F303" s="2">
        <v>0.0</v>
      </c>
      <c r="G303" s="2">
        <v>2.989123822</v>
      </c>
      <c r="H303" s="2">
        <v>0.0</v>
      </c>
      <c r="I303" s="2" t="s">
        <v>64</v>
      </c>
      <c r="J303" s="2" t="s">
        <v>64</v>
      </c>
      <c r="K303" s="2" t="s">
        <v>64</v>
      </c>
      <c r="L303" s="2" t="s">
        <v>64</v>
      </c>
      <c r="M303" s="2" t="s">
        <v>64</v>
      </c>
      <c r="N303" s="2" t="s">
        <v>64</v>
      </c>
      <c r="O303" s="2" t="s">
        <v>64</v>
      </c>
      <c r="P303" s="2" t="s">
        <v>64</v>
      </c>
      <c r="Q303" s="13" t="str">
        <f t="shared" si="1"/>
        <v>Niue|2020</v>
      </c>
      <c r="R303" s="14" t="str">
        <f t="shared" si="2"/>
        <v> </v>
      </c>
      <c r="T303" s="14" t="b">
        <f t="shared" si="3"/>
        <v>0</v>
      </c>
      <c r="U303" s="14" t="b">
        <f t="shared" si="29"/>
        <v>0</v>
      </c>
      <c r="V303" s="14" t="b">
        <f t="shared" si="4"/>
        <v>0</v>
      </c>
      <c r="W303" s="14">
        <f t="shared" si="5"/>
        <v>97</v>
      </c>
      <c r="X303" s="14" t="b">
        <f t="shared" si="6"/>
        <v>0</v>
      </c>
      <c r="Y303" s="14" t="b">
        <f t="shared" si="7"/>
        <v>0</v>
      </c>
      <c r="Z303" s="14" t="str">
        <f t="shared" si="8"/>
        <v/>
      </c>
      <c r="AA303" s="14" t="str">
        <f t="shared" si="9"/>
        <v/>
      </c>
      <c r="AB303" s="14" t="str">
        <f t="shared" si="10"/>
        <v/>
      </c>
      <c r="AC303" s="14">
        <f t="shared" si="11"/>
        <v>0</v>
      </c>
      <c r="AO303" s="21"/>
      <c r="AP303" s="24"/>
      <c r="AQ303" s="21"/>
      <c r="AS303" s="21"/>
      <c r="AT303" s="24"/>
      <c r="AU303" s="21"/>
      <c r="AX303" s="14" t="str">
        <f t="shared" si="22"/>
        <v>null</v>
      </c>
      <c r="AY303" s="14" t="str">
        <f t="shared" si="23"/>
        <v>null</v>
      </c>
      <c r="AZ303" s="14" t="str">
        <f t="shared" si="24"/>
        <v>null</v>
      </c>
      <c r="BA303" s="17"/>
    </row>
    <row r="304">
      <c r="A304" s="2" t="s">
        <v>213</v>
      </c>
      <c r="B304" s="2">
        <v>2015.0</v>
      </c>
      <c r="C304" s="2">
        <v>2079.334961</v>
      </c>
      <c r="D304" s="2">
        <v>57.40799713</v>
      </c>
      <c r="E304" s="2">
        <v>97.47233283</v>
      </c>
      <c r="F304" s="2">
        <v>1.885991713</v>
      </c>
      <c r="G304" s="2">
        <v>0.5924731745</v>
      </c>
      <c r="H304" s="2">
        <v>0.04920227976</v>
      </c>
      <c r="I304" s="2">
        <v>97.63323313</v>
      </c>
      <c r="J304" s="2">
        <v>1.2224645</v>
      </c>
      <c r="K304" s="2">
        <v>1.028782373</v>
      </c>
      <c r="L304" s="2">
        <v>0.11552</v>
      </c>
      <c r="M304" s="2">
        <v>97.35295808</v>
      </c>
      <c r="N304" s="2">
        <v>2.37827419</v>
      </c>
      <c r="O304" s="2">
        <v>0.2687677275</v>
      </c>
      <c r="P304" s="2">
        <v>0.0</v>
      </c>
      <c r="Q304" s="13" t="str">
        <f t="shared" si="1"/>
        <v>North Macedonia|2015</v>
      </c>
      <c r="R304" s="14">
        <f t="shared" si="2"/>
        <v>5</v>
      </c>
      <c r="T304" s="14">
        <f t="shared" si="3"/>
        <v>0.054096592</v>
      </c>
      <c r="U304" s="14">
        <f t="shared" si="29"/>
        <v>-0.032903712</v>
      </c>
      <c r="V304" s="14">
        <f t="shared" si="4"/>
        <v>0.116888982</v>
      </c>
      <c r="W304" s="14">
        <f t="shared" si="5"/>
        <v>97</v>
      </c>
      <c r="X304" s="14">
        <f t="shared" si="6"/>
        <v>98</v>
      </c>
      <c r="Y304" s="14">
        <f t="shared" si="7"/>
        <v>97</v>
      </c>
      <c r="Z304" s="14" t="str">
        <f t="shared" si="8"/>
        <v/>
      </c>
      <c r="AA304" s="14" t="str">
        <f t="shared" si="9"/>
        <v/>
      </c>
      <c r="AB304" s="14" t="str">
        <f t="shared" si="10"/>
        <v>Fully Accessible</v>
      </c>
      <c r="AC304" s="14">
        <f t="shared" si="11"/>
        <v>-0.149792694</v>
      </c>
      <c r="AO304" s="21"/>
      <c r="AP304" s="24"/>
      <c r="AQ304" s="21"/>
      <c r="AS304" s="21"/>
      <c r="AT304" s="24"/>
      <c r="AU304" s="21"/>
      <c r="AX304" s="14">
        <f t="shared" si="22"/>
        <v>4162.714844</v>
      </c>
      <c r="AY304" s="14">
        <f t="shared" si="23"/>
        <v>115.8899956</v>
      </c>
      <c r="AZ304" s="14">
        <f t="shared" si="24"/>
        <v>4046.824848</v>
      </c>
      <c r="BA304" s="17"/>
    </row>
    <row r="305">
      <c r="A305" s="2" t="s">
        <v>213</v>
      </c>
      <c r="B305" s="2">
        <v>2020.0</v>
      </c>
      <c r="C305" s="2">
        <v>2083.379883</v>
      </c>
      <c r="D305" s="2">
        <v>58.48199844</v>
      </c>
      <c r="E305" s="2">
        <v>97.74281579</v>
      </c>
      <c r="F305" s="2">
        <v>1.63499414</v>
      </c>
      <c r="G305" s="2">
        <v>0.5742284762</v>
      </c>
      <c r="H305" s="2">
        <v>0.04796159706</v>
      </c>
      <c r="I305" s="2">
        <v>97.46871457</v>
      </c>
      <c r="J305" s="2">
        <v>1.505202232</v>
      </c>
      <c r="K305" s="2">
        <v>0.9105631982</v>
      </c>
      <c r="L305" s="2">
        <v>0.11552</v>
      </c>
      <c r="M305" s="2">
        <v>97.93740299</v>
      </c>
      <c r="N305" s="2">
        <v>1.727136954</v>
      </c>
      <c r="O305" s="2">
        <v>0.3354600563</v>
      </c>
      <c r="P305" s="2">
        <v>0.0</v>
      </c>
      <c r="Q305" s="13" t="str">
        <f t="shared" si="1"/>
        <v>North Macedonia|2020</v>
      </c>
      <c r="R305" s="14" t="str">
        <f t="shared" si="2"/>
        <v> </v>
      </c>
      <c r="T305" s="14" t="b">
        <f t="shared" si="3"/>
        <v>0</v>
      </c>
      <c r="U305" s="14" t="b">
        <f t="shared" si="29"/>
        <v>0</v>
      </c>
      <c r="V305" s="14" t="b">
        <f t="shared" si="4"/>
        <v>0</v>
      </c>
      <c r="W305" s="14">
        <f t="shared" si="5"/>
        <v>98</v>
      </c>
      <c r="X305" s="14">
        <f t="shared" si="6"/>
        <v>97</v>
      </c>
      <c r="Y305" s="14">
        <f t="shared" si="7"/>
        <v>98</v>
      </c>
      <c r="Z305" s="14" t="str">
        <f t="shared" si="8"/>
        <v/>
      </c>
      <c r="AA305" s="14" t="str">
        <f t="shared" si="9"/>
        <v/>
      </c>
      <c r="AB305" s="14" t="str">
        <f t="shared" si="10"/>
        <v/>
      </c>
      <c r="AC305" s="14">
        <f t="shared" si="11"/>
        <v>0</v>
      </c>
      <c r="AO305" s="21"/>
      <c r="AP305" s="24"/>
      <c r="AQ305" s="21"/>
      <c r="AS305" s="21"/>
      <c r="AT305" s="24"/>
      <c r="AU305" s="21"/>
      <c r="AX305" s="14" t="str">
        <f t="shared" si="22"/>
        <v>null</v>
      </c>
      <c r="AY305" s="14" t="str">
        <f t="shared" si="23"/>
        <v>null</v>
      </c>
      <c r="AZ305" s="14" t="str">
        <f t="shared" si="24"/>
        <v>null</v>
      </c>
      <c r="BA305" s="8"/>
    </row>
    <row r="306">
      <c r="A306" s="2" t="s">
        <v>214</v>
      </c>
      <c r="B306" s="2">
        <v>2015.0</v>
      </c>
      <c r="C306" s="2">
        <v>55.77899933</v>
      </c>
      <c r="D306" s="2">
        <v>91.35699463</v>
      </c>
      <c r="E306" s="2">
        <v>99.98018339</v>
      </c>
      <c r="F306" s="2">
        <v>0.0</v>
      </c>
      <c r="G306" s="2">
        <v>0.01981661152</v>
      </c>
      <c r="H306" s="2">
        <v>0.0</v>
      </c>
      <c r="I306" s="2" t="s">
        <v>64</v>
      </c>
      <c r="J306" s="2" t="s">
        <v>64</v>
      </c>
      <c r="K306" s="2" t="s">
        <v>64</v>
      </c>
      <c r="L306" s="2" t="s">
        <v>64</v>
      </c>
      <c r="M306" s="2" t="s">
        <v>64</v>
      </c>
      <c r="N306" s="2" t="s">
        <v>64</v>
      </c>
      <c r="O306" s="2" t="s">
        <v>64</v>
      </c>
      <c r="P306" s="2" t="s">
        <v>64</v>
      </c>
      <c r="Q306" s="13" t="str">
        <f t="shared" si="1"/>
        <v>Northern Mariana Islands|2015</v>
      </c>
      <c r="R306" s="14">
        <f t="shared" si="2"/>
        <v>5</v>
      </c>
      <c r="T306" s="14">
        <f t="shared" si="3"/>
        <v>0.003963322</v>
      </c>
      <c r="U306" s="14" t="str">
        <f t="shared" si="29"/>
        <v>null</v>
      </c>
      <c r="V306" s="14" t="str">
        <f t="shared" si="4"/>
        <v>null</v>
      </c>
      <c r="W306" s="14">
        <f t="shared" si="5"/>
        <v>100</v>
      </c>
      <c r="X306" s="14" t="b">
        <f t="shared" si="6"/>
        <v>0</v>
      </c>
      <c r="Y306" s="14" t="b">
        <f t="shared" si="7"/>
        <v>0</v>
      </c>
      <c r="Z306" s="14" t="str">
        <f t="shared" si="8"/>
        <v/>
      </c>
      <c r="AA306" s="14" t="str">
        <f t="shared" si="9"/>
        <v>Fully Accessible</v>
      </c>
      <c r="AB306" s="14" t="str">
        <f t="shared" si="10"/>
        <v>Fully Accessible</v>
      </c>
      <c r="AC306" s="14" t="b">
        <f t="shared" si="11"/>
        <v>0</v>
      </c>
      <c r="AO306" s="21"/>
      <c r="AP306" s="24"/>
      <c r="AQ306" s="21"/>
      <c r="AS306" s="21"/>
      <c r="AT306" s="24"/>
      <c r="AU306" s="21"/>
      <c r="AX306" s="14">
        <f t="shared" si="22"/>
        <v>113.3359985</v>
      </c>
      <c r="AY306" s="14">
        <f t="shared" si="23"/>
        <v>183.1549912</v>
      </c>
      <c r="AZ306" s="14">
        <f t="shared" si="24"/>
        <v>-69.81899261</v>
      </c>
      <c r="BA306" s="27"/>
    </row>
    <row r="307">
      <c r="A307" s="2" t="s">
        <v>214</v>
      </c>
      <c r="B307" s="2">
        <v>2020.0</v>
      </c>
      <c r="C307" s="2">
        <v>57.55699921</v>
      </c>
      <c r="D307" s="2">
        <v>91.79799652</v>
      </c>
      <c r="E307" s="2">
        <v>100.0</v>
      </c>
      <c r="F307" s="2">
        <v>0.0</v>
      </c>
      <c r="G307" s="2">
        <v>0.0</v>
      </c>
      <c r="H307" s="2">
        <v>0.0</v>
      </c>
      <c r="I307" s="2" t="s">
        <v>64</v>
      </c>
      <c r="J307" s="2" t="s">
        <v>64</v>
      </c>
      <c r="K307" s="2" t="s">
        <v>64</v>
      </c>
      <c r="L307" s="2" t="s">
        <v>64</v>
      </c>
      <c r="M307" s="2" t="s">
        <v>64</v>
      </c>
      <c r="N307" s="2" t="s">
        <v>64</v>
      </c>
      <c r="O307" s="2" t="s">
        <v>64</v>
      </c>
      <c r="P307" s="2" t="s">
        <v>64</v>
      </c>
      <c r="Q307" s="13" t="str">
        <f t="shared" si="1"/>
        <v>Northern Mariana Islands|2020</v>
      </c>
      <c r="R307" s="14" t="str">
        <f t="shared" si="2"/>
        <v> </v>
      </c>
      <c r="T307" s="14" t="b">
        <f t="shared" si="3"/>
        <v>0</v>
      </c>
      <c r="U307" s="14" t="b">
        <f t="shared" si="29"/>
        <v>0</v>
      </c>
      <c r="V307" s="14" t="b">
        <f t="shared" si="4"/>
        <v>0</v>
      </c>
      <c r="W307" s="14">
        <f t="shared" si="5"/>
        <v>100</v>
      </c>
      <c r="X307" s="14" t="b">
        <f t="shared" si="6"/>
        <v>0</v>
      </c>
      <c r="Y307" s="14" t="b">
        <f t="shared" si="7"/>
        <v>0</v>
      </c>
      <c r="Z307" s="14" t="str">
        <f t="shared" si="8"/>
        <v/>
      </c>
      <c r="AA307" s="14" t="str">
        <f t="shared" si="9"/>
        <v/>
      </c>
      <c r="AB307" s="14" t="str">
        <f t="shared" si="10"/>
        <v/>
      </c>
      <c r="AC307" s="14">
        <f t="shared" si="11"/>
        <v>0</v>
      </c>
      <c r="AO307" s="21"/>
      <c r="AP307" s="24"/>
      <c r="AQ307" s="21"/>
      <c r="AS307" s="21"/>
      <c r="AT307" s="24"/>
      <c r="AU307" s="21"/>
      <c r="AX307" s="14" t="str">
        <f t="shared" si="22"/>
        <v>null</v>
      </c>
      <c r="AY307" s="14" t="str">
        <f t="shared" si="23"/>
        <v>null</v>
      </c>
      <c r="AZ307" s="14" t="str">
        <f t="shared" si="24"/>
        <v>null</v>
      </c>
      <c r="BA307" s="17"/>
    </row>
    <row r="308">
      <c r="A308" s="2" t="s">
        <v>215</v>
      </c>
      <c r="B308" s="2">
        <v>2015.0</v>
      </c>
      <c r="C308" s="2">
        <v>5199.827148</v>
      </c>
      <c r="D308" s="2">
        <v>81.09099579</v>
      </c>
      <c r="E308" s="2">
        <v>100.0000012</v>
      </c>
      <c r="F308" s="2">
        <v>0.0</v>
      </c>
      <c r="G308" s="2">
        <v>0.0</v>
      </c>
      <c r="H308" s="2">
        <v>0.0</v>
      </c>
      <c r="I308" s="2">
        <v>100.0</v>
      </c>
      <c r="J308" s="2">
        <v>0.0</v>
      </c>
      <c r="K308" s="2">
        <v>0.0</v>
      </c>
      <c r="L308" s="2">
        <v>0.0</v>
      </c>
      <c r="M308" s="2">
        <v>100.0</v>
      </c>
      <c r="N308" s="2">
        <v>0.0</v>
      </c>
      <c r="O308" s="2">
        <v>0.0</v>
      </c>
      <c r="P308" s="2">
        <v>0.0</v>
      </c>
      <c r="Q308" s="13" t="str">
        <f t="shared" si="1"/>
        <v>Norway|2015</v>
      </c>
      <c r="R308" s="14">
        <f t="shared" si="2"/>
        <v>5</v>
      </c>
      <c r="T308" s="14">
        <f t="shared" si="3"/>
        <v>-0.000001140000001</v>
      </c>
      <c r="U308" s="14">
        <f t="shared" si="29"/>
        <v>0</v>
      </c>
      <c r="V308" s="14">
        <f t="shared" si="4"/>
        <v>0</v>
      </c>
      <c r="W308" s="14">
        <f t="shared" si="5"/>
        <v>100</v>
      </c>
      <c r="X308" s="14">
        <f t="shared" si="6"/>
        <v>100</v>
      </c>
      <c r="Y308" s="14">
        <f t="shared" si="7"/>
        <v>100</v>
      </c>
      <c r="Z308" s="14" t="str">
        <f t="shared" si="8"/>
        <v/>
      </c>
      <c r="AA308" s="14" t="str">
        <f t="shared" si="9"/>
        <v/>
      </c>
      <c r="AB308" s="14" t="str">
        <f t="shared" si="10"/>
        <v>Fully Accessible</v>
      </c>
      <c r="AC308" s="14">
        <f t="shared" si="11"/>
        <v>0</v>
      </c>
      <c r="AO308" s="21"/>
      <c r="AP308" s="24"/>
      <c r="AQ308" s="21"/>
      <c r="AS308" s="21"/>
      <c r="AT308" s="24"/>
      <c r="AU308" s="21"/>
      <c r="AX308" s="14">
        <f t="shared" si="22"/>
        <v>10621.06934</v>
      </c>
      <c r="AY308" s="14">
        <f t="shared" si="23"/>
        <v>164.0649872</v>
      </c>
      <c r="AZ308" s="14">
        <f t="shared" si="24"/>
        <v>10457.00435</v>
      </c>
      <c r="BA308" s="27"/>
    </row>
    <row r="309">
      <c r="A309" s="2" t="s">
        <v>215</v>
      </c>
      <c r="B309" s="2">
        <v>2020.0</v>
      </c>
      <c r="C309" s="2">
        <v>5421.242188</v>
      </c>
      <c r="D309" s="2">
        <v>82.97399139</v>
      </c>
      <c r="E309" s="2">
        <v>99.9999955</v>
      </c>
      <c r="F309" s="2">
        <v>0.0</v>
      </c>
      <c r="G309" s="2">
        <v>4.503407453E-6</v>
      </c>
      <c r="H309" s="2">
        <v>0.0</v>
      </c>
      <c r="I309" s="2">
        <v>100.0</v>
      </c>
      <c r="J309" s="2">
        <v>0.0</v>
      </c>
      <c r="K309" s="2">
        <v>0.0</v>
      </c>
      <c r="L309" s="2">
        <v>0.0</v>
      </c>
      <c r="M309" s="2">
        <v>100.0</v>
      </c>
      <c r="N309" s="2">
        <v>0.0</v>
      </c>
      <c r="O309" s="2">
        <v>0.0</v>
      </c>
      <c r="P309" s="2">
        <v>0.0</v>
      </c>
      <c r="Q309" s="13" t="str">
        <f t="shared" si="1"/>
        <v>Norway|2020</v>
      </c>
      <c r="R309" s="14" t="str">
        <f t="shared" si="2"/>
        <v> </v>
      </c>
      <c r="T309" s="14" t="b">
        <f t="shared" si="3"/>
        <v>0</v>
      </c>
      <c r="U309" s="14" t="b">
        <f t="shared" si="29"/>
        <v>0</v>
      </c>
      <c r="V309" s="14" t="b">
        <f t="shared" si="4"/>
        <v>0</v>
      </c>
      <c r="W309" s="14">
        <f t="shared" si="5"/>
        <v>100</v>
      </c>
      <c r="X309" s="14">
        <f t="shared" si="6"/>
        <v>100</v>
      </c>
      <c r="Y309" s="14">
        <f t="shared" si="7"/>
        <v>100</v>
      </c>
      <c r="Z309" s="14" t="str">
        <f t="shared" si="8"/>
        <v/>
      </c>
      <c r="AA309" s="14" t="str">
        <f t="shared" si="9"/>
        <v/>
      </c>
      <c r="AB309" s="14" t="str">
        <f t="shared" si="10"/>
        <v/>
      </c>
      <c r="AC309" s="14">
        <f t="shared" si="11"/>
        <v>0</v>
      </c>
      <c r="AO309" s="21"/>
      <c r="AP309" s="24"/>
      <c r="AQ309" s="21"/>
      <c r="AS309" s="21"/>
      <c r="AT309" s="24"/>
      <c r="AU309" s="21"/>
      <c r="AX309" s="14" t="str">
        <f t="shared" si="22"/>
        <v>null</v>
      </c>
      <c r="AY309" s="14" t="str">
        <f t="shared" si="23"/>
        <v>null</v>
      </c>
      <c r="AZ309" s="14" t="str">
        <f t="shared" si="24"/>
        <v>null</v>
      </c>
      <c r="BA309" s="27"/>
    </row>
    <row r="310">
      <c r="A310" s="2" t="s">
        <v>216</v>
      </c>
      <c r="B310" s="2">
        <v>2015.0</v>
      </c>
      <c r="C310" s="2">
        <v>4267.34082</v>
      </c>
      <c r="D310" s="2">
        <v>81.34999847</v>
      </c>
      <c r="E310" s="2">
        <v>90.23848564</v>
      </c>
      <c r="F310" s="2">
        <v>8.208802788</v>
      </c>
      <c r="G310" s="2">
        <v>1.473142599</v>
      </c>
      <c r="H310" s="2">
        <v>0.0795689751</v>
      </c>
      <c r="I310" s="2">
        <v>74.36690846</v>
      </c>
      <c r="J310" s="2">
        <v>21.09767236</v>
      </c>
      <c r="K310" s="2">
        <v>4.386731832</v>
      </c>
      <c r="L310" s="2">
        <v>0.1486873508</v>
      </c>
      <c r="M310" s="2">
        <v>93.87714508</v>
      </c>
      <c r="N310" s="2">
        <v>5.253947929</v>
      </c>
      <c r="O310" s="2">
        <v>0.8051838421</v>
      </c>
      <c r="P310" s="2">
        <v>0.06372315036</v>
      </c>
      <c r="Q310" s="13" t="str">
        <f t="shared" si="1"/>
        <v>Oman|2015</v>
      </c>
      <c r="R310" s="14">
        <f t="shared" si="2"/>
        <v>5</v>
      </c>
      <c r="T310" s="14">
        <f t="shared" si="3"/>
        <v>0.38590781</v>
      </c>
      <c r="U310" s="14">
        <f t="shared" si="29"/>
        <v>0.37677429</v>
      </c>
      <c r="V310" s="14">
        <f t="shared" si="4"/>
        <v>0.164570984</v>
      </c>
      <c r="W310" s="14">
        <f t="shared" si="5"/>
        <v>90</v>
      </c>
      <c r="X310" s="14">
        <f t="shared" si="6"/>
        <v>74</v>
      </c>
      <c r="Y310" s="14">
        <f t="shared" si="7"/>
        <v>94</v>
      </c>
      <c r="Z310" s="14" t="str">
        <f t="shared" si="8"/>
        <v/>
      </c>
      <c r="AA310" s="14" t="str">
        <f t="shared" si="9"/>
        <v/>
      </c>
      <c r="AB310" s="14" t="str">
        <f t="shared" si="10"/>
        <v>Fully Accessible</v>
      </c>
      <c r="AC310" s="14">
        <f t="shared" si="11"/>
        <v>0.212203306</v>
      </c>
      <c r="AO310" s="21"/>
      <c r="AP310" s="24"/>
      <c r="AQ310" s="21"/>
      <c r="AS310" s="21"/>
      <c r="AT310" s="24"/>
      <c r="AU310" s="21"/>
      <c r="AX310" s="14">
        <f t="shared" si="22"/>
        <v>9373.96289</v>
      </c>
      <c r="AY310" s="14">
        <f t="shared" si="23"/>
        <v>167.6259918</v>
      </c>
      <c r="AZ310" s="14">
        <f t="shared" si="24"/>
        <v>9206.336898</v>
      </c>
      <c r="BA310" s="17"/>
    </row>
    <row r="311">
      <c r="A311" s="2" t="s">
        <v>216</v>
      </c>
      <c r="B311" s="2">
        <v>2020.0</v>
      </c>
      <c r="C311" s="2">
        <v>5106.62207</v>
      </c>
      <c r="D311" s="2">
        <v>86.27599335</v>
      </c>
      <c r="E311" s="2">
        <v>92.16802469</v>
      </c>
      <c r="F311" s="2">
        <v>7.541419893</v>
      </c>
      <c r="G311" s="2">
        <v>0.2604052036</v>
      </c>
      <c r="H311" s="2">
        <v>0.03015021745</v>
      </c>
      <c r="I311" s="2">
        <v>76.25077991</v>
      </c>
      <c r="J311" s="2">
        <v>21.63212113</v>
      </c>
      <c r="K311" s="2">
        <v>1.897409218</v>
      </c>
      <c r="L311" s="2">
        <v>0.2196897375</v>
      </c>
      <c r="M311" s="2">
        <v>94.7</v>
      </c>
      <c r="N311" s="2">
        <v>5.3</v>
      </c>
      <c r="O311" s="2">
        <v>0.0</v>
      </c>
      <c r="P311" s="2">
        <v>0.0</v>
      </c>
      <c r="Q311" s="13" t="str">
        <f t="shared" si="1"/>
        <v>Oman|2020</v>
      </c>
      <c r="R311" s="14" t="str">
        <f t="shared" si="2"/>
        <v> </v>
      </c>
      <c r="T311" s="14" t="b">
        <f t="shared" si="3"/>
        <v>0</v>
      </c>
      <c r="U311" s="14" t="b">
        <f t="shared" si="29"/>
        <v>0</v>
      </c>
      <c r="V311" s="14" t="b">
        <f t="shared" si="4"/>
        <v>0</v>
      </c>
      <c r="W311" s="14">
        <f t="shared" si="5"/>
        <v>92</v>
      </c>
      <c r="X311" s="14">
        <f t="shared" si="6"/>
        <v>76</v>
      </c>
      <c r="Y311" s="14">
        <f t="shared" si="7"/>
        <v>95</v>
      </c>
      <c r="Z311" s="14" t="str">
        <f t="shared" si="8"/>
        <v/>
      </c>
      <c r="AA311" s="14" t="str">
        <f t="shared" si="9"/>
        <v/>
      </c>
      <c r="AB311" s="14" t="str">
        <f t="shared" si="10"/>
        <v/>
      </c>
      <c r="AC311" s="14">
        <f t="shared" si="11"/>
        <v>0</v>
      </c>
      <c r="AO311" s="21"/>
      <c r="AP311" s="24"/>
      <c r="AQ311" s="21"/>
      <c r="AS311" s="21"/>
      <c r="AT311" s="24"/>
      <c r="AU311" s="21"/>
      <c r="AX311" s="14" t="str">
        <f t="shared" si="22"/>
        <v>null</v>
      </c>
      <c r="AY311" s="14" t="str">
        <f t="shared" si="23"/>
        <v>null</v>
      </c>
      <c r="AZ311" s="14" t="str">
        <f t="shared" si="24"/>
        <v>null</v>
      </c>
      <c r="BA311" s="17"/>
    </row>
    <row r="312">
      <c r="A312" s="2" t="s">
        <v>217</v>
      </c>
      <c r="B312" s="2">
        <v>2015.0</v>
      </c>
      <c r="C312" s="2">
        <v>199426.9531</v>
      </c>
      <c r="D312" s="2">
        <v>36.02600098</v>
      </c>
      <c r="E312" s="2">
        <v>89.45498234</v>
      </c>
      <c r="F312" s="2">
        <v>3.65595302</v>
      </c>
      <c r="G312" s="2">
        <v>4.42169119</v>
      </c>
      <c r="H312" s="2">
        <v>2.467373447</v>
      </c>
      <c r="I312" s="2">
        <v>87.15095676</v>
      </c>
      <c r="J312" s="2">
        <v>3.956563839</v>
      </c>
      <c r="K312" s="2">
        <v>5.236412879</v>
      </c>
      <c r="L312" s="2">
        <v>3.656066523</v>
      </c>
      <c r="M312" s="2">
        <v>93.54640884</v>
      </c>
      <c r="N312" s="2">
        <v>3.122136433</v>
      </c>
      <c r="O312" s="2">
        <v>2.974930389</v>
      </c>
      <c r="P312" s="2">
        <v>0.35652434</v>
      </c>
      <c r="Q312" s="13" t="str">
        <f t="shared" si="1"/>
        <v>Pakistan|2015</v>
      </c>
      <c r="R312" s="14">
        <f t="shared" si="2"/>
        <v>5</v>
      </c>
      <c r="T312" s="14">
        <f t="shared" si="3"/>
        <v>0.138796548</v>
      </c>
      <c r="U312" s="14">
        <f t="shared" si="29"/>
        <v>0.2897808</v>
      </c>
      <c r="V312" s="14">
        <f t="shared" si="4"/>
        <v>-0.155671798</v>
      </c>
      <c r="W312" s="14">
        <f t="shared" si="5"/>
        <v>89</v>
      </c>
      <c r="X312" s="14">
        <f t="shared" si="6"/>
        <v>87</v>
      </c>
      <c r="Y312" s="14">
        <f t="shared" si="7"/>
        <v>94</v>
      </c>
      <c r="Z312" s="14" t="str">
        <f t="shared" si="8"/>
        <v/>
      </c>
      <c r="AA312" s="14" t="str">
        <f t="shared" si="9"/>
        <v/>
      </c>
      <c r="AB312" s="14" t="str">
        <f t="shared" si="10"/>
        <v>Fully Accessible</v>
      </c>
      <c r="AC312" s="14">
        <f t="shared" si="11"/>
        <v>0.445452598</v>
      </c>
      <c r="AO312" s="21"/>
      <c r="AP312" s="24"/>
      <c r="AQ312" s="21"/>
      <c r="AS312" s="21"/>
      <c r="AT312" s="24"/>
      <c r="AU312" s="21"/>
      <c r="AX312" s="14">
        <f t="shared" si="22"/>
        <v>420319.2812</v>
      </c>
      <c r="AY312" s="14">
        <f t="shared" si="23"/>
        <v>73.1910019</v>
      </c>
      <c r="AZ312" s="14">
        <f t="shared" si="24"/>
        <v>420246.0902</v>
      </c>
      <c r="BA312" s="17"/>
    </row>
    <row r="313">
      <c r="A313" s="2" t="s">
        <v>217</v>
      </c>
      <c r="B313" s="2">
        <v>2020.0</v>
      </c>
      <c r="C313" s="2">
        <v>220892.3281</v>
      </c>
      <c r="D313" s="2">
        <v>37.16500092</v>
      </c>
      <c r="E313" s="2">
        <v>90.14896508</v>
      </c>
      <c r="F313" s="2">
        <v>3.822279525</v>
      </c>
      <c r="G313" s="2">
        <v>4.413307574</v>
      </c>
      <c r="H313" s="2">
        <v>1.61544782</v>
      </c>
      <c r="I313" s="2">
        <v>88.59986076</v>
      </c>
      <c r="J313" s="2">
        <v>3.852278117</v>
      </c>
      <c r="K313" s="2">
        <v>5.174596509</v>
      </c>
      <c r="L313" s="2">
        <v>2.373264617</v>
      </c>
      <c r="M313" s="2">
        <v>92.76804985</v>
      </c>
      <c r="N313" s="2">
        <v>3.771561162</v>
      </c>
      <c r="O313" s="2">
        <v>3.126184571</v>
      </c>
      <c r="P313" s="2">
        <v>0.3342044223</v>
      </c>
      <c r="Q313" s="13" t="str">
        <f t="shared" si="1"/>
        <v>Pakistan|2020</v>
      </c>
      <c r="R313" s="14" t="str">
        <f t="shared" si="2"/>
        <v> </v>
      </c>
      <c r="T313" s="14" t="b">
        <f t="shared" si="3"/>
        <v>0</v>
      </c>
      <c r="U313" s="14" t="b">
        <f t="shared" si="29"/>
        <v>0</v>
      </c>
      <c r="V313" s="14" t="b">
        <f t="shared" si="4"/>
        <v>0</v>
      </c>
      <c r="W313" s="14">
        <f t="shared" si="5"/>
        <v>90</v>
      </c>
      <c r="X313" s="14">
        <f t="shared" si="6"/>
        <v>89</v>
      </c>
      <c r="Y313" s="14">
        <f t="shared" si="7"/>
        <v>93</v>
      </c>
      <c r="Z313" s="14" t="str">
        <f t="shared" si="8"/>
        <v/>
      </c>
      <c r="AA313" s="14" t="str">
        <f t="shared" si="9"/>
        <v/>
      </c>
      <c r="AB313" s="14" t="str">
        <f t="shared" si="10"/>
        <v/>
      </c>
      <c r="AC313" s="14">
        <f t="shared" si="11"/>
        <v>0</v>
      </c>
      <c r="AO313" s="21"/>
      <c r="AP313" s="24"/>
      <c r="AQ313" s="21"/>
      <c r="AS313" s="21"/>
      <c r="AT313" s="24"/>
      <c r="AU313" s="21"/>
      <c r="AX313" s="14" t="str">
        <f t="shared" si="22"/>
        <v>null</v>
      </c>
      <c r="AY313" s="14" t="str">
        <f t="shared" si="23"/>
        <v>null</v>
      </c>
      <c r="AZ313" s="14" t="str">
        <f t="shared" si="24"/>
        <v>null</v>
      </c>
      <c r="BA313" s="8"/>
    </row>
    <row r="314">
      <c r="A314" s="2" t="s">
        <v>218</v>
      </c>
      <c r="B314" s="2">
        <v>2015.0</v>
      </c>
      <c r="C314" s="2">
        <v>17.66500092</v>
      </c>
      <c r="D314" s="2">
        <v>78.15899658</v>
      </c>
      <c r="E314" s="2">
        <v>99.63015085</v>
      </c>
      <c r="F314" s="2">
        <v>0.0</v>
      </c>
      <c r="G314" s="2">
        <v>0.3698491499</v>
      </c>
      <c r="H314" s="2">
        <v>0.0</v>
      </c>
      <c r="I314" s="2">
        <v>99.61387148</v>
      </c>
      <c r="J314" s="2">
        <v>0.0</v>
      </c>
      <c r="K314" s="2">
        <v>0.3861285173</v>
      </c>
      <c r="L314" s="2">
        <v>0.0</v>
      </c>
      <c r="M314" s="2">
        <v>99.63470173</v>
      </c>
      <c r="N314" s="2">
        <v>0.0</v>
      </c>
      <c r="O314" s="2">
        <v>0.3652982706</v>
      </c>
      <c r="P314" s="2">
        <v>0.0</v>
      </c>
      <c r="Q314" s="13" t="str">
        <f t="shared" si="1"/>
        <v>Palau|2015</v>
      </c>
      <c r="R314" s="14">
        <f t="shared" si="2"/>
        <v>5</v>
      </c>
      <c r="T314" s="14">
        <f t="shared" si="3"/>
        <v>0.00547893</v>
      </c>
      <c r="U314" s="14">
        <f t="shared" si="29"/>
        <v>0.02862271</v>
      </c>
      <c r="V314" s="14">
        <f t="shared" si="4"/>
        <v>-0.000099948</v>
      </c>
      <c r="W314" s="14">
        <f t="shared" si="5"/>
        <v>100</v>
      </c>
      <c r="X314" s="14">
        <f t="shared" si="6"/>
        <v>100</v>
      </c>
      <c r="Y314" s="14">
        <f t="shared" si="7"/>
        <v>100</v>
      </c>
      <c r="Z314" s="14" t="str">
        <f t="shared" si="8"/>
        <v/>
      </c>
      <c r="AA314" s="14" t="str">
        <f t="shared" si="9"/>
        <v/>
      </c>
      <c r="AB314" s="14" t="str">
        <f t="shared" si="10"/>
        <v>Fully Accessible</v>
      </c>
      <c r="AC314" s="14">
        <f t="shared" si="11"/>
        <v>0.028722658</v>
      </c>
      <c r="AO314" s="21"/>
      <c r="AP314" s="24"/>
      <c r="AQ314" s="21"/>
      <c r="AS314" s="21"/>
      <c r="AT314" s="24"/>
      <c r="AU314" s="21"/>
      <c r="AX314" s="14">
        <f t="shared" si="22"/>
        <v>35.75699997</v>
      </c>
      <c r="AY314" s="14">
        <f t="shared" si="23"/>
        <v>159.1469955</v>
      </c>
      <c r="AZ314" s="14">
        <f t="shared" si="24"/>
        <v>-123.3899956</v>
      </c>
      <c r="BA314" s="27"/>
    </row>
    <row r="315">
      <c r="A315" s="2" t="s">
        <v>218</v>
      </c>
      <c r="B315" s="2">
        <v>2020.0</v>
      </c>
      <c r="C315" s="2">
        <v>18.09199905</v>
      </c>
      <c r="D315" s="2">
        <v>80.98799896</v>
      </c>
      <c r="E315" s="2">
        <v>99.6575455</v>
      </c>
      <c r="F315" s="2">
        <v>0.0</v>
      </c>
      <c r="G315" s="2">
        <v>0.3424544984</v>
      </c>
      <c r="H315" s="2">
        <v>0.0</v>
      </c>
      <c r="I315" s="2">
        <v>99.75698503</v>
      </c>
      <c r="J315" s="2">
        <v>0.0</v>
      </c>
      <c r="K315" s="2">
        <v>0.2430149677</v>
      </c>
      <c r="L315" s="2">
        <v>0.0</v>
      </c>
      <c r="M315" s="2">
        <v>99.63420199</v>
      </c>
      <c r="N315" s="2">
        <v>0.0</v>
      </c>
      <c r="O315" s="2">
        <v>0.3657980078</v>
      </c>
      <c r="P315" s="2">
        <v>0.0</v>
      </c>
      <c r="Q315" s="13" t="str">
        <f t="shared" si="1"/>
        <v>Palau|2020</v>
      </c>
      <c r="R315" s="14" t="str">
        <f t="shared" si="2"/>
        <v> </v>
      </c>
      <c r="T315" s="14" t="b">
        <f t="shared" si="3"/>
        <v>0</v>
      </c>
      <c r="U315" s="14" t="b">
        <f t="shared" si="29"/>
        <v>0</v>
      </c>
      <c r="V315" s="14" t="b">
        <f t="shared" si="4"/>
        <v>0</v>
      </c>
      <c r="W315" s="14">
        <f t="shared" si="5"/>
        <v>100</v>
      </c>
      <c r="X315" s="14">
        <f t="shared" si="6"/>
        <v>100</v>
      </c>
      <c r="Y315" s="14">
        <f t="shared" si="7"/>
        <v>100</v>
      </c>
      <c r="Z315" s="14" t="str">
        <f t="shared" si="8"/>
        <v/>
      </c>
      <c r="AA315" s="14" t="str">
        <f t="shared" si="9"/>
        <v/>
      </c>
      <c r="AB315" s="14" t="str">
        <f t="shared" si="10"/>
        <v/>
      </c>
      <c r="AC315" s="14">
        <f t="shared" si="11"/>
        <v>0</v>
      </c>
      <c r="AO315" s="21"/>
      <c r="AP315" s="24"/>
      <c r="AQ315" s="21"/>
      <c r="AS315" s="21"/>
      <c r="AT315" s="24"/>
      <c r="AU315" s="21"/>
      <c r="AX315" s="14" t="str">
        <f t="shared" si="22"/>
        <v>null</v>
      </c>
      <c r="AY315" s="14" t="str">
        <f t="shared" si="23"/>
        <v>null</v>
      </c>
      <c r="AZ315" s="14" t="str">
        <f t="shared" si="24"/>
        <v>null</v>
      </c>
      <c r="BA315" s="17"/>
    </row>
    <row r="316">
      <c r="A316" s="2" t="s">
        <v>219</v>
      </c>
      <c r="B316" s="2">
        <v>2015.0</v>
      </c>
      <c r="C316" s="2">
        <v>3968.48999</v>
      </c>
      <c r="D316" s="2">
        <v>66.69599915</v>
      </c>
      <c r="E316" s="2">
        <v>92.90436561</v>
      </c>
      <c r="F316" s="2">
        <v>1.845644171</v>
      </c>
      <c r="G316" s="2">
        <v>3.160016841</v>
      </c>
      <c r="H316" s="2">
        <v>2.08997338</v>
      </c>
      <c r="I316" s="2">
        <v>83.67957953</v>
      </c>
      <c r="J316" s="2">
        <v>1.737106037</v>
      </c>
      <c r="K316" s="2">
        <v>8.379298168</v>
      </c>
      <c r="L316" s="2">
        <v>6.20401626</v>
      </c>
      <c r="M316" s="2">
        <v>97.51067739</v>
      </c>
      <c r="N316" s="2">
        <v>1.899841721</v>
      </c>
      <c r="O316" s="2">
        <v>0.5538148391</v>
      </c>
      <c r="P316" s="2">
        <v>0.03566604616</v>
      </c>
      <c r="Q316" s="13" t="str">
        <f t="shared" si="1"/>
        <v>Panama|2015</v>
      </c>
      <c r="R316" s="14">
        <f t="shared" si="2"/>
        <v>5</v>
      </c>
      <c r="T316" s="14">
        <f t="shared" si="3"/>
        <v>0.29363575</v>
      </c>
      <c r="U316" s="14">
        <f t="shared" si="29"/>
        <v>0.528700746</v>
      </c>
      <c r="V316" s="14">
        <f t="shared" si="4"/>
        <v>0.115643056</v>
      </c>
      <c r="W316" s="14">
        <f t="shared" si="5"/>
        <v>93</v>
      </c>
      <c r="X316" s="14">
        <f t="shared" si="6"/>
        <v>84</v>
      </c>
      <c r="Y316" s="14">
        <f t="shared" si="7"/>
        <v>98</v>
      </c>
      <c r="Z316" s="14" t="str">
        <f t="shared" si="8"/>
        <v/>
      </c>
      <c r="AA316" s="14" t="str">
        <f t="shared" si="9"/>
        <v/>
      </c>
      <c r="AB316" s="14" t="str">
        <f t="shared" si="10"/>
        <v>Fully Accessible</v>
      </c>
      <c r="AC316" s="14">
        <f t="shared" si="11"/>
        <v>0.41305769</v>
      </c>
      <c r="AO316" s="21"/>
      <c r="AP316" s="24"/>
      <c r="AQ316" s="21"/>
      <c r="AS316" s="21"/>
      <c r="AT316" s="24"/>
      <c r="AU316" s="21"/>
      <c r="AX316" s="14">
        <f t="shared" si="22"/>
        <v>8283.258056</v>
      </c>
      <c r="AY316" s="14">
        <f t="shared" si="23"/>
        <v>135.1100006</v>
      </c>
      <c r="AZ316" s="14">
        <f t="shared" si="24"/>
        <v>8148.148055</v>
      </c>
      <c r="BA316" s="27"/>
    </row>
    <row r="317">
      <c r="A317" s="2" t="s">
        <v>219</v>
      </c>
      <c r="B317" s="2">
        <v>2020.0</v>
      </c>
      <c r="C317" s="2">
        <v>4314.768066</v>
      </c>
      <c r="D317" s="2">
        <v>68.41400146</v>
      </c>
      <c r="E317" s="2">
        <v>94.37254436</v>
      </c>
      <c r="F317" s="2">
        <v>1.873480592</v>
      </c>
      <c r="G317" s="2">
        <v>2.262304247</v>
      </c>
      <c r="H317" s="2">
        <v>1.491670799</v>
      </c>
      <c r="I317" s="2">
        <v>86.32308326</v>
      </c>
      <c r="J317" s="2">
        <v>1.791982583</v>
      </c>
      <c r="K317" s="2">
        <v>7.162364342</v>
      </c>
      <c r="L317" s="2">
        <v>4.722569811</v>
      </c>
      <c r="M317" s="2">
        <v>98.08889267</v>
      </c>
      <c r="N317" s="2">
        <v>1.911107333</v>
      </c>
      <c r="O317" s="2">
        <v>0.0</v>
      </c>
      <c r="P317" s="2">
        <v>0.0</v>
      </c>
      <c r="Q317" s="13" t="str">
        <f t="shared" si="1"/>
        <v>Panama|2020</v>
      </c>
      <c r="R317" s="14" t="str">
        <f t="shared" si="2"/>
        <v> </v>
      </c>
      <c r="T317" s="14" t="b">
        <f t="shared" si="3"/>
        <v>0</v>
      </c>
      <c r="U317" s="14" t="b">
        <f t="shared" si="29"/>
        <v>0</v>
      </c>
      <c r="V317" s="14" t="b">
        <f t="shared" si="4"/>
        <v>0</v>
      </c>
      <c r="W317" s="14">
        <f t="shared" si="5"/>
        <v>94</v>
      </c>
      <c r="X317" s="14">
        <f t="shared" si="6"/>
        <v>86</v>
      </c>
      <c r="Y317" s="14">
        <f t="shared" si="7"/>
        <v>98</v>
      </c>
      <c r="Z317" s="14" t="str">
        <f t="shared" si="8"/>
        <v/>
      </c>
      <c r="AA317" s="14" t="str">
        <f t="shared" si="9"/>
        <v/>
      </c>
      <c r="AB317" s="14" t="str">
        <f t="shared" si="10"/>
        <v/>
      </c>
      <c r="AC317" s="14">
        <f t="shared" si="11"/>
        <v>0</v>
      </c>
      <c r="AO317" s="21"/>
      <c r="AP317" s="24"/>
      <c r="AQ317" s="21"/>
      <c r="AS317" s="21"/>
      <c r="AT317" s="24"/>
      <c r="AU317" s="21"/>
      <c r="AX317" s="14" t="str">
        <f t="shared" si="22"/>
        <v>null</v>
      </c>
      <c r="AY317" s="14" t="str">
        <f t="shared" si="23"/>
        <v>null</v>
      </c>
      <c r="AZ317" s="14" t="str">
        <f t="shared" si="24"/>
        <v>null</v>
      </c>
      <c r="BA317" s="27"/>
    </row>
    <row r="318">
      <c r="A318" s="2" t="s">
        <v>220</v>
      </c>
      <c r="B318" s="2">
        <v>2015.0</v>
      </c>
      <c r="C318" s="2">
        <v>8107.771973</v>
      </c>
      <c r="D318" s="2">
        <v>13.01200008</v>
      </c>
      <c r="E318" s="2">
        <v>41.48550844</v>
      </c>
      <c r="F318" s="2">
        <v>1.80995308</v>
      </c>
      <c r="G318" s="2">
        <v>21.261052</v>
      </c>
      <c r="H318" s="2">
        <v>35.44348648</v>
      </c>
      <c r="I318" s="2">
        <v>34.990633</v>
      </c>
      <c r="J318" s="2">
        <v>1.804724433</v>
      </c>
      <c r="K318" s="2">
        <v>23.25354875</v>
      </c>
      <c r="L318" s="2">
        <v>39.95109382</v>
      </c>
      <c r="M318" s="2">
        <v>84.90514306</v>
      </c>
      <c r="N318" s="2">
        <v>1.844907912</v>
      </c>
      <c r="O318" s="2">
        <v>7.940776435</v>
      </c>
      <c r="P318" s="2">
        <v>5.309172598</v>
      </c>
      <c r="Q318" s="13" t="str">
        <f t="shared" si="1"/>
        <v>Papua New Guinea|2015</v>
      </c>
      <c r="R318" s="14">
        <f t="shared" si="2"/>
        <v>5</v>
      </c>
      <c r="T318" s="14">
        <f t="shared" si="3"/>
        <v>0.771701816</v>
      </c>
      <c r="U318" s="14">
        <f t="shared" si="29"/>
        <v>0.816142134</v>
      </c>
      <c r="V318" s="14">
        <f t="shared" si="4"/>
        <v>0.234025716</v>
      </c>
      <c r="W318" s="14">
        <f t="shared" si="5"/>
        <v>41</v>
      </c>
      <c r="X318" s="14">
        <f t="shared" si="6"/>
        <v>35</v>
      </c>
      <c r="Y318" s="14">
        <f t="shared" si="7"/>
        <v>85</v>
      </c>
      <c r="Z318" s="14" t="str">
        <f t="shared" si="8"/>
        <v/>
      </c>
      <c r="AA318" s="14" t="str">
        <f t="shared" si="9"/>
        <v/>
      </c>
      <c r="AB318" s="14" t="str">
        <f t="shared" si="10"/>
        <v>Fully Accessible</v>
      </c>
      <c r="AC318" s="14">
        <f t="shared" si="11"/>
        <v>0.582116418</v>
      </c>
      <c r="AO318" s="21"/>
      <c r="AP318" s="24"/>
      <c r="AQ318" s="21"/>
      <c r="AS318" s="21"/>
      <c r="AT318" s="24"/>
      <c r="AU318" s="21"/>
      <c r="AX318" s="14">
        <f t="shared" si="22"/>
        <v>17054.79932</v>
      </c>
      <c r="AY318" s="14">
        <f t="shared" si="23"/>
        <v>26.35700035</v>
      </c>
      <c r="AZ318" s="14">
        <f t="shared" si="24"/>
        <v>17028.44232</v>
      </c>
      <c r="BA318" s="17"/>
    </row>
    <row r="319">
      <c r="A319" s="2" t="s">
        <v>220</v>
      </c>
      <c r="B319" s="2">
        <v>2020.0</v>
      </c>
      <c r="C319" s="2">
        <v>8947.027344</v>
      </c>
      <c r="D319" s="2">
        <v>13.34500027</v>
      </c>
      <c r="E319" s="2">
        <v>45.34401752</v>
      </c>
      <c r="F319" s="2">
        <v>2.128564452</v>
      </c>
      <c r="G319" s="2">
        <v>22.15762495</v>
      </c>
      <c r="H319" s="2">
        <v>30.36979308</v>
      </c>
      <c r="I319" s="2">
        <v>39.07134367</v>
      </c>
      <c r="J319" s="2">
        <v>2.429850293</v>
      </c>
      <c r="K319" s="2">
        <v>24.43180086</v>
      </c>
      <c r="L319" s="2">
        <v>34.06700517</v>
      </c>
      <c r="M319" s="2">
        <v>86.07527164</v>
      </c>
      <c r="N319" s="2">
        <v>0.1721822608</v>
      </c>
      <c r="O319" s="2">
        <v>7.390385564</v>
      </c>
      <c r="P319" s="2">
        <v>6.362160532</v>
      </c>
      <c r="Q319" s="13" t="str">
        <f t="shared" si="1"/>
        <v>Papua New Guinea|2020</v>
      </c>
      <c r="R319" s="14" t="str">
        <f t="shared" si="2"/>
        <v> </v>
      </c>
      <c r="T319" s="14" t="b">
        <f t="shared" si="3"/>
        <v>0</v>
      </c>
      <c r="U319" s="14" t="b">
        <f t="shared" si="29"/>
        <v>0</v>
      </c>
      <c r="V319" s="14" t="b">
        <f t="shared" si="4"/>
        <v>0</v>
      </c>
      <c r="W319" s="14">
        <f t="shared" si="5"/>
        <v>45</v>
      </c>
      <c r="X319" s="14">
        <f t="shared" si="6"/>
        <v>39</v>
      </c>
      <c r="Y319" s="14">
        <f t="shared" si="7"/>
        <v>86</v>
      </c>
      <c r="Z319" s="14" t="str">
        <f t="shared" si="8"/>
        <v/>
      </c>
      <c r="AA319" s="14" t="str">
        <f t="shared" si="9"/>
        <v/>
      </c>
      <c r="AB319" s="14" t="str">
        <f t="shared" si="10"/>
        <v/>
      </c>
      <c r="AC319" s="14">
        <f t="shared" si="11"/>
        <v>0</v>
      </c>
      <c r="AO319" s="21"/>
      <c r="AP319" s="24"/>
      <c r="AQ319" s="21"/>
      <c r="AS319" s="21"/>
      <c r="AT319" s="24"/>
      <c r="AU319" s="21"/>
      <c r="AX319" s="14" t="str">
        <f t="shared" si="22"/>
        <v>null</v>
      </c>
      <c r="AY319" s="14" t="str">
        <f t="shared" si="23"/>
        <v>null</v>
      </c>
      <c r="AZ319" s="14" t="str">
        <f t="shared" si="24"/>
        <v>null</v>
      </c>
      <c r="BA319" s="17"/>
    </row>
    <row r="320">
      <c r="A320" s="2" t="s">
        <v>221</v>
      </c>
      <c r="B320" s="2">
        <v>2015.0</v>
      </c>
      <c r="C320" s="2">
        <v>6688.746094</v>
      </c>
      <c r="D320" s="2">
        <v>60.75</v>
      </c>
      <c r="E320" s="2">
        <v>96.83621453</v>
      </c>
      <c r="F320" s="2">
        <v>0.328424003</v>
      </c>
      <c r="G320" s="2">
        <v>2.756768199</v>
      </c>
      <c r="H320" s="2">
        <v>0.07859326698</v>
      </c>
      <c r="I320" s="2">
        <v>93.34470029</v>
      </c>
      <c r="J320" s="2">
        <v>0.6976664397</v>
      </c>
      <c r="K320" s="2">
        <v>5.757395646</v>
      </c>
      <c r="L320" s="2">
        <v>0.2002376288</v>
      </c>
      <c r="M320" s="2">
        <v>99.09204873</v>
      </c>
      <c r="N320" s="2">
        <v>0.08985997117</v>
      </c>
      <c r="O320" s="2">
        <v>0.818091301</v>
      </c>
      <c r="P320" s="2">
        <v>0.0</v>
      </c>
      <c r="Q320" s="13" t="str">
        <f t="shared" si="1"/>
        <v>Paraguay|2015</v>
      </c>
      <c r="R320" s="14">
        <f t="shared" si="2"/>
        <v>5</v>
      </c>
      <c r="T320" s="14">
        <f t="shared" si="3"/>
        <v>0.55145036</v>
      </c>
      <c r="U320" s="14">
        <f t="shared" si="29"/>
        <v>1.153305448</v>
      </c>
      <c r="V320" s="14">
        <f t="shared" si="4"/>
        <v>0.158939962</v>
      </c>
      <c r="W320" s="14">
        <f t="shared" si="5"/>
        <v>97</v>
      </c>
      <c r="X320" s="14">
        <f t="shared" si="6"/>
        <v>93</v>
      </c>
      <c r="Y320" s="14">
        <f t="shared" si="7"/>
        <v>99</v>
      </c>
      <c r="Z320" s="14" t="str">
        <f t="shared" si="8"/>
        <v/>
      </c>
      <c r="AA320" s="14" t="str">
        <f t="shared" si="9"/>
        <v/>
      </c>
      <c r="AB320" s="14" t="str">
        <f t="shared" si="10"/>
        <v>Fully Accessible</v>
      </c>
      <c r="AC320" s="14">
        <f t="shared" si="11"/>
        <v>0.994365486</v>
      </c>
      <c r="AO320" s="21"/>
      <c r="AP320" s="24"/>
      <c r="AQ320" s="21"/>
      <c r="AS320" s="21"/>
      <c r="AT320" s="24"/>
      <c r="AU320" s="21"/>
      <c r="AX320" s="14">
        <f t="shared" si="22"/>
        <v>13821.27588</v>
      </c>
      <c r="AY320" s="14">
        <f t="shared" si="23"/>
        <v>122.9329948</v>
      </c>
      <c r="AZ320" s="14">
        <f t="shared" si="24"/>
        <v>13698.34288</v>
      </c>
      <c r="BA320" s="17"/>
    </row>
    <row r="321">
      <c r="A321" s="2" t="s">
        <v>221</v>
      </c>
      <c r="B321" s="2">
        <v>2020.0</v>
      </c>
      <c r="C321" s="2">
        <v>7132.529785</v>
      </c>
      <c r="D321" s="2">
        <v>62.18299484</v>
      </c>
      <c r="E321" s="2">
        <v>99.59346633</v>
      </c>
      <c r="F321" s="2">
        <v>0.4065302439</v>
      </c>
      <c r="G321" s="2">
        <v>3.4229177E-6</v>
      </c>
      <c r="H321" s="2">
        <v>0.0</v>
      </c>
      <c r="I321" s="2">
        <v>99.11122753</v>
      </c>
      <c r="J321" s="2">
        <v>0.8887724684</v>
      </c>
      <c r="K321" s="2">
        <v>0.0</v>
      </c>
      <c r="L321" s="2">
        <v>0.0</v>
      </c>
      <c r="M321" s="2">
        <v>99.88674854</v>
      </c>
      <c r="N321" s="2">
        <v>0.1132514643</v>
      </c>
      <c r="O321" s="2">
        <v>0.0</v>
      </c>
      <c r="P321" s="2">
        <v>0.0</v>
      </c>
      <c r="Q321" s="13" t="str">
        <f t="shared" si="1"/>
        <v>Paraguay|2020</v>
      </c>
      <c r="R321" s="14" t="str">
        <f t="shared" si="2"/>
        <v> </v>
      </c>
      <c r="T321" s="14" t="b">
        <f t="shared" si="3"/>
        <v>0</v>
      </c>
      <c r="U321" s="14" t="b">
        <f t="shared" si="29"/>
        <v>0</v>
      </c>
      <c r="V321" s="14" t="b">
        <f t="shared" si="4"/>
        <v>0</v>
      </c>
      <c r="W321" s="14">
        <f t="shared" si="5"/>
        <v>100</v>
      </c>
      <c r="X321" s="14">
        <f t="shared" si="6"/>
        <v>99</v>
      </c>
      <c r="Y321" s="14">
        <f t="shared" si="7"/>
        <v>100</v>
      </c>
      <c r="Z321" s="14" t="str">
        <f t="shared" si="8"/>
        <v/>
      </c>
      <c r="AA321" s="14" t="str">
        <f t="shared" si="9"/>
        <v/>
      </c>
      <c r="AB321" s="14" t="str">
        <f t="shared" si="10"/>
        <v/>
      </c>
      <c r="AC321" s="14">
        <f t="shared" si="11"/>
        <v>0</v>
      </c>
      <c r="AO321" s="21"/>
      <c r="AP321" s="24"/>
      <c r="AQ321" s="21"/>
      <c r="AS321" s="21"/>
      <c r="AT321" s="24"/>
      <c r="AU321" s="21"/>
      <c r="AX321" s="14" t="str">
        <f t="shared" si="22"/>
        <v>null</v>
      </c>
      <c r="AY321" s="14" t="str">
        <f t="shared" si="23"/>
        <v>null</v>
      </c>
      <c r="AZ321" s="14" t="str">
        <f t="shared" si="24"/>
        <v>null</v>
      </c>
      <c r="BA321" s="8"/>
    </row>
    <row r="322">
      <c r="A322" s="2" t="s">
        <v>222</v>
      </c>
      <c r="B322" s="2">
        <v>2015.0</v>
      </c>
      <c r="C322" s="2">
        <v>30470.73828</v>
      </c>
      <c r="D322" s="2">
        <v>77.35700226</v>
      </c>
      <c r="E322" s="2">
        <v>90.28200304</v>
      </c>
      <c r="F322" s="2">
        <v>0.9325834719</v>
      </c>
      <c r="G322" s="2">
        <v>5.763626055</v>
      </c>
      <c r="H322" s="2">
        <v>3.021787439</v>
      </c>
      <c r="I322" s="2">
        <v>73.28762384</v>
      </c>
      <c r="J322" s="2">
        <v>1.523040337</v>
      </c>
      <c r="K322" s="2">
        <v>12.99206766</v>
      </c>
      <c r="L322" s="2">
        <v>12.19726817</v>
      </c>
      <c r="M322" s="2">
        <v>95.25638702</v>
      </c>
      <c r="N322" s="2">
        <v>0.75975209</v>
      </c>
      <c r="O322" s="2">
        <v>3.647808558</v>
      </c>
      <c r="P322" s="2">
        <v>0.3360523291</v>
      </c>
      <c r="Q322" s="13" t="str">
        <f t="shared" si="1"/>
        <v>Peru|2015</v>
      </c>
      <c r="R322" s="14">
        <f t="shared" si="2"/>
        <v>5</v>
      </c>
      <c r="T322" s="14">
        <f t="shared" si="3"/>
        <v>0.571472634</v>
      </c>
      <c r="U322" s="14">
        <f t="shared" si="29"/>
        <v>1.50236293</v>
      </c>
      <c r="V322" s="14">
        <f t="shared" si="4"/>
        <v>0.260691412</v>
      </c>
      <c r="W322" s="14">
        <f t="shared" si="5"/>
        <v>90</v>
      </c>
      <c r="X322" s="14">
        <f t="shared" si="6"/>
        <v>73</v>
      </c>
      <c r="Y322" s="14">
        <f t="shared" si="7"/>
        <v>95</v>
      </c>
      <c r="Z322" s="14" t="str">
        <f t="shared" si="8"/>
        <v/>
      </c>
      <c r="AA322" s="14" t="str">
        <f t="shared" si="9"/>
        <v/>
      </c>
      <c r="AB322" s="14" t="str">
        <f t="shared" si="10"/>
        <v>Fully Accessible</v>
      </c>
      <c r="AC322" s="14">
        <f t="shared" si="11"/>
        <v>1.241671518</v>
      </c>
      <c r="AO322" s="21"/>
      <c r="AP322" s="24"/>
      <c r="AQ322" s="21"/>
      <c r="AS322" s="21"/>
      <c r="AT322" s="24"/>
      <c r="AU322" s="21"/>
      <c r="AX322" s="14">
        <f t="shared" si="22"/>
        <v>63442.58594</v>
      </c>
      <c r="AY322" s="14">
        <f t="shared" si="23"/>
        <v>155.654007</v>
      </c>
      <c r="AZ322" s="14">
        <f t="shared" si="24"/>
        <v>63286.93193</v>
      </c>
      <c r="BA322" s="27"/>
    </row>
    <row r="323">
      <c r="A323" s="2" t="s">
        <v>222</v>
      </c>
      <c r="B323" s="2">
        <v>2020.0</v>
      </c>
      <c r="C323" s="2">
        <v>32971.84766</v>
      </c>
      <c r="D323" s="2">
        <v>78.2970047</v>
      </c>
      <c r="E323" s="2">
        <v>93.13936621</v>
      </c>
      <c r="F323" s="2">
        <v>0.8495593511</v>
      </c>
      <c r="G323" s="2">
        <v>4.150468349</v>
      </c>
      <c r="H323" s="2">
        <v>1.860606087</v>
      </c>
      <c r="I323" s="2">
        <v>80.79943849</v>
      </c>
      <c r="J323" s="2">
        <v>1.596943771</v>
      </c>
      <c r="K323" s="2">
        <v>9.612691163</v>
      </c>
      <c r="L323" s="2">
        <v>7.990926578</v>
      </c>
      <c r="M323" s="2">
        <v>96.55984408</v>
      </c>
      <c r="N323" s="2">
        <v>0.6423932356</v>
      </c>
      <c r="O323" s="2">
        <v>2.636408693</v>
      </c>
      <c r="P323" s="2">
        <v>0.1613539953</v>
      </c>
      <c r="Q323" s="13" t="str">
        <f t="shared" si="1"/>
        <v>Peru|2020</v>
      </c>
      <c r="R323" s="14" t="str">
        <f t="shared" si="2"/>
        <v> </v>
      </c>
      <c r="T323" s="14" t="b">
        <f t="shared" si="3"/>
        <v>0</v>
      </c>
      <c r="U323" s="14" t="b">
        <f t="shared" si="29"/>
        <v>0</v>
      </c>
      <c r="V323" s="14" t="b">
        <f t="shared" si="4"/>
        <v>0</v>
      </c>
      <c r="W323" s="14">
        <f t="shared" si="5"/>
        <v>93</v>
      </c>
      <c r="X323" s="14">
        <f t="shared" si="6"/>
        <v>81</v>
      </c>
      <c r="Y323" s="14">
        <f t="shared" si="7"/>
        <v>97</v>
      </c>
      <c r="Z323" s="14" t="str">
        <f t="shared" si="8"/>
        <v/>
      </c>
      <c r="AA323" s="14" t="str">
        <f t="shared" si="9"/>
        <v/>
      </c>
      <c r="AB323" s="14" t="str">
        <f t="shared" si="10"/>
        <v/>
      </c>
      <c r="AC323" s="14">
        <f t="shared" si="11"/>
        <v>0</v>
      </c>
      <c r="AO323" s="21"/>
      <c r="AP323" s="24"/>
      <c r="AQ323" s="21"/>
      <c r="AS323" s="21"/>
      <c r="AT323" s="24"/>
      <c r="AU323" s="21"/>
      <c r="AX323" s="14" t="str">
        <f t="shared" si="22"/>
        <v>null</v>
      </c>
      <c r="AY323" s="14" t="str">
        <f t="shared" si="23"/>
        <v>null</v>
      </c>
      <c r="AZ323" s="14" t="str">
        <f t="shared" si="24"/>
        <v>null</v>
      </c>
      <c r="BA323" s="17"/>
    </row>
    <row r="324">
      <c r="A324" s="2" t="s">
        <v>223</v>
      </c>
      <c r="B324" s="2">
        <v>2015.0</v>
      </c>
      <c r="C324" s="2">
        <v>102113.2031</v>
      </c>
      <c r="D324" s="2">
        <v>46.2840004</v>
      </c>
      <c r="E324" s="2">
        <v>92.01770102</v>
      </c>
      <c r="F324" s="2">
        <v>2.920429319</v>
      </c>
      <c r="G324" s="2">
        <v>4.532138462</v>
      </c>
      <c r="H324" s="2">
        <v>0.5297311944</v>
      </c>
      <c r="I324" s="2">
        <v>88.20816233</v>
      </c>
      <c r="J324" s="2">
        <v>3.825892542</v>
      </c>
      <c r="K324" s="2">
        <v>7.111213037</v>
      </c>
      <c r="L324" s="2">
        <v>0.8547320937</v>
      </c>
      <c r="M324" s="2">
        <v>96.43895214</v>
      </c>
      <c r="N324" s="2">
        <v>1.869572353</v>
      </c>
      <c r="O324" s="2">
        <v>1.538931873</v>
      </c>
      <c r="P324" s="2">
        <v>0.1525436393</v>
      </c>
      <c r="Q324" s="13" t="str">
        <f t="shared" si="1"/>
        <v>Philippines|2015</v>
      </c>
      <c r="R324" s="14">
        <f t="shared" si="2"/>
        <v>5</v>
      </c>
      <c r="T324" s="14">
        <f t="shared" si="3"/>
        <v>0.418266708</v>
      </c>
      <c r="U324" s="14">
        <f t="shared" si="29"/>
        <v>0.570754178</v>
      </c>
      <c r="V324" s="14">
        <f t="shared" si="4"/>
        <v>0.210076072</v>
      </c>
      <c r="W324" s="14">
        <f t="shared" si="5"/>
        <v>92</v>
      </c>
      <c r="X324" s="14">
        <f t="shared" si="6"/>
        <v>88</v>
      </c>
      <c r="Y324" s="14">
        <f t="shared" si="7"/>
        <v>96</v>
      </c>
      <c r="Z324" s="14" t="str">
        <f t="shared" si="8"/>
        <v/>
      </c>
      <c r="AA324" s="14" t="str">
        <f t="shared" si="9"/>
        <v/>
      </c>
      <c r="AB324" s="14" t="str">
        <f t="shared" si="10"/>
        <v>Fully Accessible</v>
      </c>
      <c r="AC324" s="14">
        <f t="shared" si="11"/>
        <v>0.360678106</v>
      </c>
      <c r="AO324" s="21"/>
      <c r="AP324" s="24"/>
      <c r="AQ324" s="21"/>
      <c r="AS324" s="21"/>
      <c r="AT324" s="24"/>
      <c r="AU324" s="21"/>
      <c r="AX324" s="14">
        <f t="shared" si="22"/>
        <v>211694.289</v>
      </c>
      <c r="AY324" s="14">
        <f t="shared" si="23"/>
        <v>93.69199753</v>
      </c>
      <c r="AZ324" s="14">
        <f t="shared" si="24"/>
        <v>211600.597</v>
      </c>
      <c r="BA324" s="27"/>
    </row>
    <row r="325">
      <c r="A325" s="2" t="s">
        <v>223</v>
      </c>
      <c r="B325" s="2">
        <v>2020.0</v>
      </c>
      <c r="C325" s="2">
        <v>109581.0859</v>
      </c>
      <c r="D325" s="2">
        <v>47.40799713</v>
      </c>
      <c r="E325" s="2">
        <v>94.10903456</v>
      </c>
      <c r="F325" s="2">
        <v>2.856486137</v>
      </c>
      <c r="G325" s="2">
        <v>3.034479307</v>
      </c>
      <c r="H325" s="2">
        <v>0.0</v>
      </c>
      <c r="I325" s="2">
        <v>91.06193322</v>
      </c>
      <c r="J325" s="2">
        <v>3.959520428</v>
      </c>
      <c r="K325" s="2">
        <v>4.978546347</v>
      </c>
      <c r="L325" s="2">
        <v>0.0</v>
      </c>
      <c r="M325" s="2">
        <v>97.4893325</v>
      </c>
      <c r="N325" s="2">
        <v>1.632836465</v>
      </c>
      <c r="O325" s="2">
        <v>0.877831036</v>
      </c>
      <c r="P325" s="2">
        <v>0.0</v>
      </c>
      <c r="Q325" s="13" t="str">
        <f t="shared" si="1"/>
        <v>Philippines|2020</v>
      </c>
      <c r="R325" s="14" t="str">
        <f t="shared" si="2"/>
        <v> </v>
      </c>
      <c r="T325" s="14" t="b">
        <f t="shared" si="3"/>
        <v>0</v>
      </c>
      <c r="U325" s="14" t="b">
        <f t="shared" si="29"/>
        <v>0</v>
      </c>
      <c r="V325" s="14" t="b">
        <f t="shared" si="4"/>
        <v>0</v>
      </c>
      <c r="W325" s="14">
        <f t="shared" si="5"/>
        <v>94</v>
      </c>
      <c r="X325" s="14">
        <f t="shared" si="6"/>
        <v>91</v>
      </c>
      <c r="Y325" s="14">
        <f t="shared" si="7"/>
        <v>97</v>
      </c>
      <c r="Z325" s="14" t="str">
        <f t="shared" si="8"/>
        <v/>
      </c>
      <c r="AA325" s="14" t="str">
        <f t="shared" si="9"/>
        <v/>
      </c>
      <c r="AB325" s="14" t="str">
        <f t="shared" si="10"/>
        <v/>
      </c>
      <c r="AC325" s="14">
        <f t="shared" si="11"/>
        <v>0</v>
      </c>
      <c r="AO325" s="21"/>
      <c r="AP325" s="24"/>
      <c r="AQ325" s="21"/>
      <c r="AS325" s="21"/>
      <c r="AT325" s="24"/>
      <c r="AU325" s="21"/>
      <c r="AX325" s="14" t="str">
        <f t="shared" si="22"/>
        <v>null</v>
      </c>
      <c r="AY325" s="14" t="str">
        <f t="shared" si="23"/>
        <v>null</v>
      </c>
      <c r="AZ325" s="14" t="str">
        <f t="shared" si="24"/>
        <v>null</v>
      </c>
      <c r="BA325" s="27"/>
    </row>
    <row r="326">
      <c r="A326" s="2" t="s">
        <v>224</v>
      </c>
      <c r="B326" s="2">
        <v>2015.0</v>
      </c>
      <c r="C326" s="2">
        <v>38034.07422</v>
      </c>
      <c r="D326" s="2">
        <v>60.27799606</v>
      </c>
      <c r="E326" s="2">
        <v>99.23206988</v>
      </c>
      <c r="F326" s="2">
        <v>0.0</v>
      </c>
      <c r="G326" s="2">
        <v>0.7679301246</v>
      </c>
      <c r="H326" s="2">
        <v>0.0</v>
      </c>
      <c r="I326" s="2">
        <v>98.53790323</v>
      </c>
      <c r="J326" s="2">
        <v>0.0</v>
      </c>
      <c r="K326" s="2">
        <v>1.462096774</v>
      </c>
      <c r="L326" s="2">
        <v>0.0</v>
      </c>
      <c r="M326" s="2">
        <v>99.68951613</v>
      </c>
      <c r="N326" s="2">
        <v>0.0</v>
      </c>
      <c r="O326" s="2">
        <v>0.310483871</v>
      </c>
      <c r="P326" s="2">
        <v>0.0</v>
      </c>
      <c r="Q326" s="13" t="str">
        <f t="shared" si="1"/>
        <v>Poland|2015</v>
      </c>
      <c r="R326" s="14">
        <f t="shared" si="2"/>
        <v>5</v>
      </c>
      <c r="T326" s="14">
        <f t="shared" si="3"/>
        <v>0.146904334</v>
      </c>
      <c r="U326" s="14">
        <f t="shared" si="29"/>
        <v>0.292419354</v>
      </c>
      <c r="V326" s="14">
        <f t="shared" si="4"/>
        <v>0.050967742</v>
      </c>
      <c r="W326" s="14">
        <f t="shared" si="5"/>
        <v>99</v>
      </c>
      <c r="X326" s="14">
        <f t="shared" si="6"/>
        <v>99</v>
      </c>
      <c r="Y326" s="14">
        <f t="shared" si="7"/>
        <v>100</v>
      </c>
      <c r="Z326" s="14" t="str">
        <f t="shared" si="8"/>
        <v/>
      </c>
      <c r="AA326" s="14" t="str">
        <f t="shared" si="9"/>
        <v/>
      </c>
      <c r="AB326" s="14" t="str">
        <f t="shared" si="10"/>
        <v>Fully Accessible</v>
      </c>
      <c r="AC326" s="14">
        <f t="shared" si="11"/>
        <v>0.241451612</v>
      </c>
      <c r="AO326" s="21"/>
      <c r="AP326" s="24"/>
      <c r="AQ326" s="21"/>
      <c r="AS326" s="21"/>
      <c r="AT326" s="24"/>
      <c r="AU326" s="21"/>
      <c r="AX326" s="14">
        <f t="shared" si="22"/>
        <v>75880.67969</v>
      </c>
      <c r="AY326" s="14">
        <f t="shared" si="23"/>
        <v>120.3209991</v>
      </c>
      <c r="AZ326" s="14">
        <f t="shared" si="24"/>
        <v>75760.35869</v>
      </c>
      <c r="BA326" s="17"/>
    </row>
    <row r="327">
      <c r="A327" s="2" t="s">
        <v>224</v>
      </c>
      <c r="B327" s="2">
        <v>2020.0</v>
      </c>
      <c r="C327" s="2">
        <v>37846.60547</v>
      </c>
      <c r="D327" s="2">
        <v>60.04300308</v>
      </c>
      <c r="E327" s="2">
        <v>99.96659155</v>
      </c>
      <c r="F327" s="2">
        <v>0.0</v>
      </c>
      <c r="G327" s="2">
        <v>0.03340844529</v>
      </c>
      <c r="H327" s="2">
        <v>0.0</v>
      </c>
      <c r="I327" s="2">
        <v>100.0</v>
      </c>
      <c r="J327" s="2">
        <v>0.0</v>
      </c>
      <c r="K327" s="2">
        <v>0.0</v>
      </c>
      <c r="L327" s="2">
        <v>0.0</v>
      </c>
      <c r="M327" s="2">
        <v>99.94435484</v>
      </c>
      <c r="N327" s="2">
        <v>0.0</v>
      </c>
      <c r="O327" s="2">
        <v>0.05564516129</v>
      </c>
      <c r="P327" s="2">
        <v>0.0</v>
      </c>
      <c r="Q327" s="13" t="str">
        <f t="shared" si="1"/>
        <v>Poland|2020</v>
      </c>
      <c r="R327" s="14" t="str">
        <f t="shared" si="2"/>
        <v> </v>
      </c>
      <c r="T327" s="14" t="b">
        <f t="shared" si="3"/>
        <v>0</v>
      </c>
      <c r="U327" s="14" t="b">
        <f t="shared" si="29"/>
        <v>0</v>
      </c>
      <c r="V327" s="14" t="b">
        <f t="shared" si="4"/>
        <v>0</v>
      </c>
      <c r="W327" s="14">
        <f t="shared" si="5"/>
        <v>100</v>
      </c>
      <c r="X327" s="14">
        <f t="shared" si="6"/>
        <v>100</v>
      </c>
      <c r="Y327" s="14">
        <f t="shared" si="7"/>
        <v>100</v>
      </c>
      <c r="Z327" s="14" t="str">
        <f t="shared" si="8"/>
        <v/>
      </c>
      <c r="AA327" s="14" t="str">
        <f t="shared" si="9"/>
        <v/>
      </c>
      <c r="AB327" s="14" t="str">
        <f t="shared" si="10"/>
        <v/>
      </c>
      <c r="AC327" s="14">
        <f t="shared" si="11"/>
        <v>0</v>
      </c>
      <c r="AO327" s="21"/>
      <c r="AP327" s="24"/>
      <c r="AQ327" s="21"/>
      <c r="AS327" s="21"/>
      <c r="AT327" s="24"/>
      <c r="AU327" s="21"/>
      <c r="AX327" s="14" t="str">
        <f t="shared" si="22"/>
        <v>null</v>
      </c>
      <c r="AY327" s="14" t="str">
        <f t="shared" si="23"/>
        <v>null</v>
      </c>
      <c r="AZ327" s="14" t="str">
        <f t="shared" si="24"/>
        <v>null</v>
      </c>
      <c r="BA327" s="17"/>
    </row>
    <row r="328">
      <c r="A328" s="2" t="s">
        <v>225</v>
      </c>
      <c r="B328" s="2">
        <v>2015.0</v>
      </c>
      <c r="C328" s="2">
        <v>10368.3457</v>
      </c>
      <c r="D328" s="2">
        <v>63.51399994</v>
      </c>
      <c r="E328" s="2">
        <v>99.90468984</v>
      </c>
      <c r="F328" s="2">
        <v>0.0</v>
      </c>
      <c r="G328" s="2">
        <v>0.095310157</v>
      </c>
      <c r="H328" s="2">
        <v>0.0</v>
      </c>
      <c r="I328" s="2">
        <v>99.73877609</v>
      </c>
      <c r="J328" s="2">
        <v>0.0</v>
      </c>
      <c r="K328" s="2">
        <v>0.2612239122</v>
      </c>
      <c r="L328" s="2">
        <v>0.0</v>
      </c>
      <c r="M328" s="2">
        <v>100.0</v>
      </c>
      <c r="N328" s="2">
        <v>0.0</v>
      </c>
      <c r="O328" s="2">
        <v>0.0</v>
      </c>
      <c r="P328" s="2">
        <v>0.0</v>
      </c>
      <c r="Q328" s="13" t="str">
        <f t="shared" si="1"/>
        <v>Portugal|2015</v>
      </c>
      <c r="R328" s="14">
        <f t="shared" si="2"/>
        <v>5</v>
      </c>
      <c r="T328" s="14">
        <f t="shared" si="3"/>
        <v>0.001460766</v>
      </c>
      <c r="U328" s="14">
        <f t="shared" si="29"/>
        <v>0</v>
      </c>
      <c r="V328" s="14">
        <f t="shared" si="4"/>
        <v>0</v>
      </c>
      <c r="W328" s="14">
        <f t="shared" si="5"/>
        <v>100</v>
      </c>
      <c r="X328" s="14">
        <f t="shared" si="6"/>
        <v>100</v>
      </c>
      <c r="Y328" s="14">
        <f t="shared" si="7"/>
        <v>100</v>
      </c>
      <c r="Z328" s="14" t="str">
        <f t="shared" si="8"/>
        <v/>
      </c>
      <c r="AA328" s="14" t="str">
        <f t="shared" si="9"/>
        <v/>
      </c>
      <c r="AB328" s="14" t="str">
        <f t="shared" si="10"/>
        <v>Fully Accessible</v>
      </c>
      <c r="AC328" s="14">
        <f t="shared" si="11"/>
        <v>0</v>
      </c>
      <c r="AO328" s="21"/>
      <c r="AP328" s="24"/>
      <c r="AQ328" s="21"/>
      <c r="AS328" s="21"/>
      <c r="AT328" s="24"/>
      <c r="AU328" s="21"/>
      <c r="AX328" s="14">
        <f t="shared" si="22"/>
        <v>20565.05273</v>
      </c>
      <c r="AY328" s="14">
        <f t="shared" si="23"/>
        <v>129.8239975</v>
      </c>
      <c r="AZ328" s="14">
        <f t="shared" si="24"/>
        <v>20435.22873</v>
      </c>
      <c r="BA328" s="17"/>
    </row>
    <row r="329">
      <c r="A329" s="2" t="s">
        <v>225</v>
      </c>
      <c r="B329" s="2">
        <v>2020.0</v>
      </c>
      <c r="C329" s="2">
        <v>10196.70703</v>
      </c>
      <c r="D329" s="2">
        <v>66.30999756</v>
      </c>
      <c r="E329" s="2">
        <v>99.91199367</v>
      </c>
      <c r="F329" s="2">
        <v>0.0</v>
      </c>
      <c r="G329" s="2">
        <v>0.08800633369</v>
      </c>
      <c r="H329" s="2">
        <v>0.0</v>
      </c>
      <c r="I329" s="2">
        <v>99.73877609</v>
      </c>
      <c r="J329" s="2">
        <v>0.0</v>
      </c>
      <c r="K329" s="2">
        <v>0.2612239122</v>
      </c>
      <c r="L329" s="2">
        <v>0.0</v>
      </c>
      <c r="M329" s="2">
        <v>100.0</v>
      </c>
      <c r="N329" s="2">
        <v>0.0</v>
      </c>
      <c r="O329" s="2">
        <v>0.0</v>
      </c>
      <c r="P329" s="2">
        <v>0.0</v>
      </c>
      <c r="Q329" s="13" t="str">
        <f t="shared" si="1"/>
        <v>Portugal|2020</v>
      </c>
      <c r="R329" s="14" t="str">
        <f t="shared" si="2"/>
        <v> </v>
      </c>
      <c r="T329" s="14" t="b">
        <f t="shared" si="3"/>
        <v>0</v>
      </c>
      <c r="U329" s="14" t="b">
        <f t="shared" si="29"/>
        <v>0</v>
      </c>
      <c r="V329" s="14" t="b">
        <f t="shared" si="4"/>
        <v>0</v>
      </c>
      <c r="W329" s="14">
        <f t="shared" si="5"/>
        <v>100</v>
      </c>
      <c r="X329" s="14">
        <f t="shared" si="6"/>
        <v>100</v>
      </c>
      <c r="Y329" s="14">
        <f t="shared" si="7"/>
        <v>100</v>
      </c>
      <c r="Z329" s="14" t="str">
        <f t="shared" si="8"/>
        <v/>
      </c>
      <c r="AA329" s="14" t="str">
        <f t="shared" si="9"/>
        <v/>
      </c>
      <c r="AB329" s="14" t="str">
        <f t="shared" si="10"/>
        <v/>
      </c>
      <c r="AC329" s="14">
        <f t="shared" si="11"/>
        <v>0</v>
      </c>
      <c r="AO329" s="21"/>
      <c r="AP329" s="24"/>
      <c r="AQ329" s="21"/>
      <c r="AS329" s="21"/>
      <c r="AT329" s="24"/>
      <c r="AU329" s="21"/>
      <c r="AX329" s="14" t="str">
        <f t="shared" si="22"/>
        <v>null</v>
      </c>
      <c r="AY329" s="14" t="str">
        <f t="shared" si="23"/>
        <v>null</v>
      </c>
      <c r="AZ329" s="14" t="str">
        <f t="shared" si="24"/>
        <v>null</v>
      </c>
      <c r="BA329" s="8"/>
    </row>
    <row r="330">
      <c r="A330" s="2" t="s">
        <v>226</v>
      </c>
      <c r="B330" s="2">
        <v>2015.0</v>
      </c>
      <c r="C330" s="2">
        <v>3381.511963</v>
      </c>
      <c r="D330" s="2">
        <v>93.62400055</v>
      </c>
      <c r="E330" s="2">
        <v>99.42544976</v>
      </c>
      <c r="F330" s="2">
        <v>0.0</v>
      </c>
      <c r="G330" s="2">
        <v>0.574550243</v>
      </c>
      <c r="H330" s="2">
        <v>0.0</v>
      </c>
      <c r="I330" s="2" t="s">
        <v>64</v>
      </c>
      <c r="J330" s="2" t="s">
        <v>64</v>
      </c>
      <c r="K330" s="2" t="s">
        <v>64</v>
      </c>
      <c r="L330" s="2" t="s">
        <v>64</v>
      </c>
      <c r="M330" s="2" t="s">
        <v>64</v>
      </c>
      <c r="N330" s="2" t="s">
        <v>64</v>
      </c>
      <c r="O330" s="2" t="s">
        <v>64</v>
      </c>
      <c r="P330" s="2" t="s">
        <v>64</v>
      </c>
      <c r="Q330" s="13" t="str">
        <f t="shared" si="1"/>
        <v>Puerto Rico|2015</v>
      </c>
      <c r="R330" s="14">
        <f t="shared" si="2"/>
        <v>5</v>
      </c>
      <c r="T330" s="14">
        <f t="shared" si="3"/>
        <v>0.114910048</v>
      </c>
      <c r="U330" s="14" t="str">
        <f t="shared" si="29"/>
        <v>null</v>
      </c>
      <c r="V330" s="14" t="str">
        <f t="shared" si="4"/>
        <v>null</v>
      </c>
      <c r="W330" s="14">
        <f t="shared" si="5"/>
        <v>99</v>
      </c>
      <c r="X330" s="14" t="b">
        <f t="shared" si="6"/>
        <v>0</v>
      </c>
      <c r="Y330" s="14" t="b">
        <f t="shared" si="7"/>
        <v>0</v>
      </c>
      <c r="Z330" s="14" t="str">
        <f t="shared" si="8"/>
        <v/>
      </c>
      <c r="AA330" s="14" t="str">
        <f t="shared" si="9"/>
        <v>Fully Accessible</v>
      </c>
      <c r="AB330" s="14" t="str">
        <f t="shared" si="10"/>
        <v>Fully Accessible</v>
      </c>
      <c r="AC330" s="14" t="b">
        <f t="shared" si="11"/>
        <v>0</v>
      </c>
      <c r="AO330" s="21"/>
      <c r="AP330" s="24"/>
      <c r="AQ330" s="21"/>
      <c r="AS330" s="21"/>
      <c r="AT330" s="24"/>
      <c r="AU330" s="21"/>
      <c r="AX330" s="14">
        <f t="shared" si="22"/>
        <v>6242.352051</v>
      </c>
      <c r="AY330" s="14">
        <f t="shared" si="23"/>
        <v>187.2050018</v>
      </c>
      <c r="AZ330" s="14">
        <f t="shared" si="24"/>
        <v>6055.147049</v>
      </c>
      <c r="BA330" s="27"/>
    </row>
    <row r="331">
      <c r="A331" s="2" t="s">
        <v>226</v>
      </c>
      <c r="B331" s="2">
        <v>2020.0</v>
      </c>
      <c r="C331" s="2">
        <v>2860.840088</v>
      </c>
      <c r="D331" s="2">
        <v>93.58100128</v>
      </c>
      <c r="E331" s="2">
        <v>100.0</v>
      </c>
      <c r="F331" s="2">
        <v>0.0</v>
      </c>
      <c r="G331" s="2">
        <v>0.0</v>
      </c>
      <c r="H331" s="2">
        <v>0.0</v>
      </c>
      <c r="I331" s="2" t="s">
        <v>64</v>
      </c>
      <c r="J331" s="2" t="s">
        <v>64</v>
      </c>
      <c r="K331" s="2" t="s">
        <v>64</v>
      </c>
      <c r="L331" s="2" t="s">
        <v>64</v>
      </c>
      <c r="M331" s="2" t="s">
        <v>64</v>
      </c>
      <c r="N331" s="2" t="s">
        <v>64</v>
      </c>
      <c r="O331" s="2" t="s">
        <v>64</v>
      </c>
      <c r="P331" s="2" t="s">
        <v>64</v>
      </c>
      <c r="Q331" s="13" t="str">
        <f t="shared" si="1"/>
        <v>Puerto Rico|2020</v>
      </c>
      <c r="R331" s="14" t="str">
        <f t="shared" si="2"/>
        <v> </v>
      </c>
      <c r="T331" s="14" t="b">
        <f t="shared" si="3"/>
        <v>0</v>
      </c>
      <c r="U331" s="14" t="b">
        <f t="shared" si="29"/>
        <v>0</v>
      </c>
      <c r="V331" s="14" t="b">
        <f t="shared" si="4"/>
        <v>0</v>
      </c>
      <c r="W331" s="14">
        <f t="shared" si="5"/>
        <v>100</v>
      </c>
      <c r="X331" s="14" t="b">
        <f t="shared" si="6"/>
        <v>0</v>
      </c>
      <c r="Y331" s="14" t="b">
        <f t="shared" si="7"/>
        <v>0</v>
      </c>
      <c r="Z331" s="14" t="str">
        <f t="shared" si="8"/>
        <v/>
      </c>
      <c r="AA331" s="14" t="str">
        <f t="shared" si="9"/>
        <v/>
      </c>
      <c r="AB331" s="14" t="str">
        <f t="shared" si="10"/>
        <v/>
      </c>
      <c r="AC331" s="14">
        <f t="shared" si="11"/>
        <v>0</v>
      </c>
      <c r="AO331" s="21"/>
      <c r="AP331" s="24"/>
      <c r="AQ331" s="21"/>
      <c r="AS331" s="21"/>
      <c r="AT331" s="24"/>
      <c r="AU331" s="21"/>
      <c r="AX331" s="14" t="str">
        <f t="shared" si="22"/>
        <v>null</v>
      </c>
      <c r="AY331" s="14" t="str">
        <f t="shared" si="23"/>
        <v>null</v>
      </c>
      <c r="AZ331" s="14" t="str">
        <f t="shared" si="24"/>
        <v>null</v>
      </c>
      <c r="BA331" s="17"/>
    </row>
    <row r="332">
      <c r="A332" s="2" t="s">
        <v>227</v>
      </c>
      <c r="B332" s="2">
        <v>2015.0</v>
      </c>
      <c r="C332" s="2">
        <v>2565.708008</v>
      </c>
      <c r="D332" s="2">
        <v>98.94499207</v>
      </c>
      <c r="E332" s="2">
        <v>99.69150138</v>
      </c>
      <c r="F332" s="2">
        <v>0.0</v>
      </c>
      <c r="G332" s="2">
        <v>0.308498617</v>
      </c>
      <c r="H332" s="2">
        <v>0.0</v>
      </c>
      <c r="I332" s="2" t="s">
        <v>64</v>
      </c>
      <c r="J332" s="2" t="s">
        <v>64</v>
      </c>
      <c r="K332" s="2" t="s">
        <v>64</v>
      </c>
      <c r="L332" s="2" t="s">
        <v>64</v>
      </c>
      <c r="M332" s="2" t="s">
        <v>64</v>
      </c>
      <c r="N332" s="2" t="s">
        <v>64</v>
      </c>
      <c r="O332" s="2" t="s">
        <v>64</v>
      </c>
      <c r="P332" s="2" t="s">
        <v>64</v>
      </c>
      <c r="Q332" s="13" t="str">
        <f t="shared" si="1"/>
        <v>Qatar|2015</v>
      </c>
      <c r="R332" s="14">
        <f t="shared" si="2"/>
        <v>5</v>
      </c>
      <c r="T332" s="14">
        <f t="shared" si="3"/>
        <v>-0.024679888</v>
      </c>
      <c r="U332" s="14" t="str">
        <f t="shared" si="29"/>
        <v>null</v>
      </c>
      <c r="V332" s="14" t="str">
        <f t="shared" si="4"/>
        <v>null</v>
      </c>
      <c r="W332" s="14">
        <f t="shared" si="5"/>
        <v>100</v>
      </c>
      <c r="X332" s="14" t="b">
        <f t="shared" si="6"/>
        <v>0</v>
      </c>
      <c r="Y332" s="14" t="b">
        <f t="shared" si="7"/>
        <v>0</v>
      </c>
      <c r="Z332" s="14" t="str">
        <f t="shared" si="8"/>
        <v/>
      </c>
      <c r="AA332" s="14" t="str">
        <f t="shared" si="9"/>
        <v>Fully Accessible</v>
      </c>
      <c r="AB332" s="14" t="str">
        <f t="shared" si="10"/>
        <v>Fully Accessible</v>
      </c>
      <c r="AC332" s="14" t="b">
        <f t="shared" si="11"/>
        <v>0</v>
      </c>
      <c r="AO332" s="21"/>
      <c r="AP332" s="24"/>
      <c r="AQ332" s="21"/>
      <c r="AS332" s="21"/>
      <c r="AT332" s="24"/>
      <c r="AU332" s="21"/>
      <c r="AX332" s="14">
        <f t="shared" si="22"/>
        <v>5446.768067</v>
      </c>
      <c r="AY332" s="14">
        <f t="shared" si="23"/>
        <v>198.1799927</v>
      </c>
      <c r="AZ332" s="14">
        <f t="shared" si="24"/>
        <v>5248.588074</v>
      </c>
      <c r="BA332" s="27"/>
    </row>
    <row r="333">
      <c r="A333" s="2" t="s">
        <v>227</v>
      </c>
      <c r="B333" s="2">
        <v>2020.0</v>
      </c>
      <c r="C333" s="2">
        <v>2881.060059</v>
      </c>
      <c r="D333" s="2">
        <v>99.23500061</v>
      </c>
      <c r="E333" s="2">
        <v>99.56810194</v>
      </c>
      <c r="F333" s="2">
        <v>0.0</v>
      </c>
      <c r="G333" s="2">
        <v>0.4318980637</v>
      </c>
      <c r="H333" s="2">
        <v>0.0</v>
      </c>
      <c r="I333" s="2" t="s">
        <v>64</v>
      </c>
      <c r="J333" s="2" t="s">
        <v>64</v>
      </c>
      <c r="K333" s="2" t="s">
        <v>64</v>
      </c>
      <c r="L333" s="2" t="s">
        <v>64</v>
      </c>
      <c r="M333" s="2" t="s">
        <v>64</v>
      </c>
      <c r="N333" s="2" t="s">
        <v>64</v>
      </c>
      <c r="O333" s="2" t="s">
        <v>64</v>
      </c>
      <c r="P333" s="2" t="s">
        <v>64</v>
      </c>
      <c r="Q333" s="13" t="str">
        <f t="shared" si="1"/>
        <v>Qatar|2020</v>
      </c>
      <c r="R333" s="14" t="str">
        <f t="shared" si="2"/>
        <v> </v>
      </c>
      <c r="T333" s="14" t="b">
        <f t="shared" si="3"/>
        <v>0</v>
      </c>
      <c r="U333" s="14" t="b">
        <f t="shared" si="29"/>
        <v>0</v>
      </c>
      <c r="V333" s="14" t="b">
        <f t="shared" si="4"/>
        <v>0</v>
      </c>
      <c r="W333" s="14">
        <f t="shared" si="5"/>
        <v>100</v>
      </c>
      <c r="X333" s="14" t="b">
        <f t="shared" si="6"/>
        <v>0</v>
      </c>
      <c r="Y333" s="14" t="b">
        <f t="shared" si="7"/>
        <v>0</v>
      </c>
      <c r="Z333" s="14" t="str">
        <f t="shared" si="8"/>
        <v/>
      </c>
      <c r="AA333" s="14" t="str">
        <f t="shared" si="9"/>
        <v/>
      </c>
      <c r="AB333" s="14" t="str">
        <f t="shared" si="10"/>
        <v/>
      </c>
      <c r="AC333" s="14">
        <f t="shared" si="11"/>
        <v>0</v>
      </c>
      <c r="AO333" s="21"/>
      <c r="AP333" s="24"/>
      <c r="AQ333" s="21"/>
      <c r="AS333" s="21"/>
      <c r="AT333" s="24"/>
      <c r="AU333" s="21"/>
      <c r="AX333" s="14" t="str">
        <f t="shared" si="22"/>
        <v>null</v>
      </c>
      <c r="AY333" s="14" t="str">
        <f t="shared" si="23"/>
        <v>null</v>
      </c>
      <c r="AZ333" s="14" t="str">
        <f t="shared" si="24"/>
        <v>null</v>
      </c>
      <c r="BA333" s="27"/>
    </row>
    <row r="334">
      <c r="A334" s="2" t="s">
        <v>228</v>
      </c>
      <c r="B334" s="2">
        <v>2015.0</v>
      </c>
      <c r="C334" s="2">
        <v>50823.08594</v>
      </c>
      <c r="D334" s="2">
        <v>81.63400269</v>
      </c>
      <c r="E334" s="2">
        <v>99.47274641</v>
      </c>
      <c r="F334" s="2">
        <v>0.0</v>
      </c>
      <c r="G334" s="2">
        <v>0.5272535907</v>
      </c>
      <c r="H334" s="2">
        <v>0.0</v>
      </c>
      <c r="I334" s="2" t="s">
        <v>64</v>
      </c>
      <c r="J334" s="2" t="s">
        <v>64</v>
      </c>
      <c r="K334" s="2" t="s">
        <v>64</v>
      </c>
      <c r="L334" s="2" t="s">
        <v>64</v>
      </c>
      <c r="M334" s="2" t="s">
        <v>64</v>
      </c>
      <c r="N334" s="2" t="s">
        <v>64</v>
      </c>
      <c r="O334" s="2" t="s">
        <v>64</v>
      </c>
      <c r="P334" s="2" t="s">
        <v>64</v>
      </c>
      <c r="Q334" s="13" t="str">
        <f t="shared" si="1"/>
        <v>Republic of Korea|2015</v>
      </c>
      <c r="R334" s="14">
        <f t="shared" si="2"/>
        <v>5</v>
      </c>
      <c r="T334" s="14">
        <f t="shared" si="3"/>
        <v>0.091730048</v>
      </c>
      <c r="U334" s="14" t="str">
        <f t="shared" si="29"/>
        <v>null</v>
      </c>
      <c r="V334" s="14" t="str">
        <f t="shared" si="4"/>
        <v>null</v>
      </c>
      <c r="W334" s="14">
        <f t="shared" si="5"/>
        <v>99</v>
      </c>
      <c r="X334" s="14" t="b">
        <f t="shared" si="6"/>
        <v>0</v>
      </c>
      <c r="Y334" s="14" t="b">
        <f t="shared" si="7"/>
        <v>0</v>
      </c>
      <c r="Z334" s="14" t="str">
        <f t="shared" si="8"/>
        <v/>
      </c>
      <c r="AA334" s="14" t="str">
        <f t="shared" si="9"/>
        <v>Fully Accessible</v>
      </c>
      <c r="AB334" s="14" t="str">
        <f t="shared" si="10"/>
        <v>Fully Accessible</v>
      </c>
      <c r="AC334" s="14" t="b">
        <f t="shared" si="11"/>
        <v>0</v>
      </c>
      <c r="AO334" s="21"/>
      <c r="AP334" s="24"/>
      <c r="AQ334" s="21"/>
      <c r="AS334" s="21"/>
      <c r="AT334" s="24"/>
      <c r="AU334" s="21"/>
      <c r="AX334" s="14">
        <f t="shared" si="22"/>
        <v>102092.2695</v>
      </c>
      <c r="AY334" s="14">
        <f t="shared" si="23"/>
        <v>163.0480042</v>
      </c>
      <c r="AZ334" s="14">
        <f t="shared" si="24"/>
        <v>101929.2215</v>
      </c>
      <c r="BA334" s="17"/>
    </row>
    <row r="335">
      <c r="A335" s="2" t="s">
        <v>228</v>
      </c>
      <c r="B335" s="2">
        <v>2020.0</v>
      </c>
      <c r="C335" s="2">
        <v>51269.18359</v>
      </c>
      <c r="D335" s="2">
        <v>81.41400146</v>
      </c>
      <c r="E335" s="2">
        <v>99.93139665</v>
      </c>
      <c r="F335" s="2">
        <v>0.0</v>
      </c>
      <c r="G335" s="2">
        <v>0.06860335296</v>
      </c>
      <c r="H335" s="2">
        <v>0.0</v>
      </c>
      <c r="I335" s="2" t="s">
        <v>64</v>
      </c>
      <c r="J335" s="2" t="s">
        <v>64</v>
      </c>
      <c r="K335" s="2" t="s">
        <v>64</v>
      </c>
      <c r="L335" s="2" t="s">
        <v>64</v>
      </c>
      <c r="M335" s="2" t="s">
        <v>64</v>
      </c>
      <c r="N335" s="2" t="s">
        <v>64</v>
      </c>
      <c r="O335" s="2" t="s">
        <v>64</v>
      </c>
      <c r="P335" s="2" t="s">
        <v>64</v>
      </c>
      <c r="Q335" s="13" t="str">
        <f t="shared" si="1"/>
        <v>Republic of Korea|2020</v>
      </c>
      <c r="R335" s="14" t="str">
        <f t="shared" si="2"/>
        <v> </v>
      </c>
      <c r="T335" s="14" t="b">
        <f t="shared" si="3"/>
        <v>0</v>
      </c>
      <c r="U335" s="14" t="b">
        <f t="shared" si="29"/>
        <v>0</v>
      </c>
      <c r="V335" s="14" t="b">
        <f t="shared" si="4"/>
        <v>0</v>
      </c>
      <c r="W335" s="14">
        <f t="shared" si="5"/>
        <v>100</v>
      </c>
      <c r="X335" s="14" t="b">
        <f t="shared" si="6"/>
        <v>0</v>
      </c>
      <c r="Y335" s="14" t="b">
        <f t="shared" si="7"/>
        <v>0</v>
      </c>
      <c r="Z335" s="14" t="str">
        <f t="shared" si="8"/>
        <v/>
      </c>
      <c r="AA335" s="14" t="str">
        <f t="shared" si="9"/>
        <v/>
      </c>
      <c r="AB335" s="14" t="str">
        <f t="shared" si="10"/>
        <v/>
      </c>
      <c r="AC335" s="14">
        <f t="shared" si="11"/>
        <v>0</v>
      </c>
      <c r="AO335" s="21"/>
      <c r="AP335" s="24"/>
      <c r="AQ335" s="21"/>
      <c r="AS335" s="21"/>
      <c r="AT335" s="24"/>
      <c r="AU335" s="21"/>
      <c r="AX335" s="14" t="str">
        <f t="shared" si="22"/>
        <v>null</v>
      </c>
      <c r="AY335" s="14" t="str">
        <f t="shared" si="23"/>
        <v>null</v>
      </c>
      <c r="AZ335" s="14" t="str">
        <f t="shared" si="24"/>
        <v>null</v>
      </c>
      <c r="BA335" s="17"/>
    </row>
    <row r="336">
      <c r="A336" s="2" t="s">
        <v>229</v>
      </c>
      <c r="B336" s="2">
        <v>2015.0</v>
      </c>
      <c r="C336" s="2">
        <v>4070.705078</v>
      </c>
      <c r="D336" s="2">
        <v>42.48999786</v>
      </c>
      <c r="E336" s="2">
        <v>88.5760319</v>
      </c>
      <c r="F336" s="2">
        <v>1.485629517</v>
      </c>
      <c r="G336" s="2">
        <v>9.938338582</v>
      </c>
      <c r="H336" s="2">
        <v>0.0</v>
      </c>
      <c r="I336" s="2">
        <v>82.54249075</v>
      </c>
      <c r="J336" s="2">
        <v>1.470222482</v>
      </c>
      <c r="K336" s="2">
        <v>15.98728677</v>
      </c>
      <c r="L336" s="2">
        <v>0.0</v>
      </c>
      <c r="M336" s="2">
        <v>96.7423994</v>
      </c>
      <c r="N336" s="2">
        <v>1.506482861</v>
      </c>
      <c r="O336" s="2">
        <v>1.751117739</v>
      </c>
      <c r="P336" s="2">
        <v>0.0</v>
      </c>
      <c r="Q336" s="13" t="str">
        <f t="shared" si="1"/>
        <v>Republic of Moldova|2015</v>
      </c>
      <c r="R336" s="14">
        <f t="shared" si="2"/>
        <v>5</v>
      </c>
      <c r="T336" s="14">
        <f t="shared" si="3"/>
        <v>0.398786068</v>
      </c>
      <c r="U336" s="14">
        <f t="shared" si="29"/>
        <v>0.587709474</v>
      </c>
      <c r="V336" s="14">
        <f t="shared" si="4"/>
        <v>0.123009016</v>
      </c>
      <c r="W336" s="14">
        <f t="shared" si="5"/>
        <v>89</v>
      </c>
      <c r="X336" s="14">
        <f t="shared" si="6"/>
        <v>83</v>
      </c>
      <c r="Y336" s="14">
        <f t="shared" si="7"/>
        <v>97</v>
      </c>
      <c r="Z336" s="14" t="str">
        <f t="shared" si="8"/>
        <v/>
      </c>
      <c r="AA336" s="14" t="str">
        <f t="shared" si="9"/>
        <v/>
      </c>
      <c r="AB336" s="14" t="str">
        <f t="shared" si="10"/>
        <v>Fully Accessible</v>
      </c>
      <c r="AC336" s="14">
        <f t="shared" si="11"/>
        <v>0.464700458</v>
      </c>
      <c r="AO336" s="21"/>
      <c r="AP336" s="24"/>
      <c r="AQ336" s="21"/>
      <c r="AS336" s="21"/>
      <c r="AT336" s="24"/>
      <c r="AU336" s="21"/>
      <c r="AX336" s="14">
        <f t="shared" si="22"/>
        <v>8104.667969</v>
      </c>
      <c r="AY336" s="14">
        <f t="shared" si="23"/>
        <v>85.3390007</v>
      </c>
      <c r="AZ336" s="14">
        <f t="shared" si="24"/>
        <v>8019.328968</v>
      </c>
      <c r="BA336" s="17"/>
    </row>
    <row r="337">
      <c r="A337" s="2" t="s">
        <v>229</v>
      </c>
      <c r="B337" s="2">
        <v>2020.0</v>
      </c>
      <c r="C337" s="2">
        <v>4033.962891</v>
      </c>
      <c r="D337" s="2">
        <v>42.84900284</v>
      </c>
      <c r="E337" s="2">
        <v>90.56996224</v>
      </c>
      <c r="F337" s="2">
        <v>1.519776762</v>
      </c>
      <c r="G337" s="2">
        <v>7.910260997</v>
      </c>
      <c r="H337" s="2">
        <v>0.0</v>
      </c>
      <c r="I337" s="2">
        <v>85.48103812</v>
      </c>
      <c r="J337" s="2">
        <v>1.52256302</v>
      </c>
      <c r="K337" s="2">
        <v>12.99639886</v>
      </c>
      <c r="L337" s="2">
        <v>0.0</v>
      </c>
      <c r="M337" s="2">
        <v>97.35744448</v>
      </c>
      <c r="N337" s="2">
        <v>1.516060408</v>
      </c>
      <c r="O337" s="2">
        <v>1.126495111</v>
      </c>
      <c r="P337" s="2">
        <v>0.0</v>
      </c>
      <c r="Q337" s="13" t="str">
        <f t="shared" si="1"/>
        <v>Republic of Moldova|2020</v>
      </c>
      <c r="R337" s="14" t="str">
        <f t="shared" si="2"/>
        <v> </v>
      </c>
      <c r="T337" s="14" t="b">
        <f t="shared" si="3"/>
        <v>0</v>
      </c>
      <c r="U337" s="14" t="b">
        <f t="shared" si="29"/>
        <v>0</v>
      </c>
      <c r="V337" s="14" t="b">
        <f t="shared" si="4"/>
        <v>0</v>
      </c>
      <c r="W337" s="14">
        <f t="shared" si="5"/>
        <v>91</v>
      </c>
      <c r="X337" s="14">
        <f t="shared" si="6"/>
        <v>85</v>
      </c>
      <c r="Y337" s="14">
        <f t="shared" si="7"/>
        <v>97</v>
      </c>
      <c r="Z337" s="14" t="str">
        <f t="shared" si="8"/>
        <v/>
      </c>
      <c r="AA337" s="14" t="str">
        <f t="shared" si="9"/>
        <v/>
      </c>
      <c r="AB337" s="14" t="str">
        <f t="shared" si="10"/>
        <v/>
      </c>
      <c r="AC337" s="14">
        <f t="shared" si="11"/>
        <v>0</v>
      </c>
      <c r="AO337" s="21"/>
      <c r="AP337" s="24"/>
      <c r="AQ337" s="21"/>
      <c r="AS337" s="21"/>
      <c r="AT337" s="24"/>
      <c r="AU337" s="21"/>
      <c r="AX337" s="14" t="str">
        <f t="shared" si="22"/>
        <v>null</v>
      </c>
      <c r="AY337" s="14" t="str">
        <f t="shared" si="23"/>
        <v>null</v>
      </c>
      <c r="AZ337" s="14" t="str">
        <f t="shared" si="24"/>
        <v>null</v>
      </c>
      <c r="BA337" s="8"/>
    </row>
    <row r="338">
      <c r="A338" s="2" t="s">
        <v>230</v>
      </c>
      <c r="B338" s="2">
        <v>2015.0</v>
      </c>
      <c r="C338" s="2">
        <v>863.3590088</v>
      </c>
      <c r="D338" s="2">
        <v>99.33900452</v>
      </c>
      <c r="E338" s="2">
        <v>99.91153019</v>
      </c>
      <c r="F338" s="2">
        <v>0.0</v>
      </c>
      <c r="G338" s="2">
        <v>0.0884698141</v>
      </c>
      <c r="H338" s="2">
        <v>0.0</v>
      </c>
      <c r="I338" s="2" t="s">
        <v>64</v>
      </c>
      <c r="J338" s="2" t="s">
        <v>64</v>
      </c>
      <c r="K338" s="2" t="s">
        <v>64</v>
      </c>
      <c r="L338" s="2" t="s">
        <v>64</v>
      </c>
      <c r="M338" s="2" t="s">
        <v>64</v>
      </c>
      <c r="N338" s="2" t="s">
        <v>64</v>
      </c>
      <c r="O338" s="2" t="s">
        <v>64</v>
      </c>
      <c r="P338" s="2" t="s">
        <v>64</v>
      </c>
      <c r="Q338" s="13" t="str">
        <f t="shared" si="1"/>
        <v>Réunion|2015</v>
      </c>
      <c r="R338" s="14">
        <f t="shared" si="2"/>
        <v>5</v>
      </c>
      <c r="T338" s="14">
        <f t="shared" si="3"/>
        <v>0.017693962</v>
      </c>
      <c r="U338" s="14" t="str">
        <f t="shared" si="29"/>
        <v>null</v>
      </c>
      <c r="V338" s="14" t="str">
        <f t="shared" si="4"/>
        <v>null</v>
      </c>
      <c r="W338" s="14">
        <f t="shared" si="5"/>
        <v>100</v>
      </c>
      <c r="X338" s="14" t="b">
        <f t="shared" si="6"/>
        <v>0</v>
      </c>
      <c r="Y338" s="14" t="b">
        <f t="shared" si="7"/>
        <v>0</v>
      </c>
      <c r="Z338" s="14" t="str">
        <f t="shared" si="8"/>
        <v/>
      </c>
      <c r="AA338" s="14" t="str">
        <f t="shared" si="9"/>
        <v>Fully Accessible</v>
      </c>
      <c r="AB338" s="14" t="str">
        <f t="shared" si="10"/>
        <v>Fully Accessible</v>
      </c>
      <c r="AC338" s="14" t="b">
        <f t="shared" si="11"/>
        <v>0</v>
      </c>
      <c r="AO338" s="21"/>
      <c r="AP338" s="24"/>
      <c r="AQ338" s="21"/>
      <c r="AS338" s="21"/>
      <c r="AT338" s="24"/>
      <c r="AU338" s="21"/>
      <c r="AX338" s="14">
        <f t="shared" si="22"/>
        <v>1758.666992</v>
      </c>
      <c r="AY338" s="14">
        <f t="shared" si="23"/>
        <v>198.9980087</v>
      </c>
      <c r="AZ338" s="14">
        <f t="shared" si="24"/>
        <v>1559.668983</v>
      </c>
      <c r="BA338" s="27"/>
    </row>
    <row r="339">
      <c r="A339" s="2" t="s">
        <v>230</v>
      </c>
      <c r="B339" s="2">
        <v>2020.0</v>
      </c>
      <c r="C339" s="2">
        <v>895.3079834</v>
      </c>
      <c r="D339" s="2">
        <v>99.65900421</v>
      </c>
      <c r="E339" s="2">
        <v>100.0</v>
      </c>
      <c r="F339" s="2">
        <v>0.0</v>
      </c>
      <c r="G339" s="2">
        <v>0.0</v>
      </c>
      <c r="H339" s="2">
        <v>0.0</v>
      </c>
      <c r="I339" s="2" t="s">
        <v>64</v>
      </c>
      <c r="J339" s="2" t="s">
        <v>64</v>
      </c>
      <c r="K339" s="2" t="s">
        <v>64</v>
      </c>
      <c r="L339" s="2" t="s">
        <v>64</v>
      </c>
      <c r="M339" s="2" t="s">
        <v>64</v>
      </c>
      <c r="N339" s="2" t="s">
        <v>64</v>
      </c>
      <c r="O339" s="2" t="s">
        <v>64</v>
      </c>
      <c r="P339" s="2" t="s">
        <v>64</v>
      </c>
      <c r="Q339" s="13" t="str">
        <f t="shared" si="1"/>
        <v>Réunion|2020</v>
      </c>
      <c r="R339" s="14" t="str">
        <f t="shared" si="2"/>
        <v> </v>
      </c>
      <c r="T339" s="14" t="b">
        <f t="shared" si="3"/>
        <v>0</v>
      </c>
      <c r="U339" s="14" t="b">
        <f t="shared" si="29"/>
        <v>0</v>
      </c>
      <c r="V339" s="14" t="b">
        <f t="shared" si="4"/>
        <v>0</v>
      </c>
      <c r="W339" s="14">
        <f t="shared" si="5"/>
        <v>100</v>
      </c>
      <c r="X339" s="14" t="b">
        <f t="shared" si="6"/>
        <v>0</v>
      </c>
      <c r="Y339" s="14" t="b">
        <f t="shared" si="7"/>
        <v>0</v>
      </c>
      <c r="Z339" s="14" t="str">
        <f t="shared" si="8"/>
        <v/>
      </c>
      <c r="AA339" s="14" t="str">
        <f t="shared" si="9"/>
        <v/>
      </c>
      <c r="AB339" s="14" t="str">
        <f t="shared" si="10"/>
        <v/>
      </c>
      <c r="AC339" s="14">
        <f t="shared" si="11"/>
        <v>0</v>
      </c>
      <c r="AO339" s="21"/>
      <c r="AP339" s="24"/>
      <c r="AQ339" s="21"/>
      <c r="AS339" s="21"/>
      <c r="AT339" s="24"/>
      <c r="AU339" s="21"/>
      <c r="AX339" s="14" t="str">
        <f t="shared" si="22"/>
        <v>null</v>
      </c>
      <c r="AY339" s="14" t="str">
        <f t="shared" si="23"/>
        <v>null</v>
      </c>
      <c r="AZ339" s="14" t="str">
        <f t="shared" si="24"/>
        <v>null</v>
      </c>
      <c r="BA339" s="17"/>
    </row>
    <row r="340">
      <c r="A340" s="2" t="s">
        <v>231</v>
      </c>
      <c r="B340" s="2">
        <v>2015.0</v>
      </c>
      <c r="C340" s="2">
        <v>19925.18164</v>
      </c>
      <c r="D340" s="2">
        <v>53.88699722</v>
      </c>
      <c r="E340" s="2">
        <v>100.0</v>
      </c>
      <c r="F340" s="2">
        <v>0.0</v>
      </c>
      <c r="G340" s="2">
        <v>0.0</v>
      </c>
      <c r="H340" s="2">
        <v>0.0</v>
      </c>
      <c r="I340" s="2">
        <v>100.0</v>
      </c>
      <c r="J340" s="2">
        <v>0.0</v>
      </c>
      <c r="K340" s="2">
        <v>0.0</v>
      </c>
      <c r="L340" s="2">
        <v>0.0</v>
      </c>
      <c r="M340" s="2">
        <v>100.0</v>
      </c>
      <c r="N340" s="2">
        <v>0.0</v>
      </c>
      <c r="O340" s="2">
        <v>0.0</v>
      </c>
      <c r="P340" s="2">
        <v>0.0</v>
      </c>
      <c r="Q340" s="13" t="str">
        <f t="shared" si="1"/>
        <v>Romania|2015</v>
      </c>
      <c r="R340" s="14">
        <f t="shared" si="2"/>
        <v>5</v>
      </c>
      <c r="T340" s="14">
        <f t="shared" si="3"/>
        <v>0</v>
      </c>
      <c r="U340" s="14">
        <f t="shared" si="29"/>
        <v>0</v>
      </c>
      <c r="V340" s="14">
        <f t="shared" si="4"/>
        <v>0</v>
      </c>
      <c r="W340" s="14">
        <f t="shared" si="5"/>
        <v>100</v>
      </c>
      <c r="X340" s="14">
        <f t="shared" si="6"/>
        <v>100</v>
      </c>
      <c r="Y340" s="14">
        <f t="shared" si="7"/>
        <v>100</v>
      </c>
      <c r="Z340" s="14" t="str">
        <f t="shared" si="8"/>
        <v/>
      </c>
      <c r="AA340" s="14" t="str">
        <f t="shared" si="9"/>
        <v/>
      </c>
      <c r="AB340" s="14" t="str">
        <f t="shared" si="10"/>
        <v>Fully Accessible</v>
      </c>
      <c r="AC340" s="14">
        <f t="shared" si="11"/>
        <v>0</v>
      </c>
      <c r="AO340" s="21"/>
      <c r="AP340" s="24"/>
      <c r="AQ340" s="21"/>
      <c r="AS340" s="21"/>
      <c r="AT340" s="24"/>
      <c r="AU340" s="21"/>
      <c r="AX340" s="14">
        <f t="shared" si="22"/>
        <v>39162.86328</v>
      </c>
      <c r="AY340" s="14">
        <f t="shared" si="23"/>
        <v>108.0809975</v>
      </c>
      <c r="AZ340" s="14">
        <f t="shared" si="24"/>
        <v>39054.78228</v>
      </c>
      <c r="BA340" s="27"/>
    </row>
    <row r="341">
      <c r="A341" s="2" t="s">
        <v>231</v>
      </c>
      <c r="B341" s="2">
        <v>2020.0</v>
      </c>
      <c r="C341" s="2">
        <v>19237.68164</v>
      </c>
      <c r="D341" s="2">
        <v>54.19400024</v>
      </c>
      <c r="E341" s="2">
        <v>100.0</v>
      </c>
      <c r="F341" s="2">
        <v>0.0</v>
      </c>
      <c r="G341" s="2">
        <v>0.0</v>
      </c>
      <c r="H341" s="2">
        <v>0.0</v>
      </c>
      <c r="I341" s="2">
        <v>100.0</v>
      </c>
      <c r="J341" s="2">
        <v>0.0</v>
      </c>
      <c r="K341" s="2">
        <v>0.0</v>
      </c>
      <c r="L341" s="2">
        <v>0.0</v>
      </c>
      <c r="M341" s="2">
        <v>100.0</v>
      </c>
      <c r="N341" s="2">
        <v>0.0</v>
      </c>
      <c r="O341" s="2">
        <v>0.0</v>
      </c>
      <c r="P341" s="2">
        <v>0.0</v>
      </c>
      <c r="Q341" s="13" t="str">
        <f t="shared" si="1"/>
        <v>Romania|2020</v>
      </c>
      <c r="R341" s="14" t="str">
        <f t="shared" si="2"/>
        <v> </v>
      </c>
      <c r="T341" s="14" t="b">
        <f t="shared" si="3"/>
        <v>0</v>
      </c>
      <c r="U341" s="14" t="b">
        <f t="shared" si="29"/>
        <v>0</v>
      </c>
      <c r="V341" s="14" t="b">
        <f t="shared" si="4"/>
        <v>0</v>
      </c>
      <c r="W341" s="14">
        <f t="shared" si="5"/>
        <v>100</v>
      </c>
      <c r="X341" s="14">
        <f t="shared" si="6"/>
        <v>100</v>
      </c>
      <c r="Y341" s="14">
        <f t="shared" si="7"/>
        <v>100</v>
      </c>
      <c r="Z341" s="14" t="str">
        <f t="shared" si="8"/>
        <v/>
      </c>
      <c r="AA341" s="14" t="str">
        <f t="shared" si="9"/>
        <v/>
      </c>
      <c r="AB341" s="14" t="str">
        <f t="shared" si="10"/>
        <v/>
      </c>
      <c r="AC341" s="14">
        <f t="shared" si="11"/>
        <v>0</v>
      </c>
      <c r="AO341" s="21"/>
      <c r="AP341" s="24"/>
      <c r="AQ341" s="21"/>
      <c r="AS341" s="21"/>
      <c r="AT341" s="24"/>
      <c r="AU341" s="21"/>
      <c r="AX341" s="14" t="str">
        <f t="shared" si="22"/>
        <v>null</v>
      </c>
      <c r="AY341" s="14" t="str">
        <f t="shared" si="23"/>
        <v>null</v>
      </c>
      <c r="AZ341" s="14" t="str">
        <f t="shared" si="24"/>
        <v>null</v>
      </c>
      <c r="BA341" s="27"/>
    </row>
    <row r="342">
      <c r="A342" s="2" t="s">
        <v>232</v>
      </c>
      <c r="B342" s="2">
        <v>2015.0</v>
      </c>
      <c r="C342" s="2">
        <v>144985.0625</v>
      </c>
      <c r="D342" s="2">
        <v>74.04999542</v>
      </c>
      <c r="E342" s="2">
        <v>96.52715543</v>
      </c>
      <c r="F342" s="2">
        <v>0.6244865344</v>
      </c>
      <c r="G342" s="2">
        <v>2.848358036</v>
      </c>
      <c r="H342" s="2" t="s">
        <v>64</v>
      </c>
      <c r="I342" s="2">
        <v>90.11010901</v>
      </c>
      <c r="J342" s="2">
        <v>1.558364042</v>
      </c>
      <c r="K342" s="2">
        <v>8.331526946</v>
      </c>
      <c r="L342" s="2" t="s">
        <v>64</v>
      </c>
      <c r="M342" s="2">
        <v>98.77593489</v>
      </c>
      <c r="N342" s="2">
        <v>0.2972194631</v>
      </c>
      <c r="O342" s="2">
        <v>0.726845642</v>
      </c>
      <c r="P342" s="2">
        <v>0.2</v>
      </c>
      <c r="Q342" s="13" t="str">
        <f t="shared" si="1"/>
        <v>Russian Federation|2015</v>
      </c>
      <c r="R342" s="14">
        <f t="shared" si="2"/>
        <v>5</v>
      </c>
      <c r="T342" s="14">
        <f t="shared" si="3"/>
        <v>0.093078528</v>
      </c>
      <c r="U342" s="14">
        <f t="shared" si="29"/>
        <v>0.28679859</v>
      </c>
      <c r="V342" s="14">
        <f t="shared" si="4"/>
        <v>0.011332944</v>
      </c>
      <c r="W342" s="14">
        <f t="shared" si="5"/>
        <v>97</v>
      </c>
      <c r="X342" s="14">
        <f t="shared" si="6"/>
        <v>90</v>
      </c>
      <c r="Y342" s="14">
        <f t="shared" si="7"/>
        <v>99</v>
      </c>
      <c r="Z342" s="14" t="str">
        <f t="shared" si="8"/>
        <v/>
      </c>
      <c r="AA342" s="14" t="str">
        <f t="shared" si="9"/>
        <v/>
      </c>
      <c r="AB342" s="14" t="str">
        <f t="shared" si="10"/>
        <v>Fully Accessible</v>
      </c>
      <c r="AC342" s="14">
        <f t="shared" si="11"/>
        <v>0.275465646</v>
      </c>
      <c r="AO342" s="21"/>
      <c r="AP342" s="24"/>
      <c r="AQ342" s="21"/>
      <c r="AS342" s="21"/>
      <c r="AT342" s="24"/>
      <c r="AU342" s="21"/>
      <c r="AX342" s="14">
        <f t="shared" si="22"/>
        <v>290919.5156</v>
      </c>
      <c r="AY342" s="14">
        <f t="shared" si="23"/>
        <v>148.8040009</v>
      </c>
      <c r="AZ342" s="14">
        <f t="shared" si="24"/>
        <v>290770.7116</v>
      </c>
      <c r="BA342" s="17"/>
    </row>
    <row r="343">
      <c r="A343" s="2" t="s">
        <v>232</v>
      </c>
      <c r="B343" s="2">
        <v>2020.0</v>
      </c>
      <c r="C343" s="2">
        <v>145934.4531</v>
      </c>
      <c r="D343" s="2">
        <v>74.75400543</v>
      </c>
      <c r="E343" s="2">
        <v>96.99254807</v>
      </c>
      <c r="F343" s="2">
        <v>0.6219963766</v>
      </c>
      <c r="G343" s="2">
        <v>2.38545555</v>
      </c>
      <c r="H343" s="2" t="s">
        <v>64</v>
      </c>
      <c r="I343" s="2">
        <v>91.54410196</v>
      </c>
      <c r="J343" s="2">
        <v>1.583163513</v>
      </c>
      <c r="K343" s="2">
        <v>6.872734531</v>
      </c>
      <c r="L343" s="2" t="s">
        <v>64</v>
      </c>
      <c r="M343" s="2">
        <v>98.83259961</v>
      </c>
      <c r="N343" s="2">
        <v>0.2973899687</v>
      </c>
      <c r="O343" s="2">
        <v>0.6700104236</v>
      </c>
      <c r="P343" s="2">
        <v>0.2</v>
      </c>
      <c r="Q343" s="13" t="str">
        <f t="shared" si="1"/>
        <v>Russian Federation|2020</v>
      </c>
      <c r="R343" s="14" t="str">
        <f t="shared" si="2"/>
        <v> </v>
      </c>
      <c r="T343" s="14" t="b">
        <f t="shared" si="3"/>
        <v>0</v>
      </c>
      <c r="U343" s="14" t="b">
        <f t="shared" si="29"/>
        <v>0</v>
      </c>
      <c r="V343" s="14" t="b">
        <f t="shared" si="4"/>
        <v>0</v>
      </c>
      <c r="W343" s="14">
        <f t="shared" si="5"/>
        <v>97</v>
      </c>
      <c r="X343" s="14">
        <f t="shared" si="6"/>
        <v>92</v>
      </c>
      <c r="Y343" s="14">
        <f t="shared" si="7"/>
        <v>99</v>
      </c>
      <c r="Z343" s="14" t="str">
        <f t="shared" si="8"/>
        <v/>
      </c>
      <c r="AA343" s="14" t="str">
        <f t="shared" si="9"/>
        <v/>
      </c>
      <c r="AB343" s="14" t="str">
        <f t="shared" si="10"/>
        <v/>
      </c>
      <c r="AC343" s="14">
        <f t="shared" si="11"/>
        <v>0</v>
      </c>
      <c r="AO343" s="21"/>
      <c r="AP343" s="24"/>
      <c r="AQ343" s="21"/>
      <c r="AS343" s="21"/>
      <c r="AT343" s="24"/>
      <c r="AU343" s="21"/>
      <c r="AX343" s="14" t="str">
        <f t="shared" si="22"/>
        <v>null</v>
      </c>
      <c r="AY343" s="14" t="str">
        <f t="shared" si="23"/>
        <v>null</v>
      </c>
      <c r="AZ343" s="14" t="str">
        <f t="shared" si="24"/>
        <v>null</v>
      </c>
      <c r="BA343" s="17"/>
    </row>
    <row r="344">
      <c r="A344" s="2" t="s">
        <v>233</v>
      </c>
      <c r="B344" s="2">
        <v>2015.0</v>
      </c>
      <c r="C344" s="2">
        <v>11369.06641</v>
      </c>
      <c r="D344" s="2">
        <v>17.00399971</v>
      </c>
      <c r="E344" s="2">
        <v>57.12177402</v>
      </c>
      <c r="F344" s="2">
        <v>22.15404615</v>
      </c>
      <c r="G344" s="2">
        <v>13.45013172</v>
      </c>
      <c r="H344" s="2">
        <v>7.27404811</v>
      </c>
      <c r="I344" s="2">
        <v>52.35270956</v>
      </c>
      <c r="J344" s="2">
        <v>24.60883866</v>
      </c>
      <c r="K344" s="2">
        <v>14.98060354</v>
      </c>
      <c r="L344" s="2">
        <v>8.057848241</v>
      </c>
      <c r="M344" s="2">
        <v>80.39943738</v>
      </c>
      <c r="N344" s="2">
        <v>10.17228262</v>
      </c>
      <c r="O344" s="2">
        <v>5.979935166</v>
      </c>
      <c r="P344" s="2">
        <v>3.448344828</v>
      </c>
      <c r="Q344" s="13" t="str">
        <f t="shared" si="1"/>
        <v>Rwanda|2015</v>
      </c>
      <c r="R344" s="14">
        <f t="shared" si="2"/>
        <v>5</v>
      </c>
      <c r="T344" s="14">
        <f t="shared" si="3"/>
        <v>0.658545426</v>
      </c>
      <c r="U344" s="14">
        <f t="shared" si="29"/>
        <v>0.657951734</v>
      </c>
      <c r="V344" s="14">
        <f t="shared" si="4"/>
        <v>0.523632384</v>
      </c>
      <c r="W344" s="14">
        <f t="shared" si="5"/>
        <v>57</v>
      </c>
      <c r="X344" s="14">
        <f t="shared" si="6"/>
        <v>52</v>
      </c>
      <c r="Y344" s="14">
        <f t="shared" si="7"/>
        <v>80</v>
      </c>
      <c r="Z344" s="14" t="str">
        <f t="shared" si="8"/>
        <v/>
      </c>
      <c r="AA344" s="14" t="str">
        <f t="shared" si="9"/>
        <v/>
      </c>
      <c r="AB344" s="14" t="str">
        <f t="shared" si="10"/>
        <v>Fully Accessible</v>
      </c>
      <c r="AC344" s="14">
        <f t="shared" si="11"/>
        <v>0.13431935</v>
      </c>
      <c r="AO344" s="21"/>
      <c r="AP344" s="24"/>
      <c r="AQ344" s="21"/>
      <c r="AS344" s="21"/>
      <c r="AT344" s="24"/>
      <c r="AU344" s="21"/>
      <c r="AX344" s="14">
        <f t="shared" si="22"/>
        <v>24321.27539</v>
      </c>
      <c r="AY344" s="14">
        <f t="shared" si="23"/>
        <v>34.43600082</v>
      </c>
      <c r="AZ344" s="14">
        <f t="shared" si="24"/>
        <v>24286.83939</v>
      </c>
      <c r="BA344" s="17"/>
    </row>
    <row r="345">
      <c r="A345" s="2" t="s">
        <v>233</v>
      </c>
      <c r="B345" s="2">
        <v>2020.0</v>
      </c>
      <c r="C345" s="2">
        <v>12952.20898</v>
      </c>
      <c r="D345" s="2">
        <v>17.43200111</v>
      </c>
      <c r="E345" s="2">
        <v>60.41450115</v>
      </c>
      <c r="F345" s="2">
        <v>22.3207193</v>
      </c>
      <c r="G345" s="2">
        <v>13.15480415</v>
      </c>
      <c r="H345" s="2">
        <v>4.109975401</v>
      </c>
      <c r="I345" s="2">
        <v>55.64246823</v>
      </c>
      <c r="J345" s="2">
        <v>25.08014133</v>
      </c>
      <c r="K345" s="2">
        <v>14.77886772</v>
      </c>
      <c r="L345" s="2">
        <v>4.498522714</v>
      </c>
      <c r="M345" s="2">
        <v>83.0175993</v>
      </c>
      <c r="N345" s="2">
        <v>9.250506251</v>
      </c>
      <c r="O345" s="2">
        <v>5.462303057</v>
      </c>
      <c r="P345" s="2">
        <v>2.269591394</v>
      </c>
      <c r="Q345" s="13" t="str">
        <f t="shared" si="1"/>
        <v>Rwanda|2020</v>
      </c>
      <c r="R345" s="14" t="str">
        <f t="shared" si="2"/>
        <v> </v>
      </c>
      <c r="T345" s="14" t="b">
        <f t="shared" si="3"/>
        <v>0</v>
      </c>
      <c r="U345" s="14" t="b">
        <f t="shared" si="29"/>
        <v>0</v>
      </c>
      <c r="V345" s="14" t="b">
        <f t="shared" si="4"/>
        <v>0</v>
      </c>
      <c r="W345" s="14">
        <f t="shared" si="5"/>
        <v>60</v>
      </c>
      <c r="X345" s="14">
        <f t="shared" si="6"/>
        <v>56</v>
      </c>
      <c r="Y345" s="14">
        <f t="shared" si="7"/>
        <v>83</v>
      </c>
      <c r="Z345" s="14" t="str">
        <f t="shared" si="8"/>
        <v/>
      </c>
      <c r="AA345" s="14" t="str">
        <f t="shared" si="9"/>
        <v/>
      </c>
      <c r="AB345" s="14" t="str">
        <f t="shared" si="10"/>
        <v/>
      </c>
      <c r="AC345" s="14">
        <f t="shared" si="11"/>
        <v>0</v>
      </c>
      <c r="AO345" s="21"/>
      <c r="AP345" s="24"/>
      <c r="AQ345" s="21"/>
      <c r="AS345" s="21"/>
      <c r="AT345" s="24"/>
      <c r="AU345" s="21"/>
      <c r="AX345" s="14" t="str">
        <f t="shared" si="22"/>
        <v>null</v>
      </c>
      <c r="AY345" s="14" t="str">
        <f t="shared" si="23"/>
        <v>null</v>
      </c>
      <c r="AZ345" s="14" t="str">
        <f t="shared" si="24"/>
        <v>null</v>
      </c>
      <c r="BA345" s="8"/>
    </row>
    <row r="346">
      <c r="A346" s="2" t="s">
        <v>234</v>
      </c>
      <c r="B346" s="2">
        <v>2015.0</v>
      </c>
      <c r="C346" s="2">
        <v>9.696</v>
      </c>
      <c r="D346" s="2">
        <v>100.0</v>
      </c>
      <c r="E346" s="2">
        <v>99.96491927</v>
      </c>
      <c r="F346" s="2">
        <v>0.0</v>
      </c>
      <c r="G346" s="2">
        <v>0.0350807263</v>
      </c>
      <c r="H346" s="2">
        <v>0.0</v>
      </c>
      <c r="I346" s="2" t="s">
        <v>64</v>
      </c>
      <c r="J346" s="2" t="s">
        <v>64</v>
      </c>
      <c r="K346" s="2" t="s">
        <v>64</v>
      </c>
      <c r="L346" s="2" t="s">
        <v>64</v>
      </c>
      <c r="M346" s="2">
        <v>99.96491927</v>
      </c>
      <c r="N346" s="2">
        <v>0.0</v>
      </c>
      <c r="O346" s="2">
        <v>0.0350807263</v>
      </c>
      <c r="P346" s="2">
        <v>0.0</v>
      </c>
      <c r="Q346" s="13" t="str">
        <f t="shared" si="1"/>
        <v>Saint Barthelemy|2015</v>
      </c>
      <c r="R346" s="14">
        <f t="shared" si="2"/>
        <v>5</v>
      </c>
      <c r="T346" s="14">
        <f t="shared" si="3"/>
        <v>0.007016146</v>
      </c>
      <c r="U346" s="14" t="str">
        <f t="shared" si="29"/>
        <v>null</v>
      </c>
      <c r="V346" s="14">
        <f t="shared" si="4"/>
        <v>0.007016146</v>
      </c>
      <c r="W346" s="14">
        <f t="shared" si="5"/>
        <v>100</v>
      </c>
      <c r="X346" s="14" t="b">
        <f t="shared" si="6"/>
        <v>0</v>
      </c>
      <c r="Y346" s="14">
        <f t="shared" si="7"/>
        <v>100</v>
      </c>
      <c r="Z346" s="14" t="str">
        <f t="shared" si="8"/>
        <v/>
      </c>
      <c r="AA346" s="14" t="str">
        <f t="shared" si="9"/>
        <v>Fully Accessible</v>
      </c>
      <c r="AB346" s="14" t="str">
        <f t="shared" si="10"/>
        <v>Fully Accessible</v>
      </c>
      <c r="AC346" s="14" t="b">
        <f t="shared" si="11"/>
        <v>0</v>
      </c>
      <c r="AO346" s="21"/>
      <c r="AP346" s="24"/>
      <c r="AQ346" s="21"/>
      <c r="AS346" s="21"/>
      <c r="AT346" s="24"/>
      <c r="AU346" s="21"/>
      <c r="AX346" s="14">
        <f t="shared" si="22"/>
        <v>19.581</v>
      </c>
      <c r="AY346" s="14">
        <f t="shared" si="23"/>
        <v>200</v>
      </c>
      <c r="AZ346" s="14">
        <f t="shared" si="24"/>
        <v>-180.419</v>
      </c>
      <c r="BA346" s="27"/>
    </row>
    <row r="347">
      <c r="A347" s="2" t="s">
        <v>234</v>
      </c>
      <c r="B347" s="2">
        <v>2020.0</v>
      </c>
      <c r="C347" s="2">
        <v>9.885</v>
      </c>
      <c r="D347" s="2">
        <v>100.0</v>
      </c>
      <c r="E347" s="2">
        <v>100.0</v>
      </c>
      <c r="F347" s="2">
        <v>0.0</v>
      </c>
      <c r="G347" s="2">
        <v>0.0</v>
      </c>
      <c r="H347" s="2">
        <v>0.0</v>
      </c>
      <c r="I347" s="2" t="s">
        <v>64</v>
      </c>
      <c r="J347" s="2" t="s">
        <v>64</v>
      </c>
      <c r="K347" s="2" t="s">
        <v>64</v>
      </c>
      <c r="L347" s="2" t="s">
        <v>64</v>
      </c>
      <c r="M347" s="2">
        <v>100.0</v>
      </c>
      <c r="N347" s="2">
        <v>0.0</v>
      </c>
      <c r="O347" s="2">
        <v>0.0</v>
      </c>
      <c r="P347" s="2">
        <v>0.0</v>
      </c>
      <c r="Q347" s="13" t="str">
        <f t="shared" si="1"/>
        <v>Saint Barthelemy|2020</v>
      </c>
      <c r="R347" s="14" t="str">
        <f t="shared" si="2"/>
        <v> </v>
      </c>
      <c r="T347" s="14" t="b">
        <f t="shared" si="3"/>
        <v>0</v>
      </c>
      <c r="U347" s="14" t="b">
        <f t="shared" si="29"/>
        <v>0</v>
      </c>
      <c r="V347" s="14" t="b">
        <f t="shared" si="4"/>
        <v>0</v>
      </c>
      <c r="W347" s="14">
        <f t="shared" si="5"/>
        <v>100</v>
      </c>
      <c r="X347" s="14" t="b">
        <f t="shared" si="6"/>
        <v>0</v>
      </c>
      <c r="Y347" s="14">
        <f t="shared" si="7"/>
        <v>100</v>
      </c>
      <c r="Z347" s="14" t="str">
        <f t="shared" si="8"/>
        <v/>
      </c>
      <c r="AA347" s="14" t="str">
        <f t="shared" si="9"/>
        <v/>
      </c>
      <c r="AB347" s="14" t="str">
        <f t="shared" si="10"/>
        <v/>
      </c>
      <c r="AC347" s="14">
        <f t="shared" si="11"/>
        <v>0</v>
      </c>
      <c r="AO347" s="21"/>
      <c r="AP347" s="24"/>
      <c r="AQ347" s="21"/>
      <c r="AS347" s="21"/>
      <c r="AT347" s="24"/>
      <c r="AU347" s="21"/>
      <c r="AX347" s="14" t="str">
        <f t="shared" si="22"/>
        <v>null</v>
      </c>
      <c r="AY347" s="14" t="str">
        <f t="shared" si="23"/>
        <v>null</v>
      </c>
      <c r="AZ347" s="14" t="str">
        <f t="shared" si="24"/>
        <v>null</v>
      </c>
      <c r="BA347" s="17"/>
    </row>
    <row r="348">
      <c r="A348" s="2" t="s">
        <v>235</v>
      </c>
      <c r="B348" s="2">
        <v>2015.0</v>
      </c>
      <c r="C348" s="2">
        <v>5.868999958</v>
      </c>
      <c r="D348" s="2">
        <v>39.5399971</v>
      </c>
      <c r="E348" s="2">
        <v>98.95</v>
      </c>
      <c r="F348" s="2">
        <v>0.0</v>
      </c>
      <c r="G348" s="2">
        <v>1.05</v>
      </c>
      <c r="H348" s="2">
        <v>0.0</v>
      </c>
      <c r="I348" s="2" t="s">
        <v>64</v>
      </c>
      <c r="J348" s="2" t="s">
        <v>64</v>
      </c>
      <c r="K348" s="2" t="s">
        <v>64</v>
      </c>
      <c r="L348" s="2" t="s">
        <v>64</v>
      </c>
      <c r="M348" s="2" t="s">
        <v>64</v>
      </c>
      <c r="N348" s="2" t="s">
        <v>64</v>
      </c>
      <c r="O348" s="2" t="s">
        <v>64</v>
      </c>
      <c r="P348" s="2" t="s">
        <v>64</v>
      </c>
      <c r="Q348" s="13" t="str">
        <f t="shared" si="1"/>
        <v>Saint Helena|2015</v>
      </c>
      <c r="R348" s="14">
        <f t="shared" si="2"/>
        <v>5</v>
      </c>
      <c r="T348" s="14">
        <f t="shared" si="3"/>
        <v>0.03</v>
      </c>
      <c r="U348" s="14" t="str">
        <f t="shared" si="29"/>
        <v>null</v>
      </c>
      <c r="V348" s="14" t="str">
        <f t="shared" si="4"/>
        <v>null</v>
      </c>
      <c r="W348" s="14">
        <f t="shared" si="5"/>
        <v>99</v>
      </c>
      <c r="X348" s="14" t="b">
        <f t="shared" si="6"/>
        <v>0</v>
      </c>
      <c r="Y348" s="14" t="b">
        <f t="shared" si="7"/>
        <v>0</v>
      </c>
      <c r="Z348" s="14" t="str">
        <f t="shared" si="8"/>
        <v/>
      </c>
      <c r="AA348" s="14" t="str">
        <f t="shared" si="9"/>
        <v>Fully Accessible</v>
      </c>
      <c r="AB348" s="14" t="str">
        <f t="shared" si="10"/>
        <v>Fully Accessible</v>
      </c>
      <c r="AC348" s="14" t="b">
        <f t="shared" si="11"/>
        <v>0</v>
      </c>
      <c r="AO348" s="21"/>
      <c r="AP348" s="24"/>
      <c r="AQ348" s="21"/>
      <c r="AS348" s="21"/>
      <c r="AT348" s="24"/>
      <c r="AU348" s="21"/>
      <c r="AX348" s="14">
        <f t="shared" si="22"/>
        <v>11.94000006</v>
      </c>
      <c r="AY348" s="14">
        <f t="shared" si="23"/>
        <v>79.62199783</v>
      </c>
      <c r="AZ348" s="14">
        <f t="shared" si="24"/>
        <v>-67.68199777</v>
      </c>
      <c r="BA348" s="27"/>
    </row>
    <row r="349">
      <c r="A349" s="2" t="s">
        <v>235</v>
      </c>
      <c r="B349" s="2">
        <v>2020.0</v>
      </c>
      <c r="C349" s="2">
        <v>6.071000099</v>
      </c>
      <c r="D349" s="2">
        <v>40.08200073</v>
      </c>
      <c r="E349" s="2">
        <v>99.1</v>
      </c>
      <c r="F349" s="2">
        <v>0.0</v>
      </c>
      <c r="G349" s="2">
        <v>0.9</v>
      </c>
      <c r="H349" s="2">
        <v>0.0</v>
      </c>
      <c r="I349" s="2" t="s">
        <v>64</v>
      </c>
      <c r="J349" s="2" t="s">
        <v>64</v>
      </c>
      <c r="K349" s="2" t="s">
        <v>64</v>
      </c>
      <c r="L349" s="2" t="s">
        <v>64</v>
      </c>
      <c r="M349" s="2" t="s">
        <v>64</v>
      </c>
      <c r="N349" s="2" t="s">
        <v>64</v>
      </c>
      <c r="O349" s="2" t="s">
        <v>64</v>
      </c>
      <c r="P349" s="2" t="s">
        <v>64</v>
      </c>
      <c r="Q349" s="13" t="str">
        <f t="shared" si="1"/>
        <v>Saint Helena|2020</v>
      </c>
      <c r="R349" s="14" t="str">
        <f t="shared" si="2"/>
        <v> </v>
      </c>
      <c r="T349" s="14" t="b">
        <f t="shared" si="3"/>
        <v>0</v>
      </c>
      <c r="U349" s="14" t="b">
        <f t="shared" si="29"/>
        <v>0</v>
      </c>
      <c r="V349" s="14" t="b">
        <f t="shared" si="4"/>
        <v>0</v>
      </c>
      <c r="W349" s="14">
        <f t="shared" si="5"/>
        <v>99</v>
      </c>
      <c r="X349" s="14" t="b">
        <f t="shared" si="6"/>
        <v>0</v>
      </c>
      <c r="Y349" s="14" t="b">
        <f t="shared" si="7"/>
        <v>0</v>
      </c>
      <c r="Z349" s="14" t="str">
        <f t="shared" si="8"/>
        <v/>
      </c>
      <c r="AA349" s="14" t="str">
        <f t="shared" si="9"/>
        <v/>
      </c>
      <c r="AB349" s="14" t="str">
        <f t="shared" si="10"/>
        <v/>
      </c>
      <c r="AC349" s="14">
        <f t="shared" si="11"/>
        <v>0</v>
      </c>
      <c r="AO349" s="21"/>
      <c r="AP349" s="24"/>
      <c r="AQ349" s="21"/>
      <c r="AS349" s="21"/>
      <c r="AT349" s="24"/>
      <c r="AU349" s="21"/>
      <c r="AX349" s="14" t="str">
        <f t="shared" si="22"/>
        <v>null</v>
      </c>
      <c r="AY349" s="14" t="str">
        <f t="shared" si="23"/>
        <v>null</v>
      </c>
      <c r="AZ349" s="14" t="str">
        <f t="shared" si="24"/>
        <v>null</v>
      </c>
      <c r="BA349" s="27"/>
    </row>
    <row r="350">
      <c r="A350" s="2" t="s">
        <v>236</v>
      </c>
      <c r="B350" s="2">
        <v>2015.0</v>
      </c>
      <c r="C350" s="2">
        <v>51.20399857</v>
      </c>
      <c r="D350" s="2">
        <v>30.82700157</v>
      </c>
      <c r="E350" s="2">
        <v>98.61185413</v>
      </c>
      <c r="F350" s="2">
        <v>0.0</v>
      </c>
      <c r="G350" s="2">
        <v>1.388145868</v>
      </c>
      <c r="H350" s="2">
        <v>0.0</v>
      </c>
      <c r="I350" s="2" t="s">
        <v>64</v>
      </c>
      <c r="J350" s="2" t="s">
        <v>64</v>
      </c>
      <c r="K350" s="2" t="s">
        <v>64</v>
      </c>
      <c r="L350" s="2" t="s">
        <v>64</v>
      </c>
      <c r="M350" s="2" t="s">
        <v>64</v>
      </c>
      <c r="N350" s="2" t="s">
        <v>64</v>
      </c>
      <c r="O350" s="2" t="s">
        <v>64</v>
      </c>
      <c r="P350" s="2" t="s">
        <v>64</v>
      </c>
      <c r="Q350" s="13" t="str">
        <f t="shared" si="1"/>
        <v>Saint Kitts and Nevis|2015</v>
      </c>
      <c r="R350" s="14">
        <f t="shared" si="2"/>
        <v>2</v>
      </c>
      <c r="T350" s="14">
        <f t="shared" si="3"/>
        <v>0</v>
      </c>
      <c r="U350" s="14" t="str">
        <f t="shared" si="29"/>
        <v>null</v>
      </c>
      <c r="V350" s="14" t="str">
        <f t="shared" si="4"/>
        <v>null</v>
      </c>
      <c r="W350" s="14">
        <f t="shared" si="5"/>
        <v>99</v>
      </c>
      <c r="X350" s="14" t="b">
        <f t="shared" si="6"/>
        <v>0</v>
      </c>
      <c r="Y350" s="14" t="b">
        <f t="shared" si="7"/>
        <v>0</v>
      </c>
      <c r="Z350" s="14" t="str">
        <f t="shared" si="8"/>
        <v/>
      </c>
      <c r="AA350" s="14" t="str">
        <f t="shared" si="9"/>
        <v>Fully Accessible</v>
      </c>
      <c r="AB350" s="14" t="str">
        <f t="shared" si="10"/>
        <v>Fully Accessible</v>
      </c>
      <c r="AC350" s="14" t="b">
        <f t="shared" si="11"/>
        <v>0</v>
      </c>
      <c r="AO350" s="21"/>
      <c r="AP350" s="24"/>
      <c r="AQ350" s="21"/>
      <c r="AS350" s="21"/>
      <c r="AT350" s="24"/>
      <c r="AU350" s="21"/>
      <c r="AX350" s="14">
        <f t="shared" si="22"/>
        <v>103.2399979</v>
      </c>
      <c r="AY350" s="14">
        <f t="shared" si="23"/>
        <v>61.59999847</v>
      </c>
      <c r="AZ350" s="14">
        <f t="shared" si="24"/>
        <v>41.6399994</v>
      </c>
      <c r="BA350" s="17"/>
    </row>
    <row r="351">
      <c r="A351" s="2" t="s">
        <v>236</v>
      </c>
      <c r="B351" s="2">
        <v>2017.0</v>
      </c>
      <c r="C351" s="2">
        <v>52.0359993</v>
      </c>
      <c r="D351" s="2">
        <v>30.7729969</v>
      </c>
      <c r="E351" s="2">
        <v>98.61185413</v>
      </c>
      <c r="F351" s="2">
        <v>0.0</v>
      </c>
      <c r="G351" s="2">
        <v>1.388145868</v>
      </c>
      <c r="H351" s="2">
        <v>0.0</v>
      </c>
      <c r="I351" s="2" t="s">
        <v>64</v>
      </c>
      <c r="J351" s="2" t="s">
        <v>64</v>
      </c>
      <c r="K351" s="2" t="s">
        <v>64</v>
      </c>
      <c r="L351" s="2" t="s">
        <v>64</v>
      </c>
      <c r="M351" s="2" t="s">
        <v>64</v>
      </c>
      <c r="N351" s="2" t="s">
        <v>64</v>
      </c>
      <c r="O351" s="2" t="s">
        <v>64</v>
      </c>
      <c r="P351" s="2" t="s">
        <v>64</v>
      </c>
      <c r="Q351" s="13" t="str">
        <f t="shared" si="1"/>
        <v>Saint Kitts and Nevis|2017</v>
      </c>
      <c r="R351" s="14" t="str">
        <f t="shared" si="2"/>
        <v> </v>
      </c>
      <c r="T351" s="14" t="b">
        <f t="shared" si="3"/>
        <v>0</v>
      </c>
      <c r="U351" s="14" t="b">
        <f t="shared" si="29"/>
        <v>0</v>
      </c>
      <c r="V351" s="14" t="b">
        <f t="shared" si="4"/>
        <v>0</v>
      </c>
      <c r="W351" s="14">
        <f t="shared" si="5"/>
        <v>99</v>
      </c>
      <c r="X351" s="14" t="b">
        <f t="shared" si="6"/>
        <v>0</v>
      </c>
      <c r="Y351" s="14" t="b">
        <f t="shared" si="7"/>
        <v>0</v>
      </c>
      <c r="Z351" s="14" t="str">
        <f t="shared" si="8"/>
        <v/>
      </c>
      <c r="AA351" s="14" t="str">
        <f t="shared" si="9"/>
        <v/>
      </c>
      <c r="AB351" s="14" t="str">
        <f t="shared" si="10"/>
        <v/>
      </c>
      <c r="AC351" s="14">
        <f t="shared" si="11"/>
        <v>0</v>
      </c>
      <c r="AO351" s="21"/>
      <c r="AP351" s="24"/>
      <c r="AQ351" s="21"/>
      <c r="AS351" s="21"/>
      <c r="AT351" s="24"/>
      <c r="AU351" s="21"/>
      <c r="AX351" s="14" t="str">
        <f t="shared" si="22"/>
        <v>null</v>
      </c>
      <c r="AY351" s="14" t="str">
        <f t="shared" si="23"/>
        <v>null</v>
      </c>
      <c r="AZ351" s="14" t="str">
        <f t="shared" si="24"/>
        <v>null</v>
      </c>
      <c r="BA351" s="17"/>
    </row>
    <row r="352">
      <c r="A352" s="2" t="s">
        <v>237</v>
      </c>
      <c r="B352" s="2">
        <v>2015.0</v>
      </c>
      <c r="C352" s="2">
        <v>179.1309967</v>
      </c>
      <c r="D352" s="2">
        <v>18.51499939</v>
      </c>
      <c r="E352" s="2">
        <v>95.56809428</v>
      </c>
      <c r="F352" s="2">
        <v>1.790210415</v>
      </c>
      <c r="G352" s="2">
        <v>2.641695303</v>
      </c>
      <c r="H352" s="2">
        <v>0.0</v>
      </c>
      <c r="I352" s="2">
        <v>95.31226124</v>
      </c>
      <c r="J352" s="2">
        <v>1.707252381</v>
      </c>
      <c r="K352" s="2">
        <v>2.980486378</v>
      </c>
      <c r="L352" s="2">
        <v>0.0</v>
      </c>
      <c r="M352" s="2">
        <v>96.69403318</v>
      </c>
      <c r="N352" s="2">
        <v>2.155311103</v>
      </c>
      <c r="O352" s="2">
        <v>1.150655713</v>
      </c>
      <c r="P352" s="2">
        <v>0.0</v>
      </c>
      <c r="Q352" s="13" t="str">
        <f t="shared" si="1"/>
        <v>Saint Lucia|2015</v>
      </c>
      <c r="R352" s="14">
        <f t="shared" si="2"/>
        <v>5</v>
      </c>
      <c r="T352" s="14">
        <f t="shared" si="3"/>
        <v>0.263950058</v>
      </c>
      <c r="U352" s="14">
        <f t="shared" si="29"/>
        <v>0.300352518</v>
      </c>
      <c r="V352" s="14">
        <f t="shared" si="4"/>
        <v>0.102357802</v>
      </c>
      <c r="W352" s="14">
        <f t="shared" si="5"/>
        <v>96</v>
      </c>
      <c r="X352" s="14">
        <f t="shared" si="6"/>
        <v>95</v>
      </c>
      <c r="Y352" s="14">
        <f t="shared" si="7"/>
        <v>97</v>
      </c>
      <c r="Z352" s="14" t="str">
        <f t="shared" si="8"/>
        <v/>
      </c>
      <c r="AA352" s="14" t="str">
        <f t="shared" si="9"/>
        <v/>
      </c>
      <c r="AB352" s="14" t="str">
        <f t="shared" si="10"/>
        <v>Fully Accessible</v>
      </c>
      <c r="AC352" s="14">
        <f t="shared" si="11"/>
        <v>0.197994716</v>
      </c>
      <c r="AO352" s="21"/>
      <c r="AP352" s="24"/>
      <c r="AQ352" s="21"/>
      <c r="AS352" s="21"/>
      <c r="AT352" s="24"/>
      <c r="AU352" s="21"/>
      <c r="AX352" s="14">
        <f t="shared" si="22"/>
        <v>362.7599945</v>
      </c>
      <c r="AY352" s="14">
        <f t="shared" si="23"/>
        <v>37.35599899</v>
      </c>
      <c r="AZ352" s="14">
        <f t="shared" si="24"/>
        <v>325.4039955</v>
      </c>
      <c r="BA352" s="17"/>
    </row>
    <row r="353">
      <c r="A353" s="2" t="s">
        <v>237</v>
      </c>
      <c r="B353" s="2">
        <v>2020.0</v>
      </c>
      <c r="C353" s="2">
        <v>183.6289978</v>
      </c>
      <c r="D353" s="2">
        <v>18.8409996</v>
      </c>
      <c r="E353" s="2">
        <v>96.88784457</v>
      </c>
      <c r="F353" s="2">
        <v>1.815652166</v>
      </c>
      <c r="G353" s="2">
        <v>1.296503269</v>
      </c>
      <c r="H353" s="2">
        <v>0.0</v>
      </c>
      <c r="I353" s="2">
        <v>96.81402383</v>
      </c>
      <c r="J353" s="2">
        <v>1.734152255</v>
      </c>
      <c r="K353" s="2">
        <v>1.451823918</v>
      </c>
      <c r="L353" s="2">
        <v>0.0</v>
      </c>
      <c r="M353" s="2">
        <v>97.20582219</v>
      </c>
      <c r="N353" s="2">
        <v>2.166718886</v>
      </c>
      <c r="O353" s="2">
        <v>0.6274589237</v>
      </c>
      <c r="P353" s="2">
        <v>0.0</v>
      </c>
      <c r="Q353" s="13" t="str">
        <f t="shared" si="1"/>
        <v>Saint Lucia|2020</v>
      </c>
      <c r="R353" s="14" t="str">
        <f t="shared" si="2"/>
        <v> </v>
      </c>
      <c r="T353" s="14" t="b">
        <f t="shared" si="3"/>
        <v>0</v>
      </c>
      <c r="U353" s="14" t="b">
        <f t="shared" si="29"/>
        <v>0</v>
      </c>
      <c r="V353" s="14" t="b">
        <f t="shared" si="4"/>
        <v>0</v>
      </c>
      <c r="W353" s="14">
        <f t="shared" si="5"/>
        <v>97</v>
      </c>
      <c r="X353" s="14">
        <f t="shared" si="6"/>
        <v>97</v>
      </c>
      <c r="Y353" s="14">
        <f t="shared" si="7"/>
        <v>97</v>
      </c>
      <c r="Z353" s="14" t="str">
        <f t="shared" si="8"/>
        <v/>
      </c>
      <c r="AA353" s="14" t="str">
        <f t="shared" si="9"/>
        <v/>
      </c>
      <c r="AB353" s="14" t="str">
        <f t="shared" si="10"/>
        <v/>
      </c>
      <c r="AC353" s="14">
        <f t="shared" si="11"/>
        <v>0</v>
      </c>
      <c r="AO353" s="21"/>
      <c r="AP353" s="24"/>
      <c r="AQ353" s="21"/>
      <c r="AS353" s="21"/>
      <c r="AT353" s="24"/>
      <c r="AU353" s="21"/>
      <c r="AX353" s="14" t="str">
        <f t="shared" si="22"/>
        <v>null</v>
      </c>
      <c r="AY353" s="14" t="str">
        <f t="shared" si="23"/>
        <v>null</v>
      </c>
      <c r="AZ353" s="14" t="str">
        <f t="shared" si="24"/>
        <v>null</v>
      </c>
      <c r="BA353" s="8"/>
    </row>
    <row r="354">
      <c r="A354" s="2" t="s">
        <v>238</v>
      </c>
      <c r="B354" s="2">
        <v>2015.0</v>
      </c>
      <c r="C354" s="2">
        <v>35.865</v>
      </c>
      <c r="D354" s="2">
        <v>100.0</v>
      </c>
      <c r="E354" s="2">
        <v>99.9997742</v>
      </c>
      <c r="F354" s="2">
        <v>0.0</v>
      </c>
      <c r="G354" s="2">
        <v>2.258038882E-4</v>
      </c>
      <c r="H354" s="2">
        <v>0.0</v>
      </c>
      <c r="I354" s="2" t="s">
        <v>64</v>
      </c>
      <c r="J354" s="2" t="s">
        <v>64</v>
      </c>
      <c r="K354" s="2" t="s">
        <v>64</v>
      </c>
      <c r="L354" s="2" t="s">
        <v>64</v>
      </c>
      <c r="M354" s="2">
        <v>99.9997742</v>
      </c>
      <c r="N354" s="2">
        <v>0.0</v>
      </c>
      <c r="O354" s="2">
        <v>2.258038882E-4</v>
      </c>
      <c r="P354" s="2">
        <v>0.0</v>
      </c>
      <c r="Q354" s="13" t="str">
        <f t="shared" si="1"/>
        <v>Saint Martin (French part)|2015</v>
      </c>
      <c r="R354" s="14">
        <f t="shared" si="2"/>
        <v>5</v>
      </c>
      <c r="T354" s="14">
        <f t="shared" si="3"/>
        <v>-0.000100562</v>
      </c>
      <c r="U354" s="14" t="str">
        <f t="shared" si="29"/>
        <v>null</v>
      </c>
      <c r="V354" s="14">
        <f t="shared" si="4"/>
        <v>-0.000100562</v>
      </c>
      <c r="W354" s="14">
        <f t="shared" si="5"/>
        <v>100</v>
      </c>
      <c r="X354" s="14" t="b">
        <f t="shared" si="6"/>
        <v>0</v>
      </c>
      <c r="Y354" s="14">
        <f t="shared" si="7"/>
        <v>100</v>
      </c>
      <c r="Z354" s="14" t="str">
        <f t="shared" si="8"/>
        <v/>
      </c>
      <c r="AA354" s="14" t="str">
        <f t="shared" si="9"/>
        <v>Fully Accessible</v>
      </c>
      <c r="AB354" s="14" t="str">
        <f t="shared" si="10"/>
        <v>Fully Accessible</v>
      </c>
      <c r="AC354" s="14" t="b">
        <f t="shared" si="11"/>
        <v>0</v>
      </c>
      <c r="AO354" s="21"/>
      <c r="AP354" s="24"/>
      <c r="AQ354" s="21"/>
      <c r="AS354" s="21"/>
      <c r="AT354" s="24"/>
      <c r="AU354" s="21"/>
      <c r="AX354" s="14">
        <f t="shared" si="22"/>
        <v>74.524</v>
      </c>
      <c r="AY354" s="14">
        <f t="shared" si="23"/>
        <v>200</v>
      </c>
      <c r="AZ354" s="14">
        <f t="shared" si="24"/>
        <v>-125.476</v>
      </c>
      <c r="BA354" s="27"/>
    </row>
    <row r="355">
      <c r="A355" s="2" t="s">
        <v>238</v>
      </c>
      <c r="B355" s="2">
        <v>2020.0</v>
      </c>
      <c r="C355" s="2">
        <v>38.659</v>
      </c>
      <c r="D355" s="2">
        <v>100.0</v>
      </c>
      <c r="E355" s="2">
        <v>99.99927139</v>
      </c>
      <c r="F355" s="2">
        <v>0.0</v>
      </c>
      <c r="G355" s="2">
        <v>7.286105507E-4</v>
      </c>
      <c r="H355" s="2">
        <v>0.0</v>
      </c>
      <c r="I355" s="2" t="s">
        <v>64</v>
      </c>
      <c r="J355" s="2" t="s">
        <v>64</v>
      </c>
      <c r="K355" s="2" t="s">
        <v>64</v>
      </c>
      <c r="L355" s="2" t="s">
        <v>64</v>
      </c>
      <c r="M355" s="2">
        <v>99.99927139</v>
      </c>
      <c r="N355" s="2">
        <v>0.0</v>
      </c>
      <c r="O355" s="2">
        <v>7.286105507E-4</v>
      </c>
      <c r="P355" s="2">
        <v>0.0</v>
      </c>
      <c r="Q355" s="13" t="str">
        <f t="shared" si="1"/>
        <v>Saint Martin (French part)|2020</v>
      </c>
      <c r="R355" s="14" t="str">
        <f t="shared" si="2"/>
        <v> </v>
      </c>
      <c r="T355" s="14" t="b">
        <f t="shared" si="3"/>
        <v>0</v>
      </c>
      <c r="U355" s="14" t="b">
        <f t="shared" si="29"/>
        <v>0</v>
      </c>
      <c r="V355" s="14" t="b">
        <f t="shared" si="4"/>
        <v>0</v>
      </c>
      <c r="W355" s="14">
        <f t="shared" si="5"/>
        <v>100</v>
      </c>
      <c r="X355" s="14" t="b">
        <f t="shared" si="6"/>
        <v>0</v>
      </c>
      <c r="Y355" s="14">
        <f t="shared" si="7"/>
        <v>100</v>
      </c>
      <c r="Z355" s="14" t="str">
        <f t="shared" si="8"/>
        <v/>
      </c>
      <c r="AA355" s="14" t="str">
        <f t="shared" si="9"/>
        <v/>
      </c>
      <c r="AB355" s="14" t="str">
        <f t="shared" si="10"/>
        <v/>
      </c>
      <c r="AC355" s="14">
        <f t="shared" si="11"/>
        <v>0</v>
      </c>
      <c r="AO355" s="21"/>
      <c r="AP355" s="24"/>
      <c r="AQ355" s="21"/>
      <c r="AS355" s="21"/>
      <c r="AT355" s="24"/>
      <c r="AU355" s="21"/>
      <c r="AX355" s="14" t="str">
        <f t="shared" si="22"/>
        <v>null</v>
      </c>
      <c r="AY355" s="14" t="str">
        <f t="shared" si="23"/>
        <v>null</v>
      </c>
      <c r="AZ355" s="14" t="str">
        <f t="shared" si="24"/>
        <v>null</v>
      </c>
      <c r="BA355" s="17"/>
    </row>
    <row r="356">
      <c r="A356" s="2" t="s">
        <v>239</v>
      </c>
      <c r="B356" s="2">
        <v>2015.0</v>
      </c>
      <c r="C356" s="2">
        <v>5.992000103</v>
      </c>
      <c r="D356" s="2">
        <v>89.88899994</v>
      </c>
      <c r="E356" s="2">
        <v>91.4</v>
      </c>
      <c r="F356" s="2">
        <v>0.0</v>
      </c>
      <c r="G356" s="2">
        <v>8.6</v>
      </c>
      <c r="H356" s="2">
        <v>0.0</v>
      </c>
      <c r="I356" s="2" t="s">
        <v>64</v>
      </c>
      <c r="J356" s="2" t="s">
        <v>64</v>
      </c>
      <c r="K356" s="2" t="s">
        <v>64</v>
      </c>
      <c r="L356" s="2" t="s">
        <v>64</v>
      </c>
      <c r="M356" s="2" t="s">
        <v>64</v>
      </c>
      <c r="N356" s="2" t="s">
        <v>64</v>
      </c>
      <c r="O356" s="2" t="s">
        <v>64</v>
      </c>
      <c r="P356" s="2" t="s">
        <v>64</v>
      </c>
      <c r="Q356" s="13" t="str">
        <f t="shared" si="1"/>
        <v>Saint Pierre and Miquelon|2015</v>
      </c>
      <c r="R356" s="14">
        <f t="shared" si="2"/>
        <v>5</v>
      </c>
      <c r="T356" s="14">
        <f t="shared" si="3"/>
        <v>0</v>
      </c>
      <c r="U356" s="14" t="str">
        <f t="shared" si="29"/>
        <v>null</v>
      </c>
      <c r="V356" s="14" t="str">
        <f t="shared" si="4"/>
        <v>null</v>
      </c>
      <c r="W356" s="14">
        <f t="shared" si="5"/>
        <v>91</v>
      </c>
      <c r="X356" s="14" t="b">
        <f t="shared" si="6"/>
        <v>0</v>
      </c>
      <c r="Y356" s="14" t="b">
        <f t="shared" si="7"/>
        <v>0</v>
      </c>
      <c r="Z356" s="14" t="str">
        <f t="shared" si="8"/>
        <v/>
      </c>
      <c r="AA356" s="14" t="str">
        <f t="shared" si="9"/>
        <v>Fully Accessible</v>
      </c>
      <c r="AB356" s="14" t="str">
        <f t="shared" si="10"/>
        <v>Fully Accessible</v>
      </c>
      <c r="AC356" s="14" t="b">
        <f t="shared" si="11"/>
        <v>0</v>
      </c>
      <c r="AO356" s="21"/>
      <c r="AP356" s="24"/>
      <c r="AQ356" s="21"/>
      <c r="AS356" s="21"/>
      <c r="AT356" s="24"/>
      <c r="AU356" s="21"/>
      <c r="AX356" s="14">
        <f t="shared" si="22"/>
        <v>11.78700018</v>
      </c>
      <c r="AY356" s="14">
        <f t="shared" si="23"/>
        <v>179.8509979</v>
      </c>
      <c r="AZ356" s="14">
        <f t="shared" si="24"/>
        <v>-168.0639978</v>
      </c>
      <c r="BA356" s="27"/>
    </row>
    <row r="357">
      <c r="A357" s="2" t="s">
        <v>239</v>
      </c>
      <c r="B357" s="2">
        <v>2020.0</v>
      </c>
      <c r="C357" s="2">
        <v>5.795000076</v>
      </c>
      <c r="D357" s="2">
        <v>89.96199799</v>
      </c>
      <c r="E357" s="2">
        <v>91.4</v>
      </c>
      <c r="F357" s="2">
        <v>0.0</v>
      </c>
      <c r="G357" s="2">
        <v>8.6</v>
      </c>
      <c r="H357" s="2">
        <v>0.0</v>
      </c>
      <c r="I357" s="2" t="s">
        <v>64</v>
      </c>
      <c r="J357" s="2" t="s">
        <v>64</v>
      </c>
      <c r="K357" s="2" t="s">
        <v>64</v>
      </c>
      <c r="L357" s="2" t="s">
        <v>64</v>
      </c>
      <c r="M357" s="2" t="s">
        <v>64</v>
      </c>
      <c r="N357" s="2" t="s">
        <v>64</v>
      </c>
      <c r="O357" s="2" t="s">
        <v>64</v>
      </c>
      <c r="P357" s="2" t="s">
        <v>64</v>
      </c>
      <c r="Q357" s="13" t="str">
        <f t="shared" si="1"/>
        <v>Saint Pierre and Miquelon|2020</v>
      </c>
      <c r="R357" s="14" t="str">
        <f t="shared" si="2"/>
        <v> </v>
      </c>
      <c r="T357" s="14" t="b">
        <f t="shared" si="3"/>
        <v>0</v>
      </c>
      <c r="U357" s="14" t="b">
        <f t="shared" si="29"/>
        <v>0</v>
      </c>
      <c r="V357" s="14" t="b">
        <f t="shared" si="4"/>
        <v>0</v>
      </c>
      <c r="W357" s="14">
        <f t="shared" si="5"/>
        <v>91</v>
      </c>
      <c r="X357" s="14" t="b">
        <f t="shared" si="6"/>
        <v>0</v>
      </c>
      <c r="Y357" s="14" t="b">
        <f t="shared" si="7"/>
        <v>0</v>
      </c>
      <c r="Z357" s="14" t="str">
        <f t="shared" si="8"/>
        <v/>
      </c>
      <c r="AA357" s="14" t="str">
        <f t="shared" si="9"/>
        <v/>
      </c>
      <c r="AB357" s="14" t="str">
        <f t="shared" si="10"/>
        <v/>
      </c>
      <c r="AC357" s="14">
        <f t="shared" si="11"/>
        <v>0</v>
      </c>
      <c r="AO357" s="21"/>
      <c r="AP357" s="24"/>
      <c r="AQ357" s="21"/>
      <c r="AS357" s="21"/>
      <c r="AT357" s="24"/>
      <c r="AU357" s="21"/>
      <c r="AX357" s="14" t="str">
        <f t="shared" si="22"/>
        <v>null</v>
      </c>
      <c r="AY357" s="14" t="str">
        <f t="shared" si="23"/>
        <v>null</v>
      </c>
      <c r="AZ357" s="14" t="str">
        <f t="shared" si="24"/>
        <v>null</v>
      </c>
      <c r="BA357" s="27"/>
    </row>
    <row r="358">
      <c r="A358" s="2" t="s">
        <v>240</v>
      </c>
      <c r="B358" s="2">
        <v>2015.0</v>
      </c>
      <c r="C358" s="2">
        <v>109.1350021</v>
      </c>
      <c r="D358" s="2">
        <v>50.96399689</v>
      </c>
      <c r="E358" s="2">
        <v>95.1452199</v>
      </c>
      <c r="F358" s="2">
        <v>0.0</v>
      </c>
      <c r="G358" s="2">
        <v>4.070093703</v>
      </c>
      <c r="H358" s="2">
        <v>0.784686397</v>
      </c>
      <c r="I358" s="2" t="s">
        <v>64</v>
      </c>
      <c r="J358" s="2" t="s">
        <v>64</v>
      </c>
      <c r="K358" s="2" t="s">
        <v>64</v>
      </c>
      <c r="L358" s="2" t="s">
        <v>64</v>
      </c>
      <c r="M358" s="2" t="s">
        <v>64</v>
      </c>
      <c r="N358" s="2" t="s">
        <v>64</v>
      </c>
      <c r="O358" s="2" t="s">
        <v>64</v>
      </c>
      <c r="P358" s="2" t="s">
        <v>64</v>
      </c>
      <c r="Q358" s="13" t="str">
        <f t="shared" si="1"/>
        <v>Saint Vincent and the Grenadines|2015</v>
      </c>
      <c r="R358" s="14">
        <f t="shared" si="2"/>
        <v>3</v>
      </c>
      <c r="T358" s="14">
        <f t="shared" si="3"/>
        <v>0</v>
      </c>
      <c r="U358" s="14" t="str">
        <f t="shared" si="29"/>
        <v>null</v>
      </c>
      <c r="V358" s="14" t="str">
        <f t="shared" si="4"/>
        <v>null</v>
      </c>
      <c r="W358" s="14">
        <f t="shared" si="5"/>
        <v>95</v>
      </c>
      <c r="X358" s="14" t="b">
        <f t="shared" si="6"/>
        <v>0</v>
      </c>
      <c r="Y358" s="14" t="b">
        <f t="shared" si="7"/>
        <v>0</v>
      </c>
      <c r="Z358" s="14" t="str">
        <f t="shared" si="8"/>
        <v/>
      </c>
      <c r="AA358" s="14" t="str">
        <f t="shared" si="9"/>
        <v>Fully Accessible</v>
      </c>
      <c r="AB358" s="14" t="str">
        <f t="shared" si="10"/>
        <v>Fully Accessible</v>
      </c>
      <c r="AC358" s="14" t="b">
        <f t="shared" si="11"/>
        <v>0</v>
      </c>
      <c r="AO358" s="21"/>
      <c r="AP358" s="24"/>
      <c r="AQ358" s="21"/>
      <c r="AS358" s="21"/>
      <c r="AT358" s="24"/>
      <c r="AU358" s="21"/>
      <c r="AX358" s="14">
        <f t="shared" si="22"/>
        <v>219.3450012</v>
      </c>
      <c r="AY358" s="14">
        <f t="shared" si="23"/>
        <v>103.1619949</v>
      </c>
      <c r="AZ358" s="14">
        <f t="shared" si="24"/>
        <v>116.1830063</v>
      </c>
      <c r="BA358" s="17"/>
    </row>
    <row r="359">
      <c r="A359" s="2" t="s">
        <v>240</v>
      </c>
      <c r="B359" s="2">
        <v>2018.0</v>
      </c>
      <c r="C359" s="2">
        <v>110.2099991</v>
      </c>
      <c r="D359" s="2">
        <v>52.19799805</v>
      </c>
      <c r="E359" s="2">
        <v>95.1452199</v>
      </c>
      <c r="F359" s="2">
        <v>0.0</v>
      </c>
      <c r="G359" s="2">
        <v>4.8547801</v>
      </c>
      <c r="H359" s="2" t="s">
        <v>64</v>
      </c>
      <c r="I359" s="2" t="s">
        <v>64</v>
      </c>
      <c r="J359" s="2" t="s">
        <v>64</v>
      </c>
      <c r="K359" s="2" t="s">
        <v>64</v>
      </c>
      <c r="L359" s="2" t="s">
        <v>64</v>
      </c>
      <c r="M359" s="2" t="s">
        <v>64</v>
      </c>
      <c r="N359" s="2" t="s">
        <v>64</v>
      </c>
      <c r="O359" s="2" t="s">
        <v>64</v>
      </c>
      <c r="P359" s="2" t="s">
        <v>64</v>
      </c>
      <c r="Q359" s="13" t="str">
        <f t="shared" si="1"/>
        <v>Saint Vincent and the Grenadines|2018</v>
      </c>
      <c r="R359" s="14" t="str">
        <f t="shared" si="2"/>
        <v> </v>
      </c>
      <c r="T359" s="14" t="b">
        <f t="shared" si="3"/>
        <v>0</v>
      </c>
      <c r="U359" s="14" t="b">
        <f t="shared" si="29"/>
        <v>0</v>
      </c>
      <c r="V359" s="14" t="b">
        <f t="shared" si="4"/>
        <v>0</v>
      </c>
      <c r="W359" s="14">
        <f t="shared" si="5"/>
        <v>95</v>
      </c>
      <c r="X359" s="14" t="b">
        <f t="shared" si="6"/>
        <v>0</v>
      </c>
      <c r="Y359" s="14" t="b">
        <f t="shared" si="7"/>
        <v>0</v>
      </c>
      <c r="Z359" s="14" t="str">
        <f t="shared" si="8"/>
        <v/>
      </c>
      <c r="AA359" s="14" t="str">
        <f t="shared" si="9"/>
        <v/>
      </c>
      <c r="AB359" s="14" t="str">
        <f t="shared" si="10"/>
        <v/>
      </c>
      <c r="AC359" s="14">
        <f t="shared" si="11"/>
        <v>0</v>
      </c>
      <c r="AO359" s="21"/>
      <c r="AP359" s="24"/>
      <c r="AQ359" s="21"/>
      <c r="AS359" s="21"/>
      <c r="AT359" s="24"/>
      <c r="AU359" s="21"/>
      <c r="AX359" s="14" t="str">
        <f t="shared" si="22"/>
        <v>null</v>
      </c>
      <c r="AY359" s="14" t="str">
        <f t="shared" si="23"/>
        <v>null</v>
      </c>
      <c r="AZ359" s="14" t="str">
        <f t="shared" si="24"/>
        <v>null</v>
      </c>
      <c r="BA359" s="17"/>
    </row>
    <row r="360">
      <c r="A360" s="2" t="s">
        <v>241</v>
      </c>
      <c r="B360" s="2">
        <v>2015.0</v>
      </c>
      <c r="C360" s="2">
        <v>193.5099945</v>
      </c>
      <c r="D360" s="2">
        <v>18.91400146</v>
      </c>
      <c r="E360" s="2">
        <v>91.32139736</v>
      </c>
      <c r="F360" s="2">
        <v>6.499281296</v>
      </c>
      <c r="G360" s="2">
        <v>1.929815904</v>
      </c>
      <c r="H360" s="2">
        <v>0.2495054413</v>
      </c>
      <c r="I360" s="2">
        <v>91.38641565</v>
      </c>
      <c r="J360" s="2">
        <v>6.194005024</v>
      </c>
      <c r="K360" s="2">
        <v>2.148529534</v>
      </c>
      <c r="L360" s="2">
        <v>0.2710497959</v>
      </c>
      <c r="M360" s="2">
        <v>91.04264868</v>
      </c>
      <c r="N360" s="2">
        <v>7.808027061</v>
      </c>
      <c r="O360" s="2">
        <v>0.9921814015</v>
      </c>
      <c r="P360" s="2">
        <v>0.1571428571</v>
      </c>
      <c r="Q360" s="13" t="str">
        <f t="shared" si="1"/>
        <v>Samoa|2015</v>
      </c>
      <c r="R360" s="14">
        <f t="shared" si="2"/>
        <v>5</v>
      </c>
      <c r="T360" s="14">
        <f t="shared" si="3"/>
        <v>0.103265438</v>
      </c>
      <c r="U360" s="14">
        <f t="shared" si="29"/>
        <v>0.078781444</v>
      </c>
      <c r="V360" s="14">
        <f t="shared" si="4"/>
        <v>0.211708264</v>
      </c>
      <c r="W360" s="14">
        <f t="shared" si="5"/>
        <v>91</v>
      </c>
      <c r="X360" s="14">
        <f t="shared" si="6"/>
        <v>91</v>
      </c>
      <c r="Y360" s="14">
        <f t="shared" si="7"/>
        <v>91</v>
      </c>
      <c r="Z360" s="14" t="str">
        <f t="shared" si="8"/>
        <v/>
      </c>
      <c r="AA360" s="14" t="str">
        <f t="shared" si="9"/>
        <v/>
      </c>
      <c r="AB360" s="14" t="str">
        <f t="shared" si="10"/>
        <v>Fully Accessible</v>
      </c>
      <c r="AC360" s="14">
        <f t="shared" si="11"/>
        <v>-0.13292682</v>
      </c>
      <c r="AO360" s="21"/>
      <c r="AP360" s="24"/>
      <c r="AQ360" s="21"/>
      <c r="AS360" s="21"/>
      <c r="AT360" s="24"/>
      <c r="AU360" s="21"/>
      <c r="AX360" s="14">
        <f t="shared" si="22"/>
        <v>391.9199982</v>
      </c>
      <c r="AY360" s="14">
        <f t="shared" si="23"/>
        <v>36.8030014</v>
      </c>
      <c r="AZ360" s="14">
        <f t="shared" si="24"/>
        <v>355.1169968</v>
      </c>
      <c r="BA360" s="17"/>
    </row>
    <row r="361">
      <c r="A361" s="2" t="s">
        <v>241</v>
      </c>
      <c r="B361" s="2">
        <v>2020.0</v>
      </c>
      <c r="C361" s="2">
        <v>198.4100037</v>
      </c>
      <c r="D361" s="2">
        <v>17.88899994</v>
      </c>
      <c r="E361" s="2">
        <v>91.83772455</v>
      </c>
      <c r="F361" s="2">
        <v>6.520899952</v>
      </c>
      <c r="G361" s="2">
        <v>1.418623428</v>
      </c>
      <c r="H361" s="2">
        <v>0.2227520679</v>
      </c>
      <c r="I361" s="2">
        <v>91.78032287</v>
      </c>
      <c r="J361" s="2">
        <v>6.220703339</v>
      </c>
      <c r="K361" s="2">
        <v>1.72769216</v>
      </c>
      <c r="L361" s="2">
        <v>0.2712816327</v>
      </c>
      <c r="M361" s="2">
        <v>92.10119</v>
      </c>
      <c r="N361" s="2">
        <v>7.89881</v>
      </c>
      <c r="O361" s="2">
        <v>0.0</v>
      </c>
      <c r="P361" s="2">
        <v>0.0</v>
      </c>
      <c r="Q361" s="13" t="str">
        <f t="shared" si="1"/>
        <v>Samoa|2020</v>
      </c>
      <c r="R361" s="14" t="str">
        <f t="shared" si="2"/>
        <v> </v>
      </c>
      <c r="T361" s="14" t="b">
        <f t="shared" si="3"/>
        <v>0</v>
      </c>
      <c r="U361" s="14" t="b">
        <f t="shared" si="29"/>
        <v>0</v>
      </c>
      <c r="V361" s="14" t="b">
        <f t="shared" si="4"/>
        <v>0</v>
      </c>
      <c r="W361" s="14">
        <f t="shared" si="5"/>
        <v>92</v>
      </c>
      <c r="X361" s="14">
        <f t="shared" si="6"/>
        <v>92</v>
      </c>
      <c r="Y361" s="14">
        <f t="shared" si="7"/>
        <v>92</v>
      </c>
      <c r="Z361" s="14" t="str">
        <f t="shared" si="8"/>
        <v/>
      </c>
      <c r="AA361" s="14" t="str">
        <f t="shared" si="9"/>
        <v/>
      </c>
      <c r="AB361" s="14" t="str">
        <f t="shared" si="10"/>
        <v/>
      </c>
      <c r="AC361" s="14">
        <f t="shared" si="11"/>
        <v>0</v>
      </c>
      <c r="AO361" s="21"/>
      <c r="AP361" s="24"/>
      <c r="AQ361" s="21"/>
      <c r="AS361" s="21"/>
      <c r="AT361" s="24"/>
      <c r="AU361" s="21"/>
      <c r="AX361" s="14" t="str">
        <f t="shared" si="22"/>
        <v>null</v>
      </c>
      <c r="AY361" s="14" t="str">
        <f t="shared" si="23"/>
        <v>null</v>
      </c>
      <c r="AZ361" s="14" t="str">
        <f t="shared" si="24"/>
        <v>null</v>
      </c>
      <c r="BA361" s="8"/>
    </row>
    <row r="362">
      <c r="A362" s="2" t="s">
        <v>242</v>
      </c>
      <c r="B362" s="2">
        <v>2015.0</v>
      </c>
      <c r="C362" s="2">
        <v>33.27000046</v>
      </c>
      <c r="D362" s="2">
        <v>96.73899841</v>
      </c>
      <c r="E362" s="2">
        <v>100.0</v>
      </c>
      <c r="F362" s="2">
        <v>0.0</v>
      </c>
      <c r="G362" s="2">
        <v>0.0</v>
      </c>
      <c r="H362" s="2">
        <v>0.0</v>
      </c>
      <c r="I362" s="2" t="s">
        <v>64</v>
      </c>
      <c r="J362" s="2" t="s">
        <v>64</v>
      </c>
      <c r="K362" s="2" t="s">
        <v>64</v>
      </c>
      <c r="L362" s="2" t="s">
        <v>64</v>
      </c>
      <c r="M362" s="2" t="s">
        <v>64</v>
      </c>
      <c r="N362" s="2" t="s">
        <v>64</v>
      </c>
      <c r="O362" s="2" t="s">
        <v>64</v>
      </c>
      <c r="P362" s="2" t="s">
        <v>64</v>
      </c>
      <c r="Q362" s="13" t="str">
        <f t="shared" si="1"/>
        <v>San Marino|2015</v>
      </c>
      <c r="R362" s="14">
        <f t="shared" si="2"/>
        <v>5</v>
      </c>
      <c r="T362" s="14">
        <f t="shared" si="3"/>
        <v>0</v>
      </c>
      <c r="U362" s="14" t="str">
        <f t="shared" si="29"/>
        <v>null</v>
      </c>
      <c r="V362" s="14" t="str">
        <f t="shared" si="4"/>
        <v>null</v>
      </c>
      <c r="W362" s="14">
        <f t="shared" si="5"/>
        <v>100</v>
      </c>
      <c r="X362" s="14" t="b">
        <f t="shared" si="6"/>
        <v>0</v>
      </c>
      <c r="Y362" s="14" t="b">
        <f t="shared" si="7"/>
        <v>0</v>
      </c>
      <c r="Z362" s="14" t="str">
        <f t="shared" si="8"/>
        <v/>
      </c>
      <c r="AA362" s="14" t="str">
        <f t="shared" si="9"/>
        <v>Fully Accessible</v>
      </c>
      <c r="AB362" s="14" t="str">
        <f t="shared" si="10"/>
        <v>Fully Accessible</v>
      </c>
      <c r="AC362" s="14" t="b">
        <f t="shared" si="11"/>
        <v>0</v>
      </c>
      <c r="AO362" s="21"/>
      <c r="AP362" s="24"/>
      <c r="AQ362" s="21"/>
      <c r="AS362" s="21"/>
      <c r="AT362" s="24"/>
      <c r="AU362" s="21"/>
      <c r="AX362" s="14">
        <f t="shared" si="22"/>
        <v>67.20800019</v>
      </c>
      <c r="AY362" s="14">
        <f t="shared" si="23"/>
        <v>194.237999</v>
      </c>
      <c r="AZ362" s="14">
        <f t="shared" si="24"/>
        <v>-127.0299988</v>
      </c>
      <c r="BA362" s="27"/>
    </row>
    <row r="363">
      <c r="A363" s="2" t="s">
        <v>242</v>
      </c>
      <c r="B363" s="2">
        <v>2020.0</v>
      </c>
      <c r="C363" s="2">
        <v>33.93799973</v>
      </c>
      <c r="D363" s="2">
        <v>97.49900055</v>
      </c>
      <c r="E363" s="2">
        <v>100.0</v>
      </c>
      <c r="F363" s="2">
        <v>0.0</v>
      </c>
      <c r="G363" s="2">
        <v>0.0</v>
      </c>
      <c r="H363" s="2">
        <v>0.0</v>
      </c>
      <c r="I363" s="2" t="s">
        <v>64</v>
      </c>
      <c r="J363" s="2" t="s">
        <v>64</v>
      </c>
      <c r="K363" s="2" t="s">
        <v>64</v>
      </c>
      <c r="L363" s="2" t="s">
        <v>64</v>
      </c>
      <c r="M363" s="2" t="s">
        <v>64</v>
      </c>
      <c r="N363" s="2" t="s">
        <v>64</v>
      </c>
      <c r="O363" s="2" t="s">
        <v>64</v>
      </c>
      <c r="P363" s="2" t="s">
        <v>64</v>
      </c>
      <c r="Q363" s="13" t="str">
        <f t="shared" si="1"/>
        <v>San Marino|2020</v>
      </c>
      <c r="R363" s="14" t="str">
        <f t="shared" si="2"/>
        <v> </v>
      </c>
      <c r="T363" s="14" t="b">
        <f t="shared" si="3"/>
        <v>0</v>
      </c>
      <c r="U363" s="14" t="b">
        <f t="shared" si="29"/>
        <v>0</v>
      </c>
      <c r="V363" s="14" t="b">
        <f t="shared" si="4"/>
        <v>0</v>
      </c>
      <c r="W363" s="14">
        <f t="shared" si="5"/>
        <v>100</v>
      </c>
      <c r="X363" s="14" t="b">
        <f t="shared" si="6"/>
        <v>0</v>
      </c>
      <c r="Y363" s="14" t="b">
        <f t="shared" si="7"/>
        <v>0</v>
      </c>
      <c r="Z363" s="14" t="str">
        <f t="shared" si="8"/>
        <v/>
      </c>
      <c r="AA363" s="14" t="str">
        <f t="shared" si="9"/>
        <v/>
      </c>
      <c r="AB363" s="14" t="str">
        <f t="shared" si="10"/>
        <v/>
      </c>
      <c r="AC363" s="14">
        <f t="shared" si="11"/>
        <v>0</v>
      </c>
      <c r="AO363" s="21"/>
      <c r="AP363" s="24"/>
      <c r="AQ363" s="21"/>
      <c r="AS363" s="21"/>
      <c r="AT363" s="24"/>
      <c r="AU363" s="21"/>
      <c r="AX363" s="14" t="str">
        <f t="shared" si="22"/>
        <v>null</v>
      </c>
      <c r="AY363" s="14" t="str">
        <f t="shared" si="23"/>
        <v>null</v>
      </c>
      <c r="AZ363" s="14" t="str">
        <f t="shared" si="24"/>
        <v>null</v>
      </c>
      <c r="BA363" s="17"/>
    </row>
    <row r="364">
      <c r="A364" s="2" t="s">
        <v>243</v>
      </c>
      <c r="B364" s="2">
        <v>2015.0</v>
      </c>
      <c r="C364" s="2">
        <v>199.4389954</v>
      </c>
      <c r="D364" s="2">
        <v>70.1740036</v>
      </c>
      <c r="E364" s="2">
        <v>77.12422979</v>
      </c>
      <c r="F364" s="2">
        <v>18.34430682</v>
      </c>
      <c r="G364" s="2">
        <v>1.859577121</v>
      </c>
      <c r="H364" s="2">
        <v>2.671886269</v>
      </c>
      <c r="I364" s="2">
        <v>71.28271664</v>
      </c>
      <c r="J364" s="2">
        <v>17.07304495</v>
      </c>
      <c r="K364" s="2">
        <v>4.118479256</v>
      </c>
      <c r="L364" s="2">
        <v>7.525759155</v>
      </c>
      <c r="M364" s="2">
        <v>79.607041</v>
      </c>
      <c r="N364" s="2">
        <v>18.88462966</v>
      </c>
      <c r="O364" s="2">
        <v>0.8994805634</v>
      </c>
      <c r="P364" s="2">
        <v>0.6088487774</v>
      </c>
      <c r="Q364" s="13" t="str">
        <f t="shared" si="1"/>
        <v>Sao Tome and Principe|2015</v>
      </c>
      <c r="R364" s="14">
        <f t="shared" si="2"/>
        <v>5</v>
      </c>
      <c r="T364" s="14">
        <f t="shared" si="3"/>
        <v>0.220445074</v>
      </c>
      <c r="U364" s="14">
        <f t="shared" si="29"/>
        <v>0.60357957</v>
      </c>
      <c r="V364" s="14">
        <f t="shared" si="4"/>
        <v>-0.00529962</v>
      </c>
      <c r="W364" s="14">
        <f t="shared" si="5"/>
        <v>77</v>
      </c>
      <c r="X364" s="14">
        <f t="shared" si="6"/>
        <v>71</v>
      </c>
      <c r="Y364" s="14">
        <f t="shared" si="7"/>
        <v>80</v>
      </c>
      <c r="Z364" s="14" t="str">
        <f t="shared" si="8"/>
        <v/>
      </c>
      <c r="AA364" s="14" t="str">
        <f t="shared" si="9"/>
        <v/>
      </c>
      <c r="AB364" s="14" t="str">
        <f t="shared" si="10"/>
        <v>Fully Accessible</v>
      </c>
      <c r="AC364" s="14">
        <f t="shared" si="11"/>
        <v>0.60887919</v>
      </c>
      <c r="AO364" s="21"/>
      <c r="AP364" s="24"/>
      <c r="AQ364" s="21"/>
      <c r="AS364" s="21"/>
      <c r="AT364" s="24"/>
      <c r="AU364" s="21"/>
      <c r="AX364" s="14">
        <f t="shared" si="22"/>
        <v>418.5999909</v>
      </c>
      <c r="AY364" s="14">
        <f t="shared" si="23"/>
        <v>144.5280075</v>
      </c>
      <c r="AZ364" s="14">
        <f t="shared" si="24"/>
        <v>274.0719834</v>
      </c>
      <c r="BA364" s="27"/>
    </row>
    <row r="365">
      <c r="A365" s="2" t="s">
        <v>243</v>
      </c>
      <c r="B365" s="2">
        <v>2020.0</v>
      </c>
      <c r="C365" s="2">
        <v>219.1609955</v>
      </c>
      <c r="D365" s="2">
        <v>74.35400391</v>
      </c>
      <c r="E365" s="2">
        <v>78.22645516</v>
      </c>
      <c r="F365" s="2">
        <v>20.23798298</v>
      </c>
      <c r="G365" s="2">
        <v>0.4435199284</v>
      </c>
      <c r="H365" s="2">
        <v>1.09204193</v>
      </c>
      <c r="I365" s="2">
        <v>74.30061449</v>
      </c>
      <c r="J365" s="2">
        <v>19.71184258</v>
      </c>
      <c r="K365" s="2">
        <v>1.729405704</v>
      </c>
      <c r="L365" s="2">
        <v>4.258137228</v>
      </c>
      <c r="M365" s="2">
        <v>79.5805429</v>
      </c>
      <c r="N365" s="2">
        <v>20.4194571</v>
      </c>
      <c r="O365" s="2">
        <v>0.0</v>
      </c>
      <c r="P365" s="2">
        <v>0.0</v>
      </c>
      <c r="Q365" s="13" t="str">
        <f t="shared" si="1"/>
        <v>Sao Tome and Principe|2020</v>
      </c>
      <c r="R365" s="14" t="str">
        <f t="shared" si="2"/>
        <v> </v>
      </c>
      <c r="T365" s="14" t="b">
        <f t="shared" si="3"/>
        <v>0</v>
      </c>
      <c r="U365" s="14" t="b">
        <f t="shared" si="29"/>
        <v>0</v>
      </c>
      <c r="V365" s="14" t="b">
        <f t="shared" si="4"/>
        <v>0</v>
      </c>
      <c r="W365" s="14">
        <f t="shared" si="5"/>
        <v>78</v>
      </c>
      <c r="X365" s="14">
        <f t="shared" si="6"/>
        <v>74</v>
      </c>
      <c r="Y365" s="14">
        <f t="shared" si="7"/>
        <v>80</v>
      </c>
      <c r="Z365" s="14" t="str">
        <f t="shared" si="8"/>
        <v/>
      </c>
      <c r="AA365" s="14" t="str">
        <f t="shared" si="9"/>
        <v/>
      </c>
      <c r="AB365" s="14" t="str">
        <f t="shared" si="10"/>
        <v/>
      </c>
      <c r="AC365" s="14">
        <f t="shared" si="11"/>
        <v>0</v>
      </c>
      <c r="AO365" s="21"/>
      <c r="AP365" s="24"/>
      <c r="AQ365" s="21"/>
      <c r="AS365" s="21"/>
      <c r="AT365" s="24"/>
      <c r="AU365" s="21"/>
      <c r="AX365" s="14" t="str">
        <f t="shared" si="22"/>
        <v>null</v>
      </c>
      <c r="AY365" s="14" t="str">
        <f t="shared" si="23"/>
        <v>null</v>
      </c>
      <c r="AZ365" s="14" t="str">
        <f t="shared" si="24"/>
        <v>null</v>
      </c>
      <c r="BA365" s="27"/>
    </row>
    <row r="366">
      <c r="A366" s="2" t="s">
        <v>244</v>
      </c>
      <c r="B366" s="2">
        <v>2015.0</v>
      </c>
      <c r="C366" s="2">
        <v>31717.67578</v>
      </c>
      <c r="D366" s="2">
        <v>83.18000031</v>
      </c>
      <c r="E366" s="2">
        <v>99.54802638</v>
      </c>
      <c r="F366" s="2">
        <v>0.0</v>
      </c>
      <c r="G366" s="2">
        <v>0.4519736166</v>
      </c>
      <c r="H366" s="2">
        <v>0.0</v>
      </c>
      <c r="I366" s="2" t="s">
        <v>64</v>
      </c>
      <c r="J366" s="2" t="s">
        <v>64</v>
      </c>
      <c r="K366" s="2" t="s">
        <v>64</v>
      </c>
      <c r="L366" s="2" t="s">
        <v>64</v>
      </c>
      <c r="M366" s="2" t="s">
        <v>64</v>
      </c>
      <c r="N366" s="2" t="s">
        <v>64</v>
      </c>
      <c r="O366" s="2" t="s">
        <v>64</v>
      </c>
      <c r="P366" s="2" t="s">
        <v>64</v>
      </c>
      <c r="Q366" s="13" t="str">
        <f t="shared" si="1"/>
        <v>Saudi Arabia|2015</v>
      </c>
      <c r="R366" s="14">
        <f t="shared" si="2"/>
        <v>5</v>
      </c>
      <c r="T366" s="14">
        <f t="shared" si="3"/>
        <v>0.090394724</v>
      </c>
      <c r="U366" s="14" t="str">
        <f t="shared" si="29"/>
        <v>null</v>
      </c>
      <c r="V366" s="14" t="str">
        <f t="shared" si="4"/>
        <v>null</v>
      </c>
      <c r="W366" s="14">
        <f t="shared" si="5"/>
        <v>100</v>
      </c>
      <c r="X366" s="14" t="b">
        <f t="shared" si="6"/>
        <v>0</v>
      </c>
      <c r="Y366" s="14" t="b">
        <f t="shared" si="7"/>
        <v>0</v>
      </c>
      <c r="Z366" s="14" t="str">
        <f t="shared" si="8"/>
        <v/>
      </c>
      <c r="AA366" s="14" t="str">
        <f t="shared" si="9"/>
        <v>Fully Accessible</v>
      </c>
      <c r="AB366" s="14" t="str">
        <f t="shared" si="10"/>
        <v>Fully Accessible</v>
      </c>
      <c r="AC366" s="14" t="b">
        <f t="shared" si="11"/>
        <v>0</v>
      </c>
      <c r="AO366" s="21"/>
      <c r="AP366" s="24"/>
      <c r="AQ366" s="21"/>
      <c r="AS366" s="21"/>
      <c r="AT366" s="24"/>
      <c r="AU366" s="21"/>
      <c r="AX366" s="14">
        <f t="shared" si="22"/>
        <v>66531.54297</v>
      </c>
      <c r="AY366" s="14">
        <f t="shared" si="23"/>
        <v>167.4670029</v>
      </c>
      <c r="AZ366" s="14">
        <f t="shared" si="24"/>
        <v>66364.07597</v>
      </c>
      <c r="BA366" s="17"/>
    </row>
    <row r="367">
      <c r="A367" s="2" t="s">
        <v>244</v>
      </c>
      <c r="B367" s="2">
        <v>2020.0</v>
      </c>
      <c r="C367" s="2">
        <v>34813.86719</v>
      </c>
      <c r="D367" s="2">
        <v>84.28700256</v>
      </c>
      <c r="E367" s="2">
        <v>100.0</v>
      </c>
      <c r="F367" s="2">
        <v>0.0</v>
      </c>
      <c r="G367" s="2">
        <v>0.0</v>
      </c>
      <c r="H367" s="2">
        <v>0.0</v>
      </c>
      <c r="I367" s="2" t="s">
        <v>64</v>
      </c>
      <c r="J367" s="2" t="s">
        <v>64</v>
      </c>
      <c r="K367" s="2" t="s">
        <v>64</v>
      </c>
      <c r="L367" s="2" t="s">
        <v>64</v>
      </c>
      <c r="M367" s="2" t="s">
        <v>64</v>
      </c>
      <c r="N367" s="2" t="s">
        <v>64</v>
      </c>
      <c r="O367" s="2" t="s">
        <v>64</v>
      </c>
      <c r="P367" s="2" t="s">
        <v>64</v>
      </c>
      <c r="Q367" s="13" t="str">
        <f t="shared" si="1"/>
        <v>Saudi Arabia|2020</v>
      </c>
      <c r="R367" s="14" t="str">
        <f t="shared" si="2"/>
        <v> </v>
      </c>
      <c r="T367" s="14" t="b">
        <f t="shared" si="3"/>
        <v>0</v>
      </c>
      <c r="U367" s="14" t="b">
        <f t="shared" si="29"/>
        <v>0</v>
      </c>
      <c r="V367" s="14" t="b">
        <f t="shared" si="4"/>
        <v>0</v>
      </c>
      <c r="W367" s="14">
        <f t="shared" si="5"/>
        <v>100</v>
      </c>
      <c r="X367" s="14" t="b">
        <f t="shared" si="6"/>
        <v>0</v>
      </c>
      <c r="Y367" s="14" t="b">
        <f t="shared" si="7"/>
        <v>0</v>
      </c>
      <c r="Z367" s="14" t="str">
        <f t="shared" si="8"/>
        <v/>
      </c>
      <c r="AA367" s="14" t="str">
        <f t="shared" si="9"/>
        <v/>
      </c>
      <c r="AB367" s="14" t="str">
        <f t="shared" si="10"/>
        <v/>
      </c>
      <c r="AC367" s="14">
        <f t="shared" si="11"/>
        <v>0</v>
      </c>
      <c r="AO367" s="21"/>
      <c r="AP367" s="24"/>
      <c r="AQ367" s="21"/>
      <c r="AS367" s="21"/>
      <c r="AT367" s="24"/>
      <c r="AU367" s="21"/>
      <c r="AX367" s="14" t="str">
        <f t="shared" si="22"/>
        <v>null</v>
      </c>
      <c r="AY367" s="14" t="str">
        <f t="shared" si="23"/>
        <v>null</v>
      </c>
      <c r="AZ367" s="14" t="str">
        <f t="shared" si="24"/>
        <v>null</v>
      </c>
      <c r="BA367" s="17"/>
    </row>
    <row r="368">
      <c r="A368" s="2" t="s">
        <v>245</v>
      </c>
      <c r="B368" s="2">
        <v>2015.0</v>
      </c>
      <c r="C368" s="2">
        <v>14578.4502</v>
      </c>
      <c r="D368" s="2">
        <v>45.86200333</v>
      </c>
      <c r="E368" s="2">
        <v>78.60209362</v>
      </c>
      <c r="F368" s="2">
        <v>3.392145635</v>
      </c>
      <c r="G368" s="2">
        <v>17.59491318</v>
      </c>
      <c r="H368" s="2">
        <v>0.4108475646</v>
      </c>
      <c r="I368" s="2">
        <v>65.94120156</v>
      </c>
      <c r="J368" s="2">
        <v>5.253411854</v>
      </c>
      <c r="K368" s="2">
        <v>28.07919255</v>
      </c>
      <c r="L368" s="2">
        <v>0.7261940369</v>
      </c>
      <c r="M368" s="2">
        <v>93.54769776</v>
      </c>
      <c r="N368" s="2">
        <v>1.195005973</v>
      </c>
      <c r="O368" s="2">
        <v>5.218700794</v>
      </c>
      <c r="P368" s="2">
        <v>0.03859547379</v>
      </c>
      <c r="Q368" s="13" t="str">
        <f t="shared" si="1"/>
        <v>Senegal|2015</v>
      </c>
      <c r="R368" s="14">
        <f t="shared" si="2"/>
        <v>5</v>
      </c>
      <c r="T368" s="14">
        <f t="shared" si="3"/>
        <v>1.260628834</v>
      </c>
      <c r="U368" s="14">
        <f t="shared" si="29"/>
        <v>1.860345328</v>
      </c>
      <c r="V368" s="14">
        <f t="shared" si="4"/>
        <v>0.354800636</v>
      </c>
      <c r="W368" s="14">
        <f t="shared" si="5"/>
        <v>79</v>
      </c>
      <c r="X368" s="14">
        <f t="shared" si="6"/>
        <v>66</v>
      </c>
      <c r="Y368" s="14">
        <f t="shared" si="7"/>
        <v>94</v>
      </c>
      <c r="Z368" s="14" t="str">
        <f t="shared" si="8"/>
        <v/>
      </c>
      <c r="AA368" s="14" t="str">
        <f t="shared" si="9"/>
        <v/>
      </c>
      <c r="AB368" s="14" t="str">
        <f t="shared" si="10"/>
        <v>Fully Accessible</v>
      </c>
      <c r="AC368" s="14">
        <f t="shared" si="11"/>
        <v>1.505544692</v>
      </c>
      <c r="AO368" s="21"/>
      <c r="AP368" s="24"/>
      <c r="AQ368" s="21"/>
      <c r="AS368" s="21"/>
      <c r="AT368" s="24"/>
      <c r="AU368" s="21"/>
      <c r="AX368" s="14">
        <f t="shared" si="22"/>
        <v>31322.37989</v>
      </c>
      <c r="AY368" s="14">
        <f t="shared" si="23"/>
        <v>93.98400498</v>
      </c>
      <c r="AZ368" s="14">
        <f t="shared" si="24"/>
        <v>31228.39589</v>
      </c>
      <c r="BA368" s="17"/>
    </row>
    <row r="369">
      <c r="A369" s="2" t="s">
        <v>245</v>
      </c>
      <c r="B369" s="2">
        <v>2020.0</v>
      </c>
      <c r="C369" s="2">
        <v>16743.92969</v>
      </c>
      <c r="D369" s="2">
        <v>48.12200165</v>
      </c>
      <c r="E369" s="2">
        <v>84.90523779</v>
      </c>
      <c r="F369" s="2">
        <v>2.387217509</v>
      </c>
      <c r="G369" s="2">
        <v>12.60781566</v>
      </c>
      <c r="H369" s="2">
        <v>0.09972904042</v>
      </c>
      <c r="I369" s="2">
        <v>75.2429282</v>
      </c>
      <c r="J369" s="2">
        <v>4.052382433</v>
      </c>
      <c r="K369" s="2">
        <v>20.51245174</v>
      </c>
      <c r="L369" s="2">
        <v>0.1922376314</v>
      </c>
      <c r="M369" s="2">
        <v>95.32170094</v>
      </c>
      <c r="N369" s="2">
        <v>0.5920836567</v>
      </c>
      <c r="O369" s="2">
        <v>4.086215402</v>
      </c>
      <c r="P369" s="2">
        <v>0.0</v>
      </c>
      <c r="Q369" s="13" t="str">
        <f t="shared" si="1"/>
        <v>Senegal|2020</v>
      </c>
      <c r="R369" s="14" t="str">
        <f t="shared" si="2"/>
        <v> </v>
      </c>
      <c r="T369" s="14" t="b">
        <f t="shared" si="3"/>
        <v>0</v>
      </c>
      <c r="U369" s="14" t="b">
        <f t="shared" si="29"/>
        <v>0</v>
      </c>
      <c r="V369" s="14" t="b">
        <f t="shared" si="4"/>
        <v>0</v>
      </c>
      <c r="W369" s="14">
        <f t="shared" si="5"/>
        <v>85</v>
      </c>
      <c r="X369" s="14">
        <f t="shared" si="6"/>
        <v>75</v>
      </c>
      <c r="Y369" s="14">
        <f t="shared" si="7"/>
        <v>95</v>
      </c>
      <c r="Z369" s="14" t="str">
        <f t="shared" si="8"/>
        <v/>
      </c>
      <c r="AA369" s="14" t="str">
        <f t="shared" si="9"/>
        <v/>
      </c>
      <c r="AB369" s="14" t="str">
        <f t="shared" si="10"/>
        <v/>
      </c>
      <c r="AC369" s="14">
        <f t="shared" si="11"/>
        <v>0</v>
      </c>
      <c r="AO369" s="21"/>
      <c r="AP369" s="24"/>
      <c r="AQ369" s="21"/>
      <c r="AS369" s="21"/>
      <c r="AT369" s="24"/>
      <c r="AU369" s="21"/>
      <c r="AX369" s="14" t="str">
        <f t="shared" si="22"/>
        <v>null</v>
      </c>
      <c r="AY369" s="14" t="str">
        <f t="shared" si="23"/>
        <v>null</v>
      </c>
      <c r="AZ369" s="14" t="str">
        <f t="shared" si="24"/>
        <v>null</v>
      </c>
      <c r="BA369" s="8"/>
    </row>
    <row r="370">
      <c r="A370" s="2" t="s">
        <v>246</v>
      </c>
      <c r="B370" s="2">
        <v>2015.0</v>
      </c>
      <c r="C370" s="2">
        <v>8876.777344</v>
      </c>
      <c r="D370" s="2">
        <v>55.69599915</v>
      </c>
      <c r="E370" s="2">
        <v>93.3864573</v>
      </c>
      <c r="F370" s="2">
        <v>6.112096052</v>
      </c>
      <c r="G370" s="2">
        <v>0.4835436344</v>
      </c>
      <c r="H370" s="2">
        <v>0.01790301579</v>
      </c>
      <c r="I370" s="2">
        <v>94.72352905</v>
      </c>
      <c r="J370" s="2">
        <v>4.600438201</v>
      </c>
      <c r="K370" s="2">
        <v>0.6356232686</v>
      </c>
      <c r="L370" s="2">
        <v>0.040409478</v>
      </c>
      <c r="M370" s="2">
        <v>92.32286869</v>
      </c>
      <c r="N370" s="2">
        <v>7.314561109</v>
      </c>
      <c r="O370" s="2">
        <v>0.3625701971</v>
      </c>
      <c r="P370" s="2">
        <v>0.0</v>
      </c>
      <c r="Q370" s="13" t="str">
        <f t="shared" si="1"/>
        <v>Serbia|2015</v>
      </c>
      <c r="R370" s="14">
        <f t="shared" si="2"/>
        <v>5</v>
      </c>
      <c r="T370" s="14">
        <f t="shared" si="3"/>
        <v>0.381814404</v>
      </c>
      <c r="U370" s="14">
        <f t="shared" si="29"/>
        <v>0.22428914</v>
      </c>
      <c r="V370" s="14">
        <f t="shared" si="4"/>
        <v>0.50974024</v>
      </c>
      <c r="W370" s="14">
        <f t="shared" si="5"/>
        <v>93</v>
      </c>
      <c r="X370" s="14">
        <f t="shared" si="6"/>
        <v>95</v>
      </c>
      <c r="Y370" s="14">
        <f t="shared" si="7"/>
        <v>92</v>
      </c>
      <c r="Z370" s="14" t="str">
        <f t="shared" si="8"/>
        <v/>
      </c>
      <c r="AA370" s="14" t="str">
        <f t="shared" si="9"/>
        <v/>
      </c>
      <c r="AB370" s="14" t="str">
        <f t="shared" si="10"/>
        <v>Fully Accessible</v>
      </c>
      <c r="AC370" s="14">
        <f t="shared" si="11"/>
        <v>-0.2854511</v>
      </c>
      <c r="AO370" s="21"/>
      <c r="AP370" s="24"/>
      <c r="AQ370" s="21"/>
      <c r="AS370" s="21"/>
      <c r="AT370" s="24"/>
      <c r="AU370" s="21"/>
      <c r="AX370" s="14">
        <f t="shared" si="22"/>
        <v>17614.14746</v>
      </c>
      <c r="AY370" s="14">
        <f t="shared" si="23"/>
        <v>112.1419983</v>
      </c>
      <c r="AZ370" s="14">
        <f t="shared" si="24"/>
        <v>17502.00546</v>
      </c>
      <c r="BA370" s="27"/>
    </row>
    <row r="371">
      <c r="A371" s="2" t="s">
        <v>246</v>
      </c>
      <c r="B371" s="2">
        <v>2020.0</v>
      </c>
      <c r="C371" s="2">
        <v>8737.370117</v>
      </c>
      <c r="D371" s="2">
        <v>56.44599915</v>
      </c>
      <c r="E371" s="2">
        <v>95.29552932</v>
      </c>
      <c r="F371" s="2">
        <v>4.244199279</v>
      </c>
      <c r="G371" s="2">
        <v>0.4437204778</v>
      </c>
      <c r="H371" s="2">
        <v>0.01655092647</v>
      </c>
      <c r="I371" s="2">
        <v>95.84497475</v>
      </c>
      <c r="J371" s="2">
        <v>3.545864028</v>
      </c>
      <c r="K371" s="2">
        <v>0.5711602866</v>
      </c>
      <c r="L371" s="2">
        <v>0.03800093141</v>
      </c>
      <c r="M371" s="2">
        <v>94.87156989</v>
      </c>
      <c r="N371" s="2">
        <v>4.783037865</v>
      </c>
      <c r="O371" s="2">
        <v>0.3453922445</v>
      </c>
      <c r="P371" s="2">
        <v>0.0</v>
      </c>
      <c r="Q371" s="13" t="str">
        <f t="shared" si="1"/>
        <v>Serbia|2020</v>
      </c>
      <c r="R371" s="14" t="str">
        <f t="shared" si="2"/>
        <v> </v>
      </c>
      <c r="T371" s="14" t="b">
        <f t="shared" si="3"/>
        <v>0</v>
      </c>
      <c r="U371" s="14" t="b">
        <f t="shared" si="29"/>
        <v>0</v>
      </c>
      <c r="V371" s="14" t="b">
        <f t="shared" si="4"/>
        <v>0</v>
      </c>
      <c r="W371" s="14">
        <f t="shared" si="5"/>
        <v>95</v>
      </c>
      <c r="X371" s="14">
        <f t="shared" si="6"/>
        <v>96</v>
      </c>
      <c r="Y371" s="14">
        <f t="shared" si="7"/>
        <v>95</v>
      </c>
      <c r="Z371" s="14" t="str">
        <f t="shared" si="8"/>
        <v/>
      </c>
      <c r="AA371" s="14" t="str">
        <f t="shared" si="9"/>
        <v/>
      </c>
      <c r="AB371" s="14" t="str">
        <f t="shared" si="10"/>
        <v/>
      </c>
      <c r="AC371" s="14">
        <f t="shared" si="11"/>
        <v>0</v>
      </c>
      <c r="AO371" s="21"/>
      <c r="AP371" s="24"/>
      <c r="AQ371" s="21"/>
      <c r="AS371" s="21"/>
      <c r="AT371" s="24"/>
      <c r="AU371" s="21"/>
      <c r="AX371" s="14" t="str">
        <f t="shared" si="22"/>
        <v>null</v>
      </c>
      <c r="AY371" s="14" t="str">
        <f t="shared" si="23"/>
        <v>null</v>
      </c>
      <c r="AZ371" s="14" t="str">
        <f t="shared" si="24"/>
        <v>null</v>
      </c>
      <c r="BA371" s="17"/>
    </row>
    <row r="372">
      <c r="A372" s="2" t="s">
        <v>247</v>
      </c>
      <c r="B372" s="2">
        <v>2015.0</v>
      </c>
      <c r="C372" s="2">
        <v>94.98100281</v>
      </c>
      <c r="D372" s="2">
        <v>55.40000153</v>
      </c>
      <c r="E372" s="2">
        <v>96.2508915</v>
      </c>
      <c r="F372" s="2">
        <v>0.0</v>
      </c>
      <c r="G372" s="2">
        <v>0.0</v>
      </c>
      <c r="H372" s="2">
        <v>3.749108502</v>
      </c>
      <c r="I372" s="2" t="s">
        <v>64</v>
      </c>
      <c r="J372" s="2" t="s">
        <v>64</v>
      </c>
      <c r="K372" s="2" t="s">
        <v>64</v>
      </c>
      <c r="L372" s="2" t="s">
        <v>64</v>
      </c>
      <c r="M372" s="2" t="s">
        <v>64</v>
      </c>
      <c r="N372" s="2" t="s">
        <v>64</v>
      </c>
      <c r="O372" s="2" t="s">
        <v>64</v>
      </c>
      <c r="P372" s="2" t="s">
        <v>64</v>
      </c>
      <c r="Q372" s="13" t="str">
        <f t="shared" si="1"/>
        <v>Seychelles|2015</v>
      </c>
      <c r="R372" s="14">
        <f t="shared" si="2"/>
        <v>4</v>
      </c>
      <c r="T372" s="14">
        <f t="shared" si="3"/>
        <v>0.1502138475</v>
      </c>
      <c r="U372" s="14" t="str">
        <f t="shared" si="29"/>
        <v>null</v>
      </c>
      <c r="V372" s="14" t="str">
        <f t="shared" si="4"/>
        <v>null</v>
      </c>
      <c r="W372" s="14">
        <f t="shared" si="5"/>
        <v>96</v>
      </c>
      <c r="X372" s="14" t="b">
        <f t="shared" si="6"/>
        <v>0</v>
      </c>
      <c r="Y372" s="14" t="b">
        <f t="shared" si="7"/>
        <v>0</v>
      </c>
      <c r="Z372" s="14" t="str">
        <f t="shared" si="8"/>
        <v/>
      </c>
      <c r="AA372" s="14" t="str">
        <f t="shared" si="9"/>
        <v>Fully Accessible</v>
      </c>
      <c r="AB372" s="14" t="str">
        <f t="shared" si="10"/>
        <v>Fully Accessible</v>
      </c>
      <c r="AC372" s="14" t="b">
        <f t="shared" si="11"/>
        <v>0</v>
      </c>
      <c r="AO372" s="21"/>
      <c r="AP372" s="24"/>
      <c r="AQ372" s="21"/>
      <c r="AS372" s="21"/>
      <c r="AT372" s="24"/>
      <c r="AU372" s="21"/>
      <c r="AX372" s="14">
        <f t="shared" si="22"/>
        <v>192.7220001</v>
      </c>
      <c r="AY372" s="14">
        <f t="shared" si="23"/>
        <v>112.5190048</v>
      </c>
      <c r="AZ372" s="14">
        <f t="shared" si="24"/>
        <v>80.20299529</v>
      </c>
      <c r="BA372" s="27"/>
    </row>
    <row r="373">
      <c r="A373" s="2" t="s">
        <v>247</v>
      </c>
      <c r="B373" s="2">
        <v>2019.0</v>
      </c>
      <c r="C373" s="2">
        <v>97.74099731</v>
      </c>
      <c r="D373" s="2">
        <v>57.1190033</v>
      </c>
      <c r="E373" s="2">
        <v>96.85174689</v>
      </c>
      <c r="F373" s="2">
        <v>0.0</v>
      </c>
      <c r="G373" s="2">
        <v>3.148253109</v>
      </c>
      <c r="H373" s="2" t="s">
        <v>64</v>
      </c>
      <c r="I373" s="2" t="s">
        <v>64</v>
      </c>
      <c r="J373" s="2" t="s">
        <v>64</v>
      </c>
      <c r="K373" s="2" t="s">
        <v>64</v>
      </c>
      <c r="L373" s="2" t="s">
        <v>64</v>
      </c>
      <c r="M373" s="2" t="s">
        <v>64</v>
      </c>
      <c r="N373" s="2" t="s">
        <v>64</v>
      </c>
      <c r="O373" s="2" t="s">
        <v>64</v>
      </c>
      <c r="P373" s="2" t="s">
        <v>64</v>
      </c>
      <c r="Q373" s="13" t="str">
        <f t="shared" si="1"/>
        <v>Seychelles|2019</v>
      </c>
      <c r="R373" s="14" t="str">
        <f t="shared" si="2"/>
        <v> </v>
      </c>
      <c r="T373" s="14" t="b">
        <f t="shared" si="3"/>
        <v>0</v>
      </c>
      <c r="U373" s="14" t="b">
        <f t="shared" si="29"/>
        <v>0</v>
      </c>
      <c r="V373" s="14" t="b">
        <f t="shared" si="4"/>
        <v>0</v>
      </c>
      <c r="W373" s="14">
        <f t="shared" si="5"/>
        <v>97</v>
      </c>
      <c r="X373" s="14" t="b">
        <f t="shared" si="6"/>
        <v>0</v>
      </c>
      <c r="Y373" s="14" t="b">
        <f t="shared" si="7"/>
        <v>0</v>
      </c>
      <c r="Z373" s="14" t="str">
        <f t="shared" si="8"/>
        <v/>
      </c>
      <c r="AA373" s="14" t="str">
        <f t="shared" si="9"/>
        <v/>
      </c>
      <c r="AB373" s="14" t="str">
        <f t="shared" si="10"/>
        <v/>
      </c>
      <c r="AC373" s="14">
        <f t="shared" si="11"/>
        <v>0</v>
      </c>
      <c r="AO373" s="21"/>
      <c r="AP373" s="24"/>
      <c r="AQ373" s="21"/>
      <c r="AS373" s="21"/>
      <c r="AT373" s="24"/>
      <c r="AU373" s="21"/>
      <c r="AX373" s="14" t="str">
        <f t="shared" si="22"/>
        <v>null</v>
      </c>
      <c r="AY373" s="14" t="str">
        <f t="shared" si="23"/>
        <v>null</v>
      </c>
      <c r="AZ373" s="14" t="str">
        <f t="shared" si="24"/>
        <v>null</v>
      </c>
      <c r="BA373" s="27"/>
    </row>
    <row r="374">
      <c r="A374" s="2" t="s">
        <v>248</v>
      </c>
      <c r="B374" s="2">
        <v>2015.0</v>
      </c>
      <c r="C374" s="2">
        <v>7171.90918</v>
      </c>
      <c r="D374" s="2">
        <v>40.82899857</v>
      </c>
      <c r="E374" s="2">
        <v>57.84746516</v>
      </c>
      <c r="F374" s="2">
        <v>8.196957957</v>
      </c>
      <c r="G374" s="2">
        <v>15.91095456</v>
      </c>
      <c r="H374" s="2">
        <v>18.04462232</v>
      </c>
      <c r="I374" s="2">
        <v>45.52971384</v>
      </c>
      <c r="J374" s="2">
        <v>4.840494472</v>
      </c>
      <c r="K374" s="2">
        <v>21.71696143</v>
      </c>
      <c r="L374" s="2">
        <v>27.91283027</v>
      </c>
      <c r="M374" s="2">
        <v>75.69883758</v>
      </c>
      <c r="N374" s="2">
        <v>13.06127759</v>
      </c>
      <c r="O374" s="2">
        <v>7.496659761</v>
      </c>
      <c r="P374" s="2">
        <v>3.743225068</v>
      </c>
      <c r="Q374" s="13" t="str">
        <f t="shared" si="1"/>
        <v>Sierra Leone|2015</v>
      </c>
      <c r="R374" s="14">
        <f t="shared" si="2"/>
        <v>5</v>
      </c>
      <c r="T374" s="14">
        <f t="shared" si="3"/>
        <v>1.183764092</v>
      </c>
      <c r="U374" s="14">
        <f t="shared" si="29"/>
        <v>1.444597766</v>
      </c>
      <c r="V374" s="14">
        <f t="shared" si="4"/>
        <v>0.542560016</v>
      </c>
      <c r="W374" s="14">
        <f t="shared" si="5"/>
        <v>58</v>
      </c>
      <c r="X374" s="14">
        <f t="shared" si="6"/>
        <v>46</v>
      </c>
      <c r="Y374" s="14">
        <f t="shared" si="7"/>
        <v>76</v>
      </c>
      <c r="Z374" s="14" t="str">
        <f t="shared" si="8"/>
        <v/>
      </c>
      <c r="AA374" s="14" t="str">
        <f t="shared" si="9"/>
        <v/>
      </c>
      <c r="AB374" s="14" t="str">
        <f t="shared" si="10"/>
        <v>Fully Accessible</v>
      </c>
      <c r="AC374" s="14">
        <f t="shared" si="11"/>
        <v>0.90203775</v>
      </c>
      <c r="AO374" s="21"/>
      <c r="AP374" s="24"/>
      <c r="AQ374" s="21"/>
      <c r="AS374" s="21"/>
      <c r="AT374" s="24"/>
      <c r="AU374" s="21"/>
      <c r="AX374" s="14">
        <f t="shared" si="22"/>
        <v>15148.89404</v>
      </c>
      <c r="AY374" s="14">
        <f t="shared" si="23"/>
        <v>83.75199891</v>
      </c>
      <c r="AZ374" s="14">
        <f t="shared" si="24"/>
        <v>15065.14204</v>
      </c>
      <c r="BA374" s="17"/>
    </row>
    <row r="375">
      <c r="A375" s="2" t="s">
        <v>248</v>
      </c>
      <c r="B375" s="2">
        <v>2020.0</v>
      </c>
      <c r="C375" s="2">
        <v>7976.984863</v>
      </c>
      <c r="D375" s="2">
        <v>42.92300034</v>
      </c>
      <c r="E375" s="2">
        <v>63.76628562</v>
      </c>
      <c r="F375" s="2">
        <v>9.023316357</v>
      </c>
      <c r="G375" s="2">
        <v>15.5639457</v>
      </c>
      <c r="H375" s="2">
        <v>11.64645233</v>
      </c>
      <c r="I375" s="2">
        <v>52.75270267</v>
      </c>
      <c r="J375" s="2">
        <v>5.221136889</v>
      </c>
      <c r="K375" s="2">
        <v>23.14294909</v>
      </c>
      <c r="L375" s="2">
        <v>18.88321135</v>
      </c>
      <c r="M375" s="2">
        <v>78.41163766</v>
      </c>
      <c r="N375" s="2">
        <v>14.07927743</v>
      </c>
      <c r="O375" s="2">
        <v>5.485735437</v>
      </c>
      <c r="P375" s="2">
        <v>2.023349475</v>
      </c>
      <c r="Q375" s="13" t="str">
        <f t="shared" si="1"/>
        <v>Sierra Leone|2020</v>
      </c>
      <c r="R375" s="14" t="str">
        <f t="shared" si="2"/>
        <v> </v>
      </c>
      <c r="T375" s="14" t="b">
        <f t="shared" si="3"/>
        <v>0</v>
      </c>
      <c r="U375" s="14" t="b">
        <f t="shared" si="29"/>
        <v>0</v>
      </c>
      <c r="V375" s="14" t="b">
        <f t="shared" si="4"/>
        <v>0</v>
      </c>
      <c r="W375" s="14">
        <f t="shared" si="5"/>
        <v>64</v>
      </c>
      <c r="X375" s="14">
        <f t="shared" si="6"/>
        <v>53</v>
      </c>
      <c r="Y375" s="14">
        <f t="shared" si="7"/>
        <v>78</v>
      </c>
      <c r="Z375" s="14" t="str">
        <f t="shared" si="8"/>
        <v/>
      </c>
      <c r="AA375" s="14" t="str">
        <f t="shared" si="9"/>
        <v/>
      </c>
      <c r="AB375" s="14" t="str">
        <f t="shared" si="10"/>
        <v/>
      </c>
      <c r="AC375" s="14">
        <f t="shared" si="11"/>
        <v>0</v>
      </c>
      <c r="AO375" s="21"/>
      <c r="AP375" s="24"/>
      <c r="AQ375" s="21"/>
      <c r="AS375" s="21"/>
      <c r="AT375" s="24"/>
      <c r="AU375" s="21"/>
      <c r="AX375" s="14" t="str">
        <f t="shared" si="22"/>
        <v>null</v>
      </c>
      <c r="AY375" s="14" t="str">
        <f t="shared" si="23"/>
        <v>null</v>
      </c>
      <c r="AZ375" s="14" t="str">
        <f t="shared" si="24"/>
        <v>null</v>
      </c>
      <c r="BA375" s="17"/>
    </row>
    <row r="376">
      <c r="A376" s="2" t="s">
        <v>249</v>
      </c>
      <c r="B376" s="2">
        <v>2015.0</v>
      </c>
      <c r="C376" s="2">
        <v>5592.143066</v>
      </c>
      <c r="D376" s="2">
        <v>100.0</v>
      </c>
      <c r="E376" s="2">
        <v>100.0</v>
      </c>
      <c r="F376" s="2">
        <v>0.0</v>
      </c>
      <c r="G376" s="2">
        <v>0.0</v>
      </c>
      <c r="H376" s="2">
        <v>0.0</v>
      </c>
      <c r="I376" s="2" t="s">
        <v>64</v>
      </c>
      <c r="J376" s="2" t="s">
        <v>64</v>
      </c>
      <c r="K376" s="2" t="s">
        <v>64</v>
      </c>
      <c r="L376" s="2" t="s">
        <v>64</v>
      </c>
      <c r="M376" s="2">
        <v>100.0</v>
      </c>
      <c r="N376" s="2">
        <v>0.0</v>
      </c>
      <c r="O376" s="2">
        <v>0.0</v>
      </c>
      <c r="P376" s="2">
        <v>0.0</v>
      </c>
      <c r="Q376" s="13" t="str">
        <f t="shared" si="1"/>
        <v>Singapore|2015</v>
      </c>
      <c r="R376" s="14">
        <f t="shared" si="2"/>
        <v>5</v>
      </c>
      <c r="T376" s="14">
        <f t="shared" si="3"/>
        <v>0</v>
      </c>
      <c r="U376" s="14" t="str">
        <f t="shared" si="29"/>
        <v>null</v>
      </c>
      <c r="V376" s="14">
        <f t="shared" si="4"/>
        <v>0</v>
      </c>
      <c r="W376" s="14">
        <f t="shared" si="5"/>
        <v>100</v>
      </c>
      <c r="X376" s="14" t="b">
        <f t="shared" si="6"/>
        <v>0</v>
      </c>
      <c r="Y376" s="14">
        <f t="shared" si="7"/>
        <v>100</v>
      </c>
      <c r="Z376" s="14" t="str">
        <f t="shared" si="8"/>
        <v/>
      </c>
      <c r="AA376" s="14" t="str">
        <f t="shared" si="9"/>
        <v>Fully Accessible</v>
      </c>
      <c r="AB376" s="14" t="str">
        <f t="shared" si="10"/>
        <v>Fully Accessible</v>
      </c>
      <c r="AC376" s="14" t="b">
        <f t="shared" si="11"/>
        <v>0</v>
      </c>
      <c r="AO376" s="21"/>
      <c r="AP376" s="24"/>
      <c r="AQ376" s="21"/>
      <c r="AS376" s="21"/>
      <c r="AT376" s="24"/>
      <c r="AU376" s="21"/>
      <c r="AX376" s="14">
        <f t="shared" si="22"/>
        <v>11442.48584</v>
      </c>
      <c r="AY376" s="14">
        <f t="shared" si="23"/>
        <v>200</v>
      </c>
      <c r="AZ376" s="14">
        <f t="shared" si="24"/>
        <v>11242.48584</v>
      </c>
      <c r="BA376" s="17"/>
    </row>
    <row r="377">
      <c r="A377" s="2" t="s">
        <v>249</v>
      </c>
      <c r="B377" s="2">
        <v>2020.0</v>
      </c>
      <c r="C377" s="2">
        <v>5850.342773</v>
      </c>
      <c r="D377" s="2">
        <v>100.0</v>
      </c>
      <c r="E377" s="2">
        <v>100.0</v>
      </c>
      <c r="F377" s="2">
        <v>0.0</v>
      </c>
      <c r="G377" s="2">
        <v>0.0</v>
      </c>
      <c r="H377" s="2">
        <v>0.0</v>
      </c>
      <c r="I377" s="2" t="s">
        <v>64</v>
      </c>
      <c r="J377" s="2" t="s">
        <v>64</v>
      </c>
      <c r="K377" s="2" t="s">
        <v>64</v>
      </c>
      <c r="L377" s="2" t="s">
        <v>64</v>
      </c>
      <c r="M377" s="2">
        <v>100.0</v>
      </c>
      <c r="N377" s="2">
        <v>0.0</v>
      </c>
      <c r="O377" s="2">
        <v>0.0</v>
      </c>
      <c r="P377" s="2">
        <v>0.0</v>
      </c>
      <c r="Q377" s="13" t="str">
        <f t="shared" si="1"/>
        <v>Singapore|2020</v>
      </c>
      <c r="R377" s="14" t="str">
        <f t="shared" si="2"/>
        <v> </v>
      </c>
      <c r="T377" s="14" t="b">
        <f t="shared" si="3"/>
        <v>0</v>
      </c>
      <c r="U377" s="14" t="b">
        <f t="shared" si="29"/>
        <v>0</v>
      </c>
      <c r="V377" s="14" t="b">
        <f t="shared" si="4"/>
        <v>0</v>
      </c>
      <c r="W377" s="14">
        <f t="shared" si="5"/>
        <v>100</v>
      </c>
      <c r="X377" s="14" t="b">
        <f t="shared" si="6"/>
        <v>0</v>
      </c>
      <c r="Y377" s="14">
        <f t="shared" si="7"/>
        <v>100</v>
      </c>
      <c r="Z377" s="14" t="str">
        <f t="shared" si="8"/>
        <v/>
      </c>
      <c r="AA377" s="14" t="str">
        <f t="shared" si="9"/>
        <v/>
      </c>
      <c r="AB377" s="14" t="str">
        <f t="shared" si="10"/>
        <v/>
      </c>
      <c r="AC377" s="14">
        <f t="shared" si="11"/>
        <v>0</v>
      </c>
      <c r="AO377" s="21"/>
      <c r="AP377" s="24"/>
      <c r="AQ377" s="21"/>
      <c r="AS377" s="21"/>
      <c r="AT377" s="24"/>
      <c r="AU377" s="21"/>
      <c r="AX377" s="14" t="str">
        <f t="shared" si="22"/>
        <v>null</v>
      </c>
      <c r="AY377" s="14" t="str">
        <f t="shared" si="23"/>
        <v>null</v>
      </c>
      <c r="AZ377" s="14" t="str">
        <f t="shared" si="24"/>
        <v>null</v>
      </c>
      <c r="BA377" s="8"/>
    </row>
    <row r="378">
      <c r="A378" s="2" t="s">
        <v>250</v>
      </c>
      <c r="B378" s="2">
        <v>2015.0</v>
      </c>
      <c r="C378" s="2">
        <v>39.96699905</v>
      </c>
      <c r="D378" s="2">
        <v>100.0</v>
      </c>
      <c r="E378" s="2">
        <v>95.31117933</v>
      </c>
      <c r="F378" s="2">
        <v>0.0</v>
      </c>
      <c r="G378" s="2">
        <v>4.68882067</v>
      </c>
      <c r="H378" s="2">
        <v>0.0</v>
      </c>
      <c r="I378" s="2" t="s">
        <v>64</v>
      </c>
      <c r="J378" s="2" t="s">
        <v>64</v>
      </c>
      <c r="K378" s="2" t="s">
        <v>64</v>
      </c>
      <c r="L378" s="2" t="s">
        <v>64</v>
      </c>
      <c r="M378" s="2">
        <v>95.31117933</v>
      </c>
      <c r="N378" s="2">
        <v>0.0</v>
      </c>
      <c r="O378" s="2">
        <v>4.68882067</v>
      </c>
      <c r="P378" s="2">
        <v>0.0</v>
      </c>
      <c r="Q378" s="13" t="str">
        <f t="shared" si="1"/>
        <v>Sint Maarten (Dutch part)|2015</v>
      </c>
      <c r="R378" s="14">
        <f t="shared" si="2"/>
        <v>2</v>
      </c>
      <c r="T378" s="14">
        <f t="shared" si="3"/>
        <v>0</v>
      </c>
      <c r="U378" s="14" t="str">
        <f t="shared" si="29"/>
        <v>null</v>
      </c>
      <c r="V378" s="14">
        <f t="shared" si="4"/>
        <v>0</v>
      </c>
      <c r="W378" s="14">
        <f t="shared" si="5"/>
        <v>95</v>
      </c>
      <c r="X378" s="14" t="b">
        <f t="shared" si="6"/>
        <v>0</v>
      </c>
      <c r="Y378" s="14">
        <f t="shared" si="7"/>
        <v>95</v>
      </c>
      <c r="Z378" s="14" t="str">
        <f t="shared" si="8"/>
        <v/>
      </c>
      <c r="AA378" s="14" t="str">
        <f t="shared" si="9"/>
        <v>Fully Accessible</v>
      </c>
      <c r="AB378" s="14" t="str">
        <f t="shared" si="10"/>
        <v>Fully Accessible</v>
      </c>
      <c r="AC378" s="14" t="b">
        <f t="shared" si="11"/>
        <v>0</v>
      </c>
      <c r="AO378" s="21"/>
      <c r="AP378" s="24"/>
      <c r="AQ378" s="21"/>
      <c r="AS378" s="21"/>
      <c r="AT378" s="24"/>
      <c r="AU378" s="21"/>
      <c r="AX378" s="14">
        <f t="shared" si="22"/>
        <v>81.41099929</v>
      </c>
      <c r="AY378" s="14">
        <f t="shared" si="23"/>
        <v>200</v>
      </c>
      <c r="AZ378" s="14">
        <f t="shared" si="24"/>
        <v>-118.5890007</v>
      </c>
      <c r="BA378" s="27"/>
    </row>
    <row r="379">
      <c r="A379" s="2" t="s">
        <v>250</v>
      </c>
      <c r="B379" s="2">
        <v>2017.0</v>
      </c>
      <c r="C379" s="2">
        <v>41.44400024</v>
      </c>
      <c r="D379" s="2">
        <v>100.0</v>
      </c>
      <c r="E379" s="2">
        <v>95.31117933</v>
      </c>
      <c r="F379" s="2">
        <v>0.0</v>
      </c>
      <c r="G379" s="2">
        <v>4.68882067</v>
      </c>
      <c r="H379" s="2">
        <v>0.0</v>
      </c>
      <c r="I379" s="2" t="s">
        <v>64</v>
      </c>
      <c r="J379" s="2" t="s">
        <v>64</v>
      </c>
      <c r="K379" s="2" t="s">
        <v>64</v>
      </c>
      <c r="L379" s="2" t="s">
        <v>64</v>
      </c>
      <c r="M379" s="2">
        <v>95.31117933</v>
      </c>
      <c r="N379" s="2">
        <v>0.0</v>
      </c>
      <c r="O379" s="2">
        <v>4.68882067</v>
      </c>
      <c r="P379" s="2">
        <v>0.0</v>
      </c>
      <c r="Q379" s="13" t="str">
        <f t="shared" si="1"/>
        <v>Sint Maarten (Dutch part)|2017</v>
      </c>
      <c r="R379" s="14" t="str">
        <f t="shared" si="2"/>
        <v> </v>
      </c>
      <c r="T379" s="14" t="b">
        <f t="shared" si="3"/>
        <v>0</v>
      </c>
      <c r="U379" s="14" t="b">
        <f t="shared" si="29"/>
        <v>0</v>
      </c>
      <c r="V379" s="14" t="b">
        <f t="shared" si="4"/>
        <v>0</v>
      </c>
      <c r="W379" s="14">
        <f t="shared" si="5"/>
        <v>95</v>
      </c>
      <c r="X379" s="14" t="b">
        <f t="shared" si="6"/>
        <v>0</v>
      </c>
      <c r="Y379" s="14">
        <f t="shared" si="7"/>
        <v>95</v>
      </c>
      <c r="Z379" s="14" t="str">
        <f t="shared" si="8"/>
        <v/>
      </c>
      <c r="AA379" s="14" t="str">
        <f t="shared" si="9"/>
        <v/>
      </c>
      <c r="AB379" s="14" t="str">
        <f t="shared" si="10"/>
        <v/>
      </c>
      <c r="AC379" s="14">
        <f t="shared" si="11"/>
        <v>0</v>
      </c>
      <c r="AO379" s="21"/>
      <c r="AP379" s="24"/>
      <c r="AQ379" s="21"/>
      <c r="AS379" s="21"/>
      <c r="AT379" s="24"/>
      <c r="AU379" s="21"/>
      <c r="AX379" s="14" t="str">
        <f t="shared" si="22"/>
        <v>null</v>
      </c>
      <c r="AY379" s="14" t="str">
        <f t="shared" si="23"/>
        <v>null</v>
      </c>
      <c r="AZ379" s="14" t="str">
        <f t="shared" si="24"/>
        <v>null</v>
      </c>
      <c r="BA379" s="17"/>
    </row>
    <row r="380">
      <c r="A380" s="2" t="s">
        <v>251</v>
      </c>
      <c r="B380" s="2">
        <v>2015.0</v>
      </c>
      <c r="C380" s="2">
        <v>5435.61377</v>
      </c>
      <c r="D380" s="2">
        <v>53.88899994</v>
      </c>
      <c r="E380" s="2">
        <v>99.78718913</v>
      </c>
      <c r="F380" s="2">
        <v>0.2128108674</v>
      </c>
      <c r="G380" s="2">
        <v>0.0</v>
      </c>
      <c r="H380" s="2">
        <v>0.0</v>
      </c>
      <c r="I380" s="2">
        <v>100.0</v>
      </c>
      <c r="J380" s="2">
        <v>0.0</v>
      </c>
      <c r="K380" s="2">
        <v>0.0</v>
      </c>
      <c r="L380" s="2">
        <v>0.0</v>
      </c>
      <c r="M380" s="2">
        <v>99.60509406</v>
      </c>
      <c r="N380" s="2">
        <v>0.3949059374</v>
      </c>
      <c r="O380" s="2">
        <v>0.0</v>
      </c>
      <c r="P380" s="2">
        <v>0.0</v>
      </c>
      <c r="Q380" s="13" t="str">
        <f t="shared" si="1"/>
        <v>Slovakia|2015</v>
      </c>
      <c r="R380" s="14">
        <f t="shared" si="2"/>
        <v>5</v>
      </c>
      <c r="T380" s="14">
        <f t="shared" si="3"/>
        <v>0.00010189</v>
      </c>
      <c r="U380" s="14">
        <f t="shared" si="29"/>
        <v>0</v>
      </c>
      <c r="V380" s="14">
        <f t="shared" si="4"/>
        <v>0</v>
      </c>
      <c r="W380" s="14">
        <f t="shared" si="5"/>
        <v>100</v>
      </c>
      <c r="X380" s="14">
        <f t="shared" si="6"/>
        <v>100</v>
      </c>
      <c r="Y380" s="14">
        <f t="shared" si="7"/>
        <v>100</v>
      </c>
      <c r="Z380" s="14" t="str">
        <f t="shared" si="8"/>
        <v/>
      </c>
      <c r="AA380" s="14" t="str">
        <f t="shared" si="9"/>
        <v/>
      </c>
      <c r="AB380" s="14" t="str">
        <f t="shared" si="10"/>
        <v>Fully Accessible</v>
      </c>
      <c r="AC380" s="14">
        <f t="shared" si="11"/>
        <v>0</v>
      </c>
      <c r="AO380" s="21"/>
      <c r="AP380" s="24"/>
      <c r="AQ380" s="21"/>
      <c r="AS380" s="21"/>
      <c r="AT380" s="24"/>
      <c r="AU380" s="21"/>
      <c r="AX380" s="14">
        <f t="shared" si="22"/>
        <v>10895.25684</v>
      </c>
      <c r="AY380" s="14">
        <f t="shared" si="23"/>
        <v>107.6489983</v>
      </c>
      <c r="AZ380" s="14">
        <f t="shared" si="24"/>
        <v>10787.60784</v>
      </c>
      <c r="BA380" s="27"/>
    </row>
    <row r="381">
      <c r="A381" s="2" t="s">
        <v>251</v>
      </c>
      <c r="B381" s="2">
        <v>2020.0</v>
      </c>
      <c r="C381" s="2">
        <v>5459.643066</v>
      </c>
      <c r="D381" s="2">
        <v>53.75999832</v>
      </c>
      <c r="E381" s="2">
        <v>99.78769858</v>
      </c>
      <c r="F381" s="2">
        <v>0.2123014241</v>
      </c>
      <c r="G381" s="2">
        <v>0.0</v>
      </c>
      <c r="H381" s="2">
        <v>0.0</v>
      </c>
      <c r="I381" s="2">
        <v>100.0</v>
      </c>
      <c r="J381" s="2">
        <v>0.0</v>
      </c>
      <c r="K381" s="2">
        <v>0.0</v>
      </c>
      <c r="L381" s="2">
        <v>0.0</v>
      </c>
      <c r="M381" s="2">
        <v>99.60509406</v>
      </c>
      <c r="N381" s="2">
        <v>0.3949059374</v>
      </c>
      <c r="O381" s="2">
        <v>0.0</v>
      </c>
      <c r="P381" s="2">
        <v>0.0</v>
      </c>
      <c r="Q381" s="13" t="str">
        <f t="shared" si="1"/>
        <v>Slovakia|2020</v>
      </c>
      <c r="R381" s="14" t="str">
        <f t="shared" si="2"/>
        <v> </v>
      </c>
      <c r="T381" s="14" t="b">
        <f t="shared" si="3"/>
        <v>0</v>
      </c>
      <c r="U381" s="14" t="b">
        <f t="shared" si="29"/>
        <v>0</v>
      </c>
      <c r="V381" s="14" t="b">
        <f t="shared" si="4"/>
        <v>0</v>
      </c>
      <c r="W381" s="14">
        <f t="shared" si="5"/>
        <v>100</v>
      </c>
      <c r="X381" s="14">
        <f t="shared" si="6"/>
        <v>100</v>
      </c>
      <c r="Y381" s="14">
        <f t="shared" si="7"/>
        <v>100</v>
      </c>
      <c r="Z381" s="14" t="str">
        <f t="shared" si="8"/>
        <v/>
      </c>
      <c r="AA381" s="14" t="str">
        <f t="shared" si="9"/>
        <v/>
      </c>
      <c r="AB381" s="14" t="str">
        <f t="shared" si="10"/>
        <v/>
      </c>
      <c r="AC381" s="14">
        <f t="shared" si="11"/>
        <v>0</v>
      </c>
      <c r="AO381" s="21"/>
      <c r="AP381" s="24"/>
      <c r="AQ381" s="21"/>
      <c r="AS381" s="21"/>
      <c r="AT381" s="24"/>
      <c r="AU381" s="21"/>
      <c r="AX381" s="14" t="str">
        <f t="shared" si="22"/>
        <v>null</v>
      </c>
      <c r="AY381" s="14" t="str">
        <f t="shared" si="23"/>
        <v>null</v>
      </c>
      <c r="AZ381" s="14" t="str">
        <f t="shared" si="24"/>
        <v>null</v>
      </c>
      <c r="BA381" s="27"/>
    </row>
    <row r="382">
      <c r="A382" s="2" t="s">
        <v>252</v>
      </c>
      <c r="B382" s="2">
        <v>2015.0</v>
      </c>
      <c r="C382" s="2">
        <v>2071.198975</v>
      </c>
      <c r="D382" s="2">
        <v>53.78100586</v>
      </c>
      <c r="E382" s="2">
        <v>99.5</v>
      </c>
      <c r="F382" s="2">
        <v>0.0</v>
      </c>
      <c r="G382" s="2">
        <v>0.5</v>
      </c>
      <c r="H382" s="2">
        <v>0.0</v>
      </c>
      <c r="I382" s="2" t="s">
        <v>64</v>
      </c>
      <c r="J382" s="2" t="s">
        <v>64</v>
      </c>
      <c r="K382" s="2" t="s">
        <v>64</v>
      </c>
      <c r="L382" s="2" t="s">
        <v>64</v>
      </c>
      <c r="M382" s="2" t="s">
        <v>64</v>
      </c>
      <c r="N382" s="2" t="s">
        <v>64</v>
      </c>
      <c r="O382" s="2" t="s">
        <v>64</v>
      </c>
      <c r="P382" s="2" t="s">
        <v>64</v>
      </c>
      <c r="Q382" s="13" t="str">
        <f t="shared" si="1"/>
        <v>Slovenia|2015</v>
      </c>
      <c r="R382" s="14">
        <f t="shared" si="2"/>
        <v>5</v>
      </c>
      <c r="T382" s="14">
        <f t="shared" si="3"/>
        <v>0</v>
      </c>
      <c r="U382" s="14" t="str">
        <f t="shared" si="29"/>
        <v>null</v>
      </c>
      <c r="V382" s="14" t="str">
        <f t="shared" si="4"/>
        <v>null</v>
      </c>
      <c r="W382" s="14">
        <f t="shared" si="5"/>
        <v>100</v>
      </c>
      <c r="X382" s="14" t="b">
        <f t="shared" si="6"/>
        <v>0</v>
      </c>
      <c r="Y382" s="14" t="b">
        <f t="shared" si="7"/>
        <v>0</v>
      </c>
      <c r="Z382" s="14" t="str">
        <f t="shared" si="8"/>
        <v/>
      </c>
      <c r="AA382" s="14" t="str">
        <f t="shared" si="9"/>
        <v>Fully Accessible</v>
      </c>
      <c r="AB382" s="14" t="str">
        <f t="shared" si="10"/>
        <v>Fully Accessible</v>
      </c>
      <c r="AC382" s="14" t="b">
        <f t="shared" si="11"/>
        <v>0</v>
      </c>
      <c r="AO382" s="21"/>
      <c r="AP382" s="24"/>
      <c r="AQ382" s="21"/>
      <c r="AS382" s="21"/>
      <c r="AT382" s="24"/>
      <c r="AU382" s="21"/>
      <c r="AX382" s="14">
        <f t="shared" si="22"/>
        <v>4150.13086</v>
      </c>
      <c r="AY382" s="14">
        <f t="shared" si="23"/>
        <v>108.8990097</v>
      </c>
      <c r="AZ382" s="14">
        <f t="shared" si="24"/>
        <v>4041.23185</v>
      </c>
      <c r="BA382" s="17"/>
    </row>
    <row r="383">
      <c r="A383" s="2" t="s">
        <v>252</v>
      </c>
      <c r="B383" s="2">
        <v>2020.0</v>
      </c>
      <c r="C383" s="2">
        <v>2078.931885</v>
      </c>
      <c r="D383" s="2">
        <v>55.11800385</v>
      </c>
      <c r="E383" s="2">
        <v>99.5</v>
      </c>
      <c r="F383" s="2">
        <v>0.0</v>
      </c>
      <c r="G383" s="2">
        <v>0.5</v>
      </c>
      <c r="H383" s="2">
        <v>0.0</v>
      </c>
      <c r="I383" s="2" t="s">
        <v>64</v>
      </c>
      <c r="J383" s="2" t="s">
        <v>64</v>
      </c>
      <c r="K383" s="2" t="s">
        <v>64</v>
      </c>
      <c r="L383" s="2" t="s">
        <v>64</v>
      </c>
      <c r="M383" s="2" t="s">
        <v>64</v>
      </c>
      <c r="N383" s="2" t="s">
        <v>64</v>
      </c>
      <c r="O383" s="2" t="s">
        <v>64</v>
      </c>
      <c r="P383" s="2" t="s">
        <v>64</v>
      </c>
      <c r="Q383" s="13" t="str">
        <f t="shared" si="1"/>
        <v>Slovenia|2020</v>
      </c>
      <c r="R383" s="14" t="str">
        <f t="shared" si="2"/>
        <v> </v>
      </c>
      <c r="T383" s="14" t="b">
        <f t="shared" si="3"/>
        <v>0</v>
      </c>
      <c r="U383" s="14" t="b">
        <f t="shared" si="29"/>
        <v>0</v>
      </c>
      <c r="V383" s="14" t="b">
        <f t="shared" si="4"/>
        <v>0</v>
      </c>
      <c r="W383" s="14">
        <f t="shared" si="5"/>
        <v>100</v>
      </c>
      <c r="X383" s="14" t="b">
        <f t="shared" si="6"/>
        <v>0</v>
      </c>
      <c r="Y383" s="14" t="b">
        <f t="shared" si="7"/>
        <v>0</v>
      </c>
      <c r="Z383" s="14" t="str">
        <f t="shared" si="8"/>
        <v/>
      </c>
      <c r="AA383" s="14" t="str">
        <f t="shared" si="9"/>
        <v/>
      </c>
      <c r="AB383" s="14" t="str">
        <f t="shared" si="10"/>
        <v/>
      </c>
      <c r="AC383" s="14">
        <f t="shared" si="11"/>
        <v>0</v>
      </c>
      <c r="AO383" s="21"/>
      <c r="AP383" s="24"/>
      <c r="AQ383" s="21"/>
      <c r="AS383" s="21"/>
      <c r="AT383" s="24"/>
      <c r="AU383" s="21"/>
      <c r="AX383" s="14" t="str">
        <f t="shared" si="22"/>
        <v>null</v>
      </c>
      <c r="AY383" s="14" t="str">
        <f t="shared" si="23"/>
        <v>null</v>
      </c>
      <c r="AZ383" s="14" t="str">
        <f t="shared" si="24"/>
        <v>null</v>
      </c>
      <c r="BA383" s="17"/>
    </row>
    <row r="384">
      <c r="A384" s="2" t="s">
        <v>253</v>
      </c>
      <c r="B384" s="2">
        <v>2015.0</v>
      </c>
      <c r="C384" s="2">
        <v>603.1329956</v>
      </c>
      <c r="D384" s="2">
        <v>22.3599987</v>
      </c>
      <c r="E384" s="2">
        <v>69.32991889</v>
      </c>
      <c r="F384" s="2">
        <v>5.705267634</v>
      </c>
      <c r="G384" s="2">
        <v>18.98898125</v>
      </c>
      <c r="H384" s="2">
        <v>5.975832221</v>
      </c>
      <c r="I384" s="2">
        <v>63.01213819</v>
      </c>
      <c r="J384" s="2">
        <v>6.338468203</v>
      </c>
      <c r="K384" s="2">
        <v>23.28459564</v>
      </c>
      <c r="L384" s="2">
        <v>7.364797966</v>
      </c>
      <c r="M384" s="2">
        <v>91.26697205</v>
      </c>
      <c r="N384" s="2">
        <v>3.506623017</v>
      </c>
      <c r="O384" s="2">
        <v>4.073439607</v>
      </c>
      <c r="P384" s="2">
        <v>1.152965328</v>
      </c>
      <c r="Q384" s="13" t="str">
        <f t="shared" si="1"/>
        <v>Solomon Islands|2015</v>
      </c>
      <c r="R384" s="14">
        <f t="shared" si="2"/>
        <v>5</v>
      </c>
      <c r="T384" s="14">
        <f t="shared" si="3"/>
        <v>-0.40577867</v>
      </c>
      <c r="U384" s="14">
        <f t="shared" si="29"/>
        <v>-0.72137414</v>
      </c>
      <c r="V384" s="14">
        <f t="shared" si="4"/>
        <v>0.028760968</v>
      </c>
      <c r="W384" s="14">
        <f t="shared" si="5"/>
        <v>69</v>
      </c>
      <c r="X384" s="14">
        <f t="shared" si="6"/>
        <v>63</v>
      </c>
      <c r="Y384" s="14">
        <f t="shared" si="7"/>
        <v>91</v>
      </c>
      <c r="Z384" s="14" t="str">
        <f t="shared" si="8"/>
        <v/>
      </c>
      <c r="AA384" s="14" t="str">
        <f t="shared" si="9"/>
        <v/>
      </c>
      <c r="AB384" s="14" t="str">
        <f t="shared" si="10"/>
        <v>Fully Accessible</v>
      </c>
      <c r="AC384" s="14">
        <f t="shared" si="11"/>
        <v>-0.750135108</v>
      </c>
      <c r="AO384" s="21"/>
      <c r="AP384" s="24"/>
      <c r="AQ384" s="21"/>
      <c r="AS384" s="21"/>
      <c r="AT384" s="24"/>
      <c r="AU384" s="21"/>
      <c r="AX384" s="14">
        <f t="shared" si="22"/>
        <v>1290.010986</v>
      </c>
      <c r="AY384" s="14">
        <f t="shared" si="23"/>
        <v>47.02999878</v>
      </c>
      <c r="AZ384" s="14">
        <f t="shared" si="24"/>
        <v>1242.980988</v>
      </c>
      <c r="BA384" s="17"/>
    </row>
    <row r="385">
      <c r="A385" s="2" t="s">
        <v>253</v>
      </c>
      <c r="B385" s="2">
        <v>2020.0</v>
      </c>
      <c r="C385" s="2">
        <v>686.8779907</v>
      </c>
      <c r="D385" s="2">
        <v>24.67000008</v>
      </c>
      <c r="E385" s="2">
        <v>67.30102554</v>
      </c>
      <c r="F385" s="2">
        <v>5.79547831</v>
      </c>
      <c r="G385" s="2">
        <v>21.26784313</v>
      </c>
      <c r="H385" s="2">
        <v>5.635653025</v>
      </c>
      <c r="I385" s="2">
        <v>59.40526749</v>
      </c>
      <c r="J385" s="2">
        <v>6.528523649</v>
      </c>
      <c r="K385" s="2">
        <v>26.955911</v>
      </c>
      <c r="L385" s="2">
        <v>7.110297857</v>
      </c>
      <c r="M385" s="2">
        <v>91.41077689</v>
      </c>
      <c r="N385" s="2">
        <v>3.557120425</v>
      </c>
      <c r="O385" s="2">
        <v>3.899286137</v>
      </c>
      <c r="P385" s="2">
        <v>1.132816553</v>
      </c>
      <c r="Q385" s="13" t="str">
        <f t="shared" si="1"/>
        <v>Solomon Islands|2020</v>
      </c>
      <c r="R385" s="14" t="str">
        <f t="shared" si="2"/>
        <v> </v>
      </c>
      <c r="T385" s="14" t="b">
        <f t="shared" si="3"/>
        <v>0</v>
      </c>
      <c r="U385" s="14" t="b">
        <f t="shared" si="29"/>
        <v>0</v>
      </c>
      <c r="V385" s="14" t="b">
        <f t="shared" si="4"/>
        <v>0</v>
      </c>
      <c r="W385" s="14">
        <f t="shared" si="5"/>
        <v>67</v>
      </c>
      <c r="X385" s="14">
        <f t="shared" si="6"/>
        <v>59</v>
      </c>
      <c r="Y385" s="14">
        <f t="shared" si="7"/>
        <v>91</v>
      </c>
      <c r="Z385" s="14" t="str">
        <f t="shared" si="8"/>
        <v/>
      </c>
      <c r="AA385" s="14" t="str">
        <f t="shared" si="9"/>
        <v/>
      </c>
      <c r="AB385" s="14" t="str">
        <f t="shared" si="10"/>
        <v/>
      </c>
      <c r="AC385" s="14">
        <f t="shared" si="11"/>
        <v>0</v>
      </c>
      <c r="AO385" s="21"/>
      <c r="AP385" s="24"/>
      <c r="AQ385" s="21"/>
      <c r="AS385" s="21"/>
      <c r="AT385" s="24"/>
      <c r="AU385" s="21"/>
      <c r="AX385" s="14" t="str">
        <f t="shared" si="22"/>
        <v>null</v>
      </c>
      <c r="AY385" s="14" t="str">
        <f t="shared" si="23"/>
        <v>null</v>
      </c>
      <c r="AZ385" s="14" t="str">
        <f t="shared" si="24"/>
        <v>null</v>
      </c>
      <c r="BA385" s="8"/>
    </row>
    <row r="386">
      <c r="A386" s="2" t="s">
        <v>254</v>
      </c>
      <c r="B386" s="2">
        <v>2015.0</v>
      </c>
      <c r="C386" s="2">
        <v>13797.2041</v>
      </c>
      <c r="D386" s="2">
        <v>43.24500275</v>
      </c>
      <c r="E386" s="2">
        <v>48.71115368</v>
      </c>
      <c r="F386" s="2">
        <v>23.40618776</v>
      </c>
      <c r="G386" s="2">
        <v>20.15410676</v>
      </c>
      <c r="H386" s="2">
        <v>7.728551789</v>
      </c>
      <c r="I386" s="2">
        <v>29.2281926</v>
      </c>
      <c r="J386" s="2">
        <v>28.88714853</v>
      </c>
      <c r="K386" s="2">
        <v>28.97578886</v>
      </c>
      <c r="L386" s="2">
        <v>12.90887001</v>
      </c>
      <c r="M386" s="2">
        <v>74.28070864</v>
      </c>
      <c r="N386" s="2">
        <v>16.21294199</v>
      </c>
      <c r="O386" s="2">
        <v>8.576478283</v>
      </c>
      <c r="P386" s="2">
        <v>0.9298710922</v>
      </c>
      <c r="Q386" s="13" t="str">
        <f t="shared" si="1"/>
        <v>Somalia|2015</v>
      </c>
      <c r="R386" s="14">
        <f t="shared" si="2"/>
        <v>5</v>
      </c>
      <c r="T386" s="14">
        <f t="shared" si="3"/>
        <v>1.553163942</v>
      </c>
      <c r="U386" s="14">
        <f t="shared" si="29"/>
        <v>1.569534044</v>
      </c>
      <c r="V386" s="14">
        <f t="shared" si="4"/>
        <v>0.96851942</v>
      </c>
      <c r="W386" s="14">
        <f t="shared" si="5"/>
        <v>49</v>
      </c>
      <c r="X386" s="14">
        <f t="shared" si="6"/>
        <v>29</v>
      </c>
      <c r="Y386" s="14">
        <f t="shared" si="7"/>
        <v>74</v>
      </c>
      <c r="Z386" s="14" t="str">
        <f t="shared" si="8"/>
        <v/>
      </c>
      <c r="AA386" s="14" t="str">
        <f t="shared" si="9"/>
        <v/>
      </c>
      <c r="AB386" s="14" t="str">
        <f t="shared" si="10"/>
        <v>Fully Accessible</v>
      </c>
      <c r="AC386" s="14">
        <f t="shared" si="11"/>
        <v>0.601014624</v>
      </c>
      <c r="AO386" s="21"/>
      <c r="AP386" s="24"/>
      <c r="AQ386" s="21"/>
      <c r="AS386" s="21"/>
      <c r="AT386" s="24"/>
      <c r="AU386" s="21"/>
      <c r="AX386" s="14">
        <f t="shared" si="22"/>
        <v>29690.42285</v>
      </c>
      <c r="AY386" s="14">
        <f t="shared" si="23"/>
        <v>89.38600159</v>
      </c>
      <c r="AZ386" s="14">
        <f t="shared" si="24"/>
        <v>29601.03685</v>
      </c>
      <c r="BA386" s="27"/>
    </row>
    <row r="387">
      <c r="A387" s="2" t="s">
        <v>254</v>
      </c>
      <c r="B387" s="2">
        <v>2020.0</v>
      </c>
      <c r="C387" s="2">
        <v>15893.21875</v>
      </c>
      <c r="D387" s="2">
        <v>46.14099884</v>
      </c>
      <c r="E387" s="2">
        <v>56.47697339</v>
      </c>
      <c r="F387" s="2">
        <v>27.70419956</v>
      </c>
      <c r="G387" s="2">
        <v>13.41704303</v>
      </c>
      <c r="H387" s="2">
        <v>2.401784021</v>
      </c>
      <c r="I387" s="2">
        <v>37.07586282</v>
      </c>
      <c r="J387" s="2">
        <v>36.64324958</v>
      </c>
      <c r="K387" s="2">
        <v>21.82149546</v>
      </c>
      <c r="L387" s="2">
        <v>4.459392143</v>
      </c>
      <c r="M387" s="2">
        <v>79.12330574</v>
      </c>
      <c r="N387" s="2">
        <v>17.26991556</v>
      </c>
      <c r="O387" s="2">
        <v>3.606778703</v>
      </c>
      <c r="P387" s="2">
        <v>0.0</v>
      </c>
      <c r="Q387" s="13" t="str">
        <f t="shared" si="1"/>
        <v>Somalia|2020</v>
      </c>
      <c r="R387" s="14" t="str">
        <f t="shared" si="2"/>
        <v> </v>
      </c>
      <c r="T387" s="14" t="b">
        <f t="shared" si="3"/>
        <v>0</v>
      </c>
      <c r="U387" s="14" t="b">
        <f t="shared" si="29"/>
        <v>0</v>
      </c>
      <c r="V387" s="14" t="b">
        <f t="shared" si="4"/>
        <v>0</v>
      </c>
      <c r="W387" s="14">
        <f t="shared" si="5"/>
        <v>56</v>
      </c>
      <c r="X387" s="14">
        <f t="shared" si="6"/>
        <v>37</v>
      </c>
      <c r="Y387" s="14">
        <f t="shared" si="7"/>
        <v>79</v>
      </c>
      <c r="Z387" s="14" t="str">
        <f t="shared" si="8"/>
        <v/>
      </c>
      <c r="AA387" s="14" t="str">
        <f t="shared" si="9"/>
        <v/>
      </c>
      <c r="AB387" s="14" t="str">
        <f t="shared" si="10"/>
        <v/>
      </c>
      <c r="AC387" s="14">
        <f t="shared" si="11"/>
        <v>0</v>
      </c>
      <c r="AO387" s="21"/>
      <c r="AP387" s="24"/>
      <c r="AQ387" s="21"/>
      <c r="AS387" s="21"/>
      <c r="AT387" s="24"/>
      <c r="AU387" s="21"/>
      <c r="AX387" s="14" t="str">
        <f t="shared" si="22"/>
        <v>null</v>
      </c>
      <c r="AY387" s="14" t="str">
        <f t="shared" si="23"/>
        <v>null</v>
      </c>
      <c r="AZ387" s="14" t="str">
        <f t="shared" si="24"/>
        <v>null</v>
      </c>
      <c r="BA387" s="17"/>
    </row>
    <row r="388">
      <c r="A388" s="2" t="s">
        <v>255</v>
      </c>
      <c r="B388" s="2">
        <v>2015.0</v>
      </c>
      <c r="C388" s="2">
        <v>55386.36719</v>
      </c>
      <c r="D388" s="2">
        <v>64.82800293</v>
      </c>
      <c r="E388" s="2">
        <v>91.87634387</v>
      </c>
      <c r="F388" s="2">
        <v>2.803155965</v>
      </c>
      <c r="G388" s="2">
        <v>2.078820804</v>
      </c>
      <c r="H388" s="2">
        <v>3.241679359</v>
      </c>
      <c r="I388" s="2">
        <v>79.03373853</v>
      </c>
      <c r="J388" s="2">
        <v>6.61766745</v>
      </c>
      <c r="K388" s="2">
        <v>5.131945818</v>
      </c>
      <c r="L388" s="2">
        <v>9.216648202</v>
      </c>
      <c r="M388" s="2">
        <v>98.84401345</v>
      </c>
      <c r="N388" s="2">
        <v>0.7336182863</v>
      </c>
      <c r="O388" s="2">
        <v>0.4223682597</v>
      </c>
      <c r="P388" s="2">
        <v>0.0</v>
      </c>
      <c r="Q388" s="13" t="str">
        <f t="shared" si="1"/>
        <v>South Africa|2015</v>
      </c>
      <c r="R388" s="14">
        <f t="shared" si="2"/>
        <v>5</v>
      </c>
      <c r="T388" s="14">
        <f t="shared" si="3"/>
        <v>0.401742714</v>
      </c>
      <c r="U388" s="14">
        <f t="shared" si="29"/>
        <v>0.85914853</v>
      </c>
      <c r="V388" s="14">
        <f t="shared" si="4"/>
        <v>0.031450278</v>
      </c>
      <c r="W388" s="14">
        <f t="shared" si="5"/>
        <v>92</v>
      </c>
      <c r="X388" s="14">
        <f t="shared" si="6"/>
        <v>79</v>
      </c>
      <c r="Y388" s="14">
        <f t="shared" si="7"/>
        <v>99</v>
      </c>
      <c r="Z388" s="14" t="str">
        <f t="shared" si="8"/>
        <v/>
      </c>
      <c r="AA388" s="14" t="str">
        <f t="shared" si="9"/>
        <v/>
      </c>
      <c r="AB388" s="14" t="str">
        <f t="shared" si="10"/>
        <v>Fully Accessible</v>
      </c>
      <c r="AC388" s="14">
        <f t="shared" si="11"/>
        <v>0.827698252</v>
      </c>
      <c r="AO388" s="21"/>
      <c r="AP388" s="24"/>
      <c r="AQ388" s="21"/>
      <c r="AS388" s="21"/>
      <c r="AT388" s="24"/>
      <c r="AU388" s="21"/>
      <c r="AX388" s="14">
        <f t="shared" si="22"/>
        <v>114695.0586</v>
      </c>
      <c r="AY388" s="14">
        <f t="shared" si="23"/>
        <v>132.1820068</v>
      </c>
      <c r="AZ388" s="14">
        <f t="shared" si="24"/>
        <v>114562.8766</v>
      </c>
      <c r="BA388" s="27"/>
    </row>
    <row r="389">
      <c r="A389" s="2" t="s">
        <v>255</v>
      </c>
      <c r="B389" s="2">
        <v>2020.0</v>
      </c>
      <c r="C389" s="2">
        <v>59308.69141</v>
      </c>
      <c r="D389" s="2">
        <v>67.35400391</v>
      </c>
      <c r="E389" s="2">
        <v>93.88505744</v>
      </c>
      <c r="F389" s="2">
        <v>2.772736186</v>
      </c>
      <c r="G389" s="2">
        <v>1.410816657</v>
      </c>
      <c r="H389" s="2">
        <v>1.931389712</v>
      </c>
      <c r="I389" s="2">
        <v>83.32948118</v>
      </c>
      <c r="J389" s="2">
        <v>6.977359359</v>
      </c>
      <c r="K389" s="2">
        <v>3.776999287</v>
      </c>
      <c r="L389" s="2">
        <v>5.916160173</v>
      </c>
      <c r="M389" s="2">
        <v>99.00126484</v>
      </c>
      <c r="N389" s="2">
        <v>0.734785403</v>
      </c>
      <c r="O389" s="2">
        <v>0.2639497547</v>
      </c>
      <c r="P389" s="2">
        <v>0.0</v>
      </c>
      <c r="Q389" s="13" t="str">
        <f t="shared" si="1"/>
        <v>South Africa|2020</v>
      </c>
      <c r="R389" s="14" t="str">
        <f t="shared" si="2"/>
        <v> </v>
      </c>
      <c r="T389" s="14" t="b">
        <f t="shared" si="3"/>
        <v>0</v>
      </c>
      <c r="U389" s="14" t="b">
        <f t="shared" si="29"/>
        <v>0</v>
      </c>
      <c r="V389" s="14" t="b">
        <f t="shared" si="4"/>
        <v>0</v>
      </c>
      <c r="W389" s="14">
        <f t="shared" si="5"/>
        <v>94</v>
      </c>
      <c r="X389" s="14">
        <f t="shared" si="6"/>
        <v>83</v>
      </c>
      <c r="Y389" s="14">
        <f t="shared" si="7"/>
        <v>99</v>
      </c>
      <c r="Z389" s="14" t="str">
        <f t="shared" si="8"/>
        <v/>
      </c>
      <c r="AA389" s="14" t="str">
        <f t="shared" si="9"/>
        <v/>
      </c>
      <c r="AB389" s="14" t="str">
        <f t="shared" si="10"/>
        <v/>
      </c>
      <c r="AC389" s="14">
        <f t="shared" si="11"/>
        <v>0</v>
      </c>
      <c r="AO389" s="21"/>
      <c r="AP389" s="24"/>
      <c r="AQ389" s="21"/>
      <c r="AS389" s="21"/>
      <c r="AT389" s="24"/>
      <c r="AU389" s="21"/>
      <c r="AX389" s="14" t="str">
        <f t="shared" si="22"/>
        <v>null</v>
      </c>
      <c r="AY389" s="14" t="str">
        <f t="shared" si="23"/>
        <v>null</v>
      </c>
      <c r="AZ389" s="14" t="str">
        <f t="shared" si="24"/>
        <v>null</v>
      </c>
      <c r="BA389" s="27"/>
    </row>
    <row r="390">
      <c r="A390" s="2" t="s">
        <v>256</v>
      </c>
      <c r="B390" s="2">
        <v>2015.0</v>
      </c>
      <c r="C390" s="2">
        <v>10715.65723</v>
      </c>
      <c r="D390" s="2">
        <v>18.85199928</v>
      </c>
      <c r="E390" s="2">
        <v>41.24750946</v>
      </c>
      <c r="F390" s="2">
        <v>30.69573713</v>
      </c>
      <c r="G390" s="2">
        <v>13.55439295</v>
      </c>
      <c r="H390" s="2">
        <v>14.50236045</v>
      </c>
      <c r="I390" s="2">
        <v>36.72677973</v>
      </c>
      <c r="J390" s="2">
        <v>32.66279967</v>
      </c>
      <c r="K390" s="2">
        <v>14.31006538</v>
      </c>
      <c r="L390" s="2">
        <v>16.30035522</v>
      </c>
      <c r="M390" s="2">
        <v>60.70687736</v>
      </c>
      <c r="N390" s="2">
        <v>22.22855395</v>
      </c>
      <c r="O390" s="2">
        <v>10.30163914</v>
      </c>
      <c r="P390" s="2">
        <v>6.762929552</v>
      </c>
      <c r="Q390" s="13" t="str">
        <f t="shared" si="1"/>
        <v>South Sudan|2015</v>
      </c>
      <c r="R390" s="14">
        <f t="shared" si="2"/>
        <v>5</v>
      </c>
      <c r="T390" s="14">
        <f t="shared" si="3"/>
        <v>-0.059316458</v>
      </c>
      <c r="U390" s="14">
        <f t="shared" si="29"/>
        <v>-0.626630184</v>
      </c>
      <c r="V390" s="14">
        <f t="shared" si="4"/>
        <v>1.862165418</v>
      </c>
      <c r="W390" s="14">
        <f t="shared" si="5"/>
        <v>41</v>
      </c>
      <c r="X390" s="14">
        <f t="shared" si="6"/>
        <v>37</v>
      </c>
      <c r="Y390" s="14">
        <f t="shared" si="7"/>
        <v>61</v>
      </c>
      <c r="Z390" s="14" t="str">
        <f t="shared" si="8"/>
        <v/>
      </c>
      <c r="AA390" s="14" t="str">
        <f t="shared" si="9"/>
        <v/>
      </c>
      <c r="AB390" s="14" t="str">
        <f t="shared" si="10"/>
        <v>Fully Accessible</v>
      </c>
      <c r="AC390" s="14">
        <f t="shared" si="11"/>
        <v>-2.488795602</v>
      </c>
      <c r="AO390" s="21"/>
      <c r="AP390" s="24"/>
      <c r="AQ390" s="21"/>
      <c r="AS390" s="21"/>
      <c r="AT390" s="24"/>
      <c r="AU390" s="21"/>
      <c r="AX390" s="14">
        <f t="shared" si="22"/>
        <v>21909.38575</v>
      </c>
      <c r="AY390" s="14">
        <f t="shared" si="23"/>
        <v>39.05099868</v>
      </c>
      <c r="AZ390" s="14">
        <f t="shared" si="24"/>
        <v>21870.33475</v>
      </c>
      <c r="BA390" s="17"/>
    </row>
    <row r="391">
      <c r="A391" s="2" t="s">
        <v>256</v>
      </c>
      <c r="B391" s="2">
        <v>2020.0</v>
      </c>
      <c r="C391" s="2">
        <v>11193.72852</v>
      </c>
      <c r="D391" s="2">
        <v>20.1989994</v>
      </c>
      <c r="E391" s="2">
        <v>40.95092717</v>
      </c>
      <c r="F391" s="2">
        <v>37.42696287</v>
      </c>
      <c r="G391" s="2">
        <v>13.53755519</v>
      </c>
      <c r="H391" s="2">
        <v>8.084554762</v>
      </c>
      <c r="I391" s="2">
        <v>33.59362881</v>
      </c>
      <c r="J391" s="2">
        <v>42.16438068</v>
      </c>
      <c r="K391" s="2">
        <v>14.11109616</v>
      </c>
      <c r="L391" s="2">
        <v>10.13089435</v>
      </c>
      <c r="M391" s="2">
        <v>70.01770445</v>
      </c>
      <c r="N391" s="2">
        <v>18.71066092</v>
      </c>
      <c r="O391" s="2">
        <v>11.27163464</v>
      </c>
      <c r="P391" s="2">
        <v>0.0</v>
      </c>
      <c r="Q391" s="13" t="str">
        <f t="shared" si="1"/>
        <v>South Sudan|2020</v>
      </c>
      <c r="R391" s="14" t="str">
        <f t="shared" si="2"/>
        <v> </v>
      </c>
      <c r="T391" s="14" t="b">
        <f t="shared" si="3"/>
        <v>0</v>
      </c>
      <c r="U391" s="14" t="b">
        <f t="shared" si="29"/>
        <v>0</v>
      </c>
      <c r="V391" s="14" t="b">
        <f t="shared" si="4"/>
        <v>0</v>
      </c>
      <c r="W391" s="14">
        <f t="shared" si="5"/>
        <v>41</v>
      </c>
      <c r="X391" s="14">
        <f t="shared" si="6"/>
        <v>34</v>
      </c>
      <c r="Y391" s="14">
        <f t="shared" si="7"/>
        <v>70</v>
      </c>
      <c r="Z391" s="14" t="str">
        <f t="shared" si="8"/>
        <v/>
      </c>
      <c r="AA391" s="14" t="str">
        <f t="shared" si="9"/>
        <v/>
      </c>
      <c r="AB391" s="14" t="str">
        <f t="shared" si="10"/>
        <v/>
      </c>
      <c r="AC391" s="14">
        <f t="shared" si="11"/>
        <v>0</v>
      </c>
      <c r="AO391" s="21"/>
      <c r="AP391" s="24"/>
      <c r="AQ391" s="21"/>
      <c r="AS391" s="21"/>
      <c r="AT391" s="24"/>
      <c r="AU391" s="21"/>
      <c r="AX391" s="14" t="str">
        <f t="shared" si="22"/>
        <v>null</v>
      </c>
      <c r="AY391" s="14" t="str">
        <f t="shared" si="23"/>
        <v>null</v>
      </c>
      <c r="AZ391" s="14" t="str">
        <f t="shared" si="24"/>
        <v>null</v>
      </c>
      <c r="BA391" s="17"/>
    </row>
    <row r="392">
      <c r="A392" s="2" t="s">
        <v>257</v>
      </c>
      <c r="B392" s="2">
        <v>2015.0</v>
      </c>
      <c r="C392" s="2">
        <v>46671.91797</v>
      </c>
      <c r="D392" s="2">
        <v>79.60199738</v>
      </c>
      <c r="E392" s="2">
        <v>99.92672046</v>
      </c>
      <c r="F392" s="2">
        <v>0.0</v>
      </c>
      <c r="G392" s="2">
        <v>0.07327954441</v>
      </c>
      <c r="H392" s="2">
        <v>0.0</v>
      </c>
      <c r="I392" s="2">
        <v>100.0</v>
      </c>
      <c r="J392" s="2">
        <v>0.0</v>
      </c>
      <c r="K392" s="2">
        <v>0.0</v>
      </c>
      <c r="L392" s="2">
        <v>0.0</v>
      </c>
      <c r="M392" s="2">
        <v>99.90794521</v>
      </c>
      <c r="N392" s="2">
        <v>0.0</v>
      </c>
      <c r="O392" s="2">
        <v>0.09205479452</v>
      </c>
      <c r="P392" s="2">
        <v>0.0</v>
      </c>
      <c r="Q392" s="13" t="str">
        <f t="shared" si="1"/>
        <v>Spain|2015</v>
      </c>
      <c r="R392" s="14">
        <f t="shared" si="2"/>
        <v>5</v>
      </c>
      <c r="T392" s="14">
        <f t="shared" si="3"/>
        <v>-0.00022157</v>
      </c>
      <c r="U392" s="14">
        <f t="shared" si="29"/>
        <v>0</v>
      </c>
      <c r="V392" s="14">
        <f t="shared" si="4"/>
        <v>0</v>
      </c>
      <c r="W392" s="14">
        <f t="shared" si="5"/>
        <v>100</v>
      </c>
      <c r="X392" s="14">
        <f t="shared" si="6"/>
        <v>100</v>
      </c>
      <c r="Y392" s="14">
        <f t="shared" si="7"/>
        <v>100</v>
      </c>
      <c r="Z392" s="14" t="str">
        <f t="shared" si="8"/>
        <v/>
      </c>
      <c r="AA392" s="14" t="str">
        <f t="shared" si="9"/>
        <v/>
      </c>
      <c r="AB392" s="14" t="str">
        <f t="shared" si="10"/>
        <v>Fully Accessible</v>
      </c>
      <c r="AC392" s="14">
        <f t="shared" si="11"/>
        <v>0</v>
      </c>
      <c r="AO392" s="21"/>
      <c r="AP392" s="24"/>
      <c r="AQ392" s="21"/>
      <c r="AS392" s="21"/>
      <c r="AT392" s="24"/>
      <c r="AU392" s="21"/>
      <c r="AX392" s="14">
        <f t="shared" si="22"/>
        <v>93426.69922</v>
      </c>
      <c r="AY392" s="14">
        <f t="shared" si="23"/>
        <v>160.4119949</v>
      </c>
      <c r="AZ392" s="14">
        <f t="shared" si="24"/>
        <v>93266.28723</v>
      </c>
      <c r="BA392" s="17"/>
    </row>
    <row r="393">
      <c r="A393" s="2" t="s">
        <v>257</v>
      </c>
      <c r="B393" s="2">
        <v>2020.0</v>
      </c>
      <c r="C393" s="2">
        <v>46754.78125</v>
      </c>
      <c r="D393" s="2">
        <v>80.80999756</v>
      </c>
      <c r="E393" s="2">
        <v>99.92561261</v>
      </c>
      <c r="F393" s="2">
        <v>0.0</v>
      </c>
      <c r="G393" s="2">
        <v>0.07438739142</v>
      </c>
      <c r="H393" s="2">
        <v>0.0</v>
      </c>
      <c r="I393" s="2">
        <v>100.0</v>
      </c>
      <c r="J393" s="2">
        <v>0.0</v>
      </c>
      <c r="K393" s="2">
        <v>0.0</v>
      </c>
      <c r="L393" s="2">
        <v>0.0</v>
      </c>
      <c r="M393" s="2">
        <v>99.90794521</v>
      </c>
      <c r="N393" s="2">
        <v>0.0</v>
      </c>
      <c r="O393" s="2">
        <v>0.09205479452</v>
      </c>
      <c r="P393" s="2">
        <v>0.0</v>
      </c>
      <c r="Q393" s="13" t="str">
        <f t="shared" si="1"/>
        <v>Spain|2020</v>
      </c>
      <c r="R393" s="14" t="str">
        <f t="shared" si="2"/>
        <v> </v>
      </c>
      <c r="T393" s="14" t="b">
        <f t="shared" si="3"/>
        <v>0</v>
      </c>
      <c r="U393" s="14" t="b">
        <f t="shared" si="29"/>
        <v>0</v>
      </c>
      <c r="V393" s="14" t="b">
        <f t="shared" si="4"/>
        <v>0</v>
      </c>
      <c r="W393" s="14">
        <f t="shared" si="5"/>
        <v>100</v>
      </c>
      <c r="X393" s="14">
        <f t="shared" si="6"/>
        <v>100</v>
      </c>
      <c r="Y393" s="14">
        <f t="shared" si="7"/>
        <v>100</v>
      </c>
      <c r="Z393" s="14" t="str">
        <f t="shared" si="8"/>
        <v/>
      </c>
      <c r="AA393" s="14" t="str">
        <f t="shared" si="9"/>
        <v/>
      </c>
      <c r="AB393" s="14" t="str">
        <f t="shared" si="10"/>
        <v/>
      </c>
      <c r="AC393" s="14">
        <f t="shared" si="11"/>
        <v>0</v>
      </c>
      <c r="AO393" s="21"/>
      <c r="AP393" s="24"/>
      <c r="AQ393" s="21"/>
      <c r="AS393" s="21"/>
      <c r="AT393" s="24"/>
      <c r="AU393" s="21"/>
      <c r="AX393" s="14" t="str">
        <f t="shared" si="22"/>
        <v>null</v>
      </c>
      <c r="AY393" s="14" t="str">
        <f t="shared" si="23"/>
        <v>null</v>
      </c>
      <c r="AZ393" s="14" t="str">
        <f t="shared" si="24"/>
        <v>null</v>
      </c>
      <c r="BA393" s="8"/>
    </row>
    <row r="394">
      <c r="A394" s="2" t="s">
        <v>258</v>
      </c>
      <c r="B394" s="2">
        <v>2015.0</v>
      </c>
      <c r="C394" s="2">
        <v>20908.02344</v>
      </c>
      <c r="D394" s="2">
        <v>18.25600052</v>
      </c>
      <c r="E394" s="2">
        <v>90.11102857</v>
      </c>
      <c r="F394" s="2">
        <v>0.9128012935</v>
      </c>
      <c r="G394" s="2">
        <v>6.761522893</v>
      </c>
      <c r="H394" s="2">
        <v>2.214647247</v>
      </c>
      <c r="I394" s="2">
        <v>88.25710614</v>
      </c>
      <c r="J394" s="2">
        <v>1.016290258</v>
      </c>
      <c r="K394" s="2">
        <v>8.017356135</v>
      </c>
      <c r="L394" s="2">
        <v>2.709247463</v>
      </c>
      <c r="M394" s="2">
        <v>98.41224652</v>
      </c>
      <c r="N394" s="2">
        <v>0.4494138094</v>
      </c>
      <c r="O394" s="2">
        <v>1.138339672</v>
      </c>
      <c r="P394" s="2">
        <v>0.0</v>
      </c>
      <c r="Q394" s="13" t="str">
        <f t="shared" si="1"/>
        <v>Sri Lanka|2015</v>
      </c>
      <c r="R394" s="14">
        <f t="shared" si="2"/>
        <v>5</v>
      </c>
      <c r="T394" s="14">
        <f t="shared" si="3"/>
        <v>0.42331016</v>
      </c>
      <c r="U394" s="14">
        <f t="shared" si="29"/>
        <v>0.456065912</v>
      </c>
      <c r="V394" s="14">
        <f t="shared" si="4"/>
        <v>0.231426734</v>
      </c>
      <c r="W394" s="14">
        <f t="shared" si="5"/>
        <v>90</v>
      </c>
      <c r="X394" s="14">
        <f t="shared" si="6"/>
        <v>88</v>
      </c>
      <c r="Y394" s="14">
        <f t="shared" si="7"/>
        <v>98</v>
      </c>
      <c r="Z394" s="14" t="str">
        <f t="shared" si="8"/>
        <v/>
      </c>
      <c r="AA394" s="14" t="str">
        <f t="shared" si="9"/>
        <v/>
      </c>
      <c r="AB394" s="14" t="str">
        <f t="shared" si="10"/>
        <v>Fully Accessible</v>
      </c>
      <c r="AC394" s="14">
        <f t="shared" si="11"/>
        <v>0.224639178</v>
      </c>
      <c r="AO394" s="21"/>
      <c r="AP394" s="24"/>
      <c r="AQ394" s="21"/>
      <c r="AS394" s="21"/>
      <c r="AT394" s="24"/>
      <c r="AU394" s="21"/>
      <c r="AX394" s="14">
        <f t="shared" si="22"/>
        <v>42321.27344</v>
      </c>
      <c r="AY394" s="14">
        <f t="shared" si="23"/>
        <v>36.96899986</v>
      </c>
      <c r="AZ394" s="14">
        <f t="shared" si="24"/>
        <v>42284.30444</v>
      </c>
      <c r="BA394" s="27"/>
    </row>
    <row r="395">
      <c r="A395" s="2" t="s">
        <v>258</v>
      </c>
      <c r="B395" s="2">
        <v>2020.0</v>
      </c>
      <c r="C395" s="2">
        <v>21413.25</v>
      </c>
      <c r="D395" s="2">
        <v>18.71299934</v>
      </c>
      <c r="E395" s="2">
        <v>92.22757937</v>
      </c>
      <c r="F395" s="2">
        <v>0.5954581495</v>
      </c>
      <c r="G395" s="2">
        <v>5.348927064</v>
      </c>
      <c r="H395" s="2">
        <v>1.82803542</v>
      </c>
      <c r="I395" s="2">
        <v>90.5374357</v>
      </c>
      <c r="J395" s="2">
        <v>0.7032099038</v>
      </c>
      <c r="K395" s="2">
        <v>6.510488612</v>
      </c>
      <c r="L395" s="2">
        <v>2.248865782</v>
      </c>
      <c r="M395" s="2">
        <v>99.56938019</v>
      </c>
      <c r="N395" s="2">
        <v>0.1273977901</v>
      </c>
      <c r="O395" s="2">
        <v>0.3032220202</v>
      </c>
      <c r="P395" s="2">
        <v>0.0</v>
      </c>
      <c r="Q395" s="13" t="str">
        <f t="shared" si="1"/>
        <v>Sri Lanka|2020</v>
      </c>
      <c r="R395" s="14" t="str">
        <f t="shared" si="2"/>
        <v> </v>
      </c>
      <c r="T395" s="14" t="b">
        <f t="shared" si="3"/>
        <v>0</v>
      </c>
      <c r="U395" s="14" t="b">
        <f t="shared" si="29"/>
        <v>0</v>
      </c>
      <c r="V395" s="14" t="b">
        <f t="shared" si="4"/>
        <v>0</v>
      </c>
      <c r="W395" s="14">
        <f t="shared" si="5"/>
        <v>92</v>
      </c>
      <c r="X395" s="14">
        <f t="shared" si="6"/>
        <v>91</v>
      </c>
      <c r="Y395" s="14">
        <f t="shared" si="7"/>
        <v>100</v>
      </c>
      <c r="Z395" s="14" t="str">
        <f t="shared" si="8"/>
        <v/>
      </c>
      <c r="AA395" s="14" t="str">
        <f t="shared" si="9"/>
        <v/>
      </c>
      <c r="AB395" s="14" t="str">
        <f t="shared" si="10"/>
        <v/>
      </c>
      <c r="AC395" s="14">
        <f t="shared" si="11"/>
        <v>0</v>
      </c>
      <c r="AO395" s="21"/>
      <c r="AP395" s="24"/>
      <c r="AQ395" s="21"/>
      <c r="AS395" s="21"/>
      <c r="AT395" s="24"/>
      <c r="AU395" s="21"/>
      <c r="AX395" s="14" t="str">
        <f t="shared" si="22"/>
        <v>null</v>
      </c>
      <c r="AY395" s="14" t="str">
        <f t="shared" si="23"/>
        <v>null</v>
      </c>
      <c r="AZ395" s="14" t="str">
        <f t="shared" si="24"/>
        <v>null</v>
      </c>
      <c r="BA395" s="17"/>
    </row>
    <row r="396">
      <c r="A396" s="2" t="s">
        <v>259</v>
      </c>
      <c r="B396" s="2">
        <v>2015.0</v>
      </c>
      <c r="C396" s="2">
        <v>38902.94922</v>
      </c>
      <c r="D396" s="2">
        <v>33.89400101</v>
      </c>
      <c r="E396" s="2">
        <v>58.95025332</v>
      </c>
      <c r="F396" s="2">
        <v>26.11181598</v>
      </c>
      <c r="G396" s="2">
        <v>5.635847128</v>
      </c>
      <c r="H396" s="2">
        <v>9.302083569</v>
      </c>
      <c r="I396" s="2">
        <v>51.70743773</v>
      </c>
      <c r="J396" s="2">
        <v>26.68778964</v>
      </c>
      <c r="K396" s="2">
        <v>8.122567512</v>
      </c>
      <c r="L396" s="2">
        <v>13.48220513</v>
      </c>
      <c r="M396" s="2">
        <v>73.07645757</v>
      </c>
      <c r="N396" s="2">
        <v>24.98845154</v>
      </c>
      <c r="O396" s="2">
        <v>0.7858106217</v>
      </c>
      <c r="P396" s="2">
        <v>1.14928027</v>
      </c>
      <c r="Q396" s="13" t="str">
        <f t="shared" si="1"/>
        <v>Sudan|2015</v>
      </c>
      <c r="R396" s="14">
        <f t="shared" si="2"/>
        <v>5</v>
      </c>
      <c r="T396" s="14">
        <f t="shared" si="3"/>
        <v>0.299684456</v>
      </c>
      <c r="U396" s="14">
        <f t="shared" si="29"/>
        <v>0.298317868</v>
      </c>
      <c r="V396" s="14">
        <f t="shared" si="4"/>
        <v>0.137440398</v>
      </c>
      <c r="W396" s="14">
        <f t="shared" si="5"/>
        <v>59</v>
      </c>
      <c r="X396" s="14">
        <f t="shared" si="6"/>
        <v>52</v>
      </c>
      <c r="Y396" s="14">
        <f t="shared" si="7"/>
        <v>73</v>
      </c>
      <c r="Z396" s="14" t="str">
        <f t="shared" si="8"/>
        <v/>
      </c>
      <c r="AA396" s="14" t="str">
        <f t="shared" si="9"/>
        <v/>
      </c>
      <c r="AB396" s="14" t="str">
        <f t="shared" si="10"/>
        <v>Fully Accessible</v>
      </c>
      <c r="AC396" s="14">
        <f t="shared" si="11"/>
        <v>0.16087747</v>
      </c>
      <c r="AO396" s="21"/>
      <c r="AP396" s="24"/>
      <c r="AQ396" s="21"/>
      <c r="AS396" s="21"/>
      <c r="AT396" s="24"/>
      <c r="AU396" s="21"/>
      <c r="AX396" s="14">
        <f t="shared" si="22"/>
        <v>82752.21875</v>
      </c>
      <c r="AY396" s="14">
        <f t="shared" si="23"/>
        <v>69.14699936</v>
      </c>
      <c r="AZ396" s="14">
        <f t="shared" si="24"/>
        <v>82683.07175</v>
      </c>
      <c r="BA396" s="27"/>
    </row>
    <row r="397">
      <c r="A397" s="2" t="s">
        <v>259</v>
      </c>
      <c r="B397" s="2">
        <v>2020.0</v>
      </c>
      <c r="C397" s="2">
        <v>43849.26953</v>
      </c>
      <c r="D397" s="2">
        <v>35.25299835</v>
      </c>
      <c r="E397" s="2">
        <v>60.4486756</v>
      </c>
      <c r="F397" s="2">
        <v>26.67001975</v>
      </c>
      <c r="G397" s="2">
        <v>3.650217875</v>
      </c>
      <c r="H397" s="2">
        <v>9.231086774</v>
      </c>
      <c r="I397" s="2">
        <v>53.19902707</v>
      </c>
      <c r="J397" s="2">
        <v>27.45764451</v>
      </c>
      <c r="K397" s="2">
        <v>5.637660008</v>
      </c>
      <c r="L397" s="2">
        <v>13.70566842</v>
      </c>
      <c r="M397" s="2">
        <v>73.76365956</v>
      </c>
      <c r="N397" s="2">
        <v>25.22343986</v>
      </c>
      <c r="O397" s="2">
        <v>0.0</v>
      </c>
      <c r="P397" s="2">
        <v>1.012900581</v>
      </c>
      <c r="Q397" s="13" t="str">
        <f t="shared" si="1"/>
        <v>Sudan|2020</v>
      </c>
      <c r="R397" s="14" t="str">
        <f t="shared" si="2"/>
        <v> </v>
      </c>
      <c r="T397" s="14" t="b">
        <f t="shared" si="3"/>
        <v>0</v>
      </c>
      <c r="U397" s="14" t="b">
        <f t="shared" si="29"/>
        <v>0</v>
      </c>
      <c r="V397" s="14" t="b">
        <f t="shared" si="4"/>
        <v>0</v>
      </c>
      <c r="W397" s="14">
        <f t="shared" si="5"/>
        <v>60</v>
      </c>
      <c r="X397" s="14">
        <f t="shared" si="6"/>
        <v>53</v>
      </c>
      <c r="Y397" s="14">
        <f t="shared" si="7"/>
        <v>74</v>
      </c>
      <c r="Z397" s="14" t="str">
        <f t="shared" si="8"/>
        <v/>
      </c>
      <c r="AA397" s="14" t="str">
        <f t="shared" si="9"/>
        <v/>
      </c>
      <c r="AB397" s="14" t="str">
        <f t="shared" si="10"/>
        <v/>
      </c>
      <c r="AC397" s="14">
        <f t="shared" si="11"/>
        <v>0</v>
      </c>
      <c r="AO397" s="21"/>
      <c r="AP397" s="24"/>
      <c r="AQ397" s="21"/>
      <c r="AS397" s="21"/>
      <c r="AT397" s="24"/>
      <c r="AU397" s="21"/>
      <c r="AX397" s="14" t="str">
        <f t="shared" si="22"/>
        <v>null</v>
      </c>
      <c r="AY397" s="14" t="str">
        <f t="shared" si="23"/>
        <v>null</v>
      </c>
      <c r="AZ397" s="14" t="str">
        <f t="shared" si="24"/>
        <v>null</v>
      </c>
      <c r="BA397" s="27"/>
    </row>
    <row r="398">
      <c r="A398" s="2" t="s">
        <v>260</v>
      </c>
      <c r="B398" s="2">
        <v>2015.0</v>
      </c>
      <c r="C398" s="2">
        <v>559.1359863</v>
      </c>
      <c r="D398" s="2">
        <v>66.05599976</v>
      </c>
      <c r="E398" s="2">
        <v>95.74769217</v>
      </c>
      <c r="F398" s="2">
        <v>0.8828013983</v>
      </c>
      <c r="G398" s="2">
        <v>1.013834976</v>
      </c>
      <c r="H398" s="2">
        <v>2.35567146</v>
      </c>
      <c r="I398" s="2">
        <v>90.57961632</v>
      </c>
      <c r="J398" s="2">
        <v>1.285032142</v>
      </c>
      <c r="K398" s="2">
        <v>1.200506574</v>
      </c>
      <c r="L398" s="2">
        <v>6.934844965</v>
      </c>
      <c r="M398" s="2">
        <v>98.4033997</v>
      </c>
      <c r="N398" s="2">
        <v>0.6761083333</v>
      </c>
      <c r="O398" s="2">
        <v>0.9179065142</v>
      </c>
      <c r="P398" s="2">
        <v>0.002585454545</v>
      </c>
      <c r="Q398" s="13" t="str">
        <f t="shared" si="1"/>
        <v>Suriname|2015</v>
      </c>
      <c r="R398" s="14">
        <f t="shared" si="2"/>
        <v>5</v>
      </c>
      <c r="T398" s="14">
        <f t="shared" si="3"/>
        <v>0.4483879</v>
      </c>
      <c r="U398" s="14">
        <f t="shared" si="29"/>
        <v>1.198959262</v>
      </c>
      <c r="V398" s="14">
        <f t="shared" si="4"/>
        <v>0.062090834</v>
      </c>
      <c r="W398" s="14">
        <f t="shared" si="5"/>
        <v>96</v>
      </c>
      <c r="X398" s="14">
        <f t="shared" si="6"/>
        <v>91</v>
      </c>
      <c r="Y398" s="14">
        <f t="shared" si="7"/>
        <v>98</v>
      </c>
      <c r="Z398" s="14" t="str">
        <f t="shared" si="8"/>
        <v/>
      </c>
      <c r="AA398" s="14" t="str">
        <f t="shared" si="9"/>
        <v/>
      </c>
      <c r="AB398" s="14" t="str">
        <f t="shared" si="10"/>
        <v>Fully Accessible</v>
      </c>
      <c r="AC398" s="14">
        <f t="shared" si="11"/>
        <v>1.136868428</v>
      </c>
      <c r="AO398" s="21"/>
      <c r="AP398" s="24"/>
      <c r="AQ398" s="21"/>
      <c r="AS398" s="21"/>
      <c r="AT398" s="24"/>
      <c r="AU398" s="21"/>
      <c r="AX398" s="14">
        <f t="shared" si="22"/>
        <v>1145.769959</v>
      </c>
      <c r="AY398" s="14">
        <f t="shared" si="23"/>
        <v>132.2050018</v>
      </c>
      <c r="AZ398" s="14">
        <f t="shared" si="24"/>
        <v>1013.564957</v>
      </c>
      <c r="BA398" s="17"/>
    </row>
    <row r="399">
      <c r="A399" s="2" t="s">
        <v>260</v>
      </c>
      <c r="B399" s="2">
        <v>2020.0</v>
      </c>
      <c r="C399" s="2">
        <v>586.6339722</v>
      </c>
      <c r="D399" s="2">
        <v>66.14900208</v>
      </c>
      <c r="E399" s="2">
        <v>97.98963167</v>
      </c>
      <c r="F399" s="2">
        <v>1.067246941</v>
      </c>
      <c r="G399" s="2">
        <v>0.3793365073</v>
      </c>
      <c r="H399" s="2">
        <v>0.563784884</v>
      </c>
      <c r="I399" s="2">
        <v>96.57441263</v>
      </c>
      <c r="J399" s="2">
        <v>1.60029586</v>
      </c>
      <c r="K399" s="2">
        <v>0.1598017947</v>
      </c>
      <c r="L399" s="2">
        <v>1.66548972</v>
      </c>
      <c r="M399" s="2">
        <v>98.71385387</v>
      </c>
      <c r="N399" s="2">
        <v>0.7944652371</v>
      </c>
      <c r="O399" s="2">
        <v>0.4916808925</v>
      </c>
      <c r="P399" s="2">
        <v>0.0</v>
      </c>
      <c r="Q399" s="13" t="str">
        <f t="shared" si="1"/>
        <v>Suriname|2020</v>
      </c>
      <c r="R399" s="14" t="str">
        <f t="shared" si="2"/>
        <v> </v>
      </c>
      <c r="T399" s="14" t="b">
        <f t="shared" si="3"/>
        <v>0</v>
      </c>
      <c r="U399" s="14" t="b">
        <f t="shared" si="29"/>
        <v>0</v>
      </c>
      <c r="V399" s="14" t="b">
        <f t="shared" si="4"/>
        <v>0</v>
      </c>
      <c r="W399" s="14">
        <f t="shared" si="5"/>
        <v>98</v>
      </c>
      <c r="X399" s="14">
        <f t="shared" si="6"/>
        <v>97</v>
      </c>
      <c r="Y399" s="14">
        <f t="shared" si="7"/>
        <v>99</v>
      </c>
      <c r="Z399" s="14" t="str">
        <f t="shared" si="8"/>
        <v/>
      </c>
      <c r="AA399" s="14" t="str">
        <f t="shared" si="9"/>
        <v/>
      </c>
      <c r="AB399" s="14" t="str">
        <f t="shared" si="10"/>
        <v/>
      </c>
      <c r="AC399" s="14">
        <f t="shared" si="11"/>
        <v>0</v>
      </c>
      <c r="AO399" s="21"/>
      <c r="AP399" s="24"/>
      <c r="AQ399" s="21"/>
      <c r="AS399" s="21"/>
      <c r="AT399" s="24"/>
      <c r="AU399" s="21"/>
      <c r="AX399" s="14" t="str">
        <f t="shared" si="22"/>
        <v>null</v>
      </c>
      <c r="AY399" s="14" t="str">
        <f t="shared" si="23"/>
        <v>null</v>
      </c>
      <c r="AZ399" s="14" t="str">
        <f t="shared" si="24"/>
        <v>null</v>
      </c>
      <c r="BA399" s="17"/>
    </row>
    <row r="400">
      <c r="A400" s="2" t="s">
        <v>261</v>
      </c>
      <c r="B400" s="2">
        <v>2015.0</v>
      </c>
      <c r="C400" s="2">
        <v>9764.949219</v>
      </c>
      <c r="D400" s="2">
        <v>86.5530014</v>
      </c>
      <c r="E400" s="2">
        <v>99.78123103</v>
      </c>
      <c r="F400" s="2">
        <v>0.0</v>
      </c>
      <c r="G400" s="2">
        <v>0.2187689729</v>
      </c>
      <c r="H400" s="2">
        <v>0.0</v>
      </c>
      <c r="I400" s="2">
        <v>99.54998653</v>
      </c>
      <c r="J400" s="2">
        <v>0.0</v>
      </c>
      <c r="K400" s="2">
        <v>0.4500134657</v>
      </c>
      <c r="L400" s="2">
        <v>0.0</v>
      </c>
      <c r="M400" s="2">
        <v>99.81716039</v>
      </c>
      <c r="N400" s="2">
        <v>0.0</v>
      </c>
      <c r="O400" s="2">
        <v>0.1828396148</v>
      </c>
      <c r="P400" s="2">
        <v>0.0</v>
      </c>
      <c r="Q400" s="13" t="str">
        <f t="shared" si="1"/>
        <v>Sweden|2015</v>
      </c>
      <c r="R400" s="14">
        <f t="shared" si="2"/>
        <v>5</v>
      </c>
      <c r="T400" s="14">
        <f t="shared" si="3"/>
        <v>0.00912732</v>
      </c>
      <c r="U400" s="14">
        <f t="shared" si="29"/>
        <v>0.033877642</v>
      </c>
      <c r="V400" s="14">
        <f t="shared" si="4"/>
        <v>0.004879458</v>
      </c>
      <c r="W400" s="14">
        <f t="shared" si="5"/>
        <v>100</v>
      </c>
      <c r="X400" s="14">
        <f t="shared" si="6"/>
        <v>100</v>
      </c>
      <c r="Y400" s="14">
        <f t="shared" si="7"/>
        <v>100</v>
      </c>
      <c r="Z400" s="14" t="str">
        <f t="shared" si="8"/>
        <v/>
      </c>
      <c r="AA400" s="14" t="str">
        <f t="shared" si="9"/>
        <v/>
      </c>
      <c r="AB400" s="14" t="str">
        <f t="shared" si="10"/>
        <v>Fully Accessible</v>
      </c>
      <c r="AC400" s="14">
        <f t="shared" si="11"/>
        <v>0.028998184</v>
      </c>
      <c r="AO400" s="21"/>
      <c r="AP400" s="24"/>
      <c r="AQ400" s="21"/>
      <c r="AS400" s="21"/>
      <c r="AT400" s="24"/>
      <c r="AU400" s="21"/>
      <c r="AX400" s="14">
        <f t="shared" si="22"/>
        <v>19864.21875</v>
      </c>
      <c r="AY400" s="14">
        <f t="shared" si="23"/>
        <v>174.5299988</v>
      </c>
      <c r="AZ400" s="14">
        <f t="shared" si="24"/>
        <v>19689.68875</v>
      </c>
      <c r="BA400" s="17"/>
    </row>
    <row r="401">
      <c r="A401" s="2" t="s">
        <v>261</v>
      </c>
      <c r="B401" s="2">
        <v>2020.0</v>
      </c>
      <c r="C401" s="2">
        <v>10099.26953</v>
      </c>
      <c r="D401" s="2">
        <v>87.97699738</v>
      </c>
      <c r="E401" s="2">
        <v>99.82686763</v>
      </c>
      <c r="F401" s="2">
        <v>0.0</v>
      </c>
      <c r="G401" s="2">
        <v>0.1731323735</v>
      </c>
      <c r="H401" s="2">
        <v>0.0</v>
      </c>
      <c r="I401" s="2">
        <v>99.71937474</v>
      </c>
      <c r="J401" s="2">
        <v>0.0</v>
      </c>
      <c r="K401" s="2">
        <v>0.2806252626</v>
      </c>
      <c r="L401" s="2">
        <v>0.0</v>
      </c>
      <c r="M401" s="2">
        <v>99.84155768</v>
      </c>
      <c r="N401" s="2">
        <v>0.0</v>
      </c>
      <c r="O401" s="2">
        <v>0.1584423157</v>
      </c>
      <c r="P401" s="2">
        <v>0.0</v>
      </c>
      <c r="Q401" s="13" t="str">
        <f t="shared" si="1"/>
        <v>Sweden|2020</v>
      </c>
      <c r="R401" s="14" t="str">
        <f t="shared" si="2"/>
        <v> </v>
      </c>
      <c r="T401" s="14" t="b">
        <f t="shared" si="3"/>
        <v>0</v>
      </c>
      <c r="U401" s="14" t="b">
        <f t="shared" si="29"/>
        <v>0</v>
      </c>
      <c r="V401" s="14" t="b">
        <f t="shared" si="4"/>
        <v>0</v>
      </c>
      <c r="W401" s="14">
        <f t="shared" si="5"/>
        <v>100</v>
      </c>
      <c r="X401" s="14">
        <f t="shared" si="6"/>
        <v>100</v>
      </c>
      <c r="Y401" s="14">
        <f t="shared" si="7"/>
        <v>100</v>
      </c>
      <c r="Z401" s="14" t="str">
        <f t="shared" si="8"/>
        <v/>
      </c>
      <c r="AA401" s="14" t="str">
        <f t="shared" si="9"/>
        <v/>
      </c>
      <c r="AB401" s="14" t="str">
        <f t="shared" si="10"/>
        <v/>
      </c>
      <c r="AC401" s="14">
        <f t="shared" si="11"/>
        <v>0</v>
      </c>
      <c r="AO401" s="21"/>
      <c r="AP401" s="24"/>
      <c r="AQ401" s="21"/>
      <c r="AS401" s="21"/>
      <c r="AT401" s="24"/>
      <c r="AU401" s="21"/>
      <c r="AX401" s="14" t="str">
        <f t="shared" si="22"/>
        <v>null</v>
      </c>
      <c r="AY401" s="14" t="str">
        <f t="shared" si="23"/>
        <v>null</v>
      </c>
      <c r="AZ401" s="14" t="str">
        <f t="shared" si="24"/>
        <v>null</v>
      </c>
      <c r="BA401" s="8"/>
    </row>
    <row r="402">
      <c r="A402" s="2" t="s">
        <v>262</v>
      </c>
      <c r="B402" s="2">
        <v>2015.0</v>
      </c>
      <c r="C402" s="2">
        <v>8296.775391</v>
      </c>
      <c r="D402" s="2">
        <v>73.71800232</v>
      </c>
      <c r="E402" s="2">
        <v>100.0</v>
      </c>
      <c r="F402" s="2">
        <v>0.0</v>
      </c>
      <c r="G402" s="2">
        <v>0.0</v>
      </c>
      <c r="H402" s="2">
        <v>0.0</v>
      </c>
      <c r="I402" s="2">
        <v>100.0</v>
      </c>
      <c r="J402" s="2">
        <v>0.0</v>
      </c>
      <c r="K402" s="2">
        <v>0.0</v>
      </c>
      <c r="L402" s="2">
        <v>0.0</v>
      </c>
      <c r="M402" s="2">
        <v>100.0</v>
      </c>
      <c r="N402" s="2">
        <v>0.0</v>
      </c>
      <c r="O402" s="2">
        <v>0.0</v>
      </c>
      <c r="P402" s="2">
        <v>0.0</v>
      </c>
      <c r="Q402" s="13" t="str">
        <f t="shared" si="1"/>
        <v>Switzerland|2015</v>
      </c>
      <c r="R402" s="14">
        <f t="shared" si="2"/>
        <v>5</v>
      </c>
      <c r="T402" s="14">
        <f t="shared" si="3"/>
        <v>0.0000005600000009</v>
      </c>
      <c r="U402" s="14">
        <f t="shared" si="29"/>
        <v>0</v>
      </c>
      <c r="V402" s="14">
        <f t="shared" si="4"/>
        <v>0</v>
      </c>
      <c r="W402" s="14">
        <f t="shared" si="5"/>
        <v>100</v>
      </c>
      <c r="X402" s="14">
        <f t="shared" si="6"/>
        <v>100</v>
      </c>
      <c r="Y402" s="14">
        <f t="shared" si="7"/>
        <v>100</v>
      </c>
      <c r="Z402" s="14" t="str">
        <f t="shared" si="8"/>
        <v/>
      </c>
      <c r="AA402" s="14" t="str">
        <f t="shared" si="9"/>
        <v/>
      </c>
      <c r="AB402" s="14" t="str">
        <f t="shared" si="10"/>
        <v>Fully Accessible</v>
      </c>
      <c r="AC402" s="14">
        <f t="shared" si="11"/>
        <v>0</v>
      </c>
      <c r="AO402" s="21"/>
      <c r="AP402" s="24"/>
      <c r="AQ402" s="21"/>
      <c r="AS402" s="21"/>
      <c r="AT402" s="24"/>
      <c r="AU402" s="21"/>
      <c r="AX402" s="14">
        <f t="shared" si="22"/>
        <v>16951.39356</v>
      </c>
      <c r="AY402" s="14">
        <f t="shared" si="23"/>
        <v>147.6330032</v>
      </c>
      <c r="AZ402" s="14">
        <f t="shared" si="24"/>
        <v>16803.76055</v>
      </c>
      <c r="BA402" s="27"/>
    </row>
    <row r="403">
      <c r="A403" s="2" t="s">
        <v>262</v>
      </c>
      <c r="B403" s="2">
        <v>2020.0</v>
      </c>
      <c r="C403" s="2">
        <v>8654.618164</v>
      </c>
      <c r="D403" s="2">
        <v>73.91500092</v>
      </c>
      <c r="E403" s="2">
        <v>100.0000028</v>
      </c>
      <c r="F403" s="2">
        <v>0.0</v>
      </c>
      <c r="G403" s="2">
        <v>0.0</v>
      </c>
      <c r="H403" s="2">
        <v>0.0</v>
      </c>
      <c r="I403" s="2">
        <v>100.0</v>
      </c>
      <c r="J403" s="2">
        <v>0.0</v>
      </c>
      <c r="K403" s="2">
        <v>0.0</v>
      </c>
      <c r="L403" s="2">
        <v>0.0</v>
      </c>
      <c r="M403" s="2">
        <v>100.0</v>
      </c>
      <c r="N403" s="2">
        <v>0.0</v>
      </c>
      <c r="O403" s="2">
        <v>0.0</v>
      </c>
      <c r="P403" s="2">
        <v>0.0</v>
      </c>
      <c r="Q403" s="13" t="str">
        <f t="shared" si="1"/>
        <v>Switzerland|2020</v>
      </c>
      <c r="R403" s="14" t="str">
        <f t="shared" si="2"/>
        <v> </v>
      </c>
      <c r="T403" s="14" t="b">
        <f t="shared" si="3"/>
        <v>0</v>
      </c>
      <c r="U403" s="14" t="b">
        <f t="shared" si="29"/>
        <v>0</v>
      </c>
      <c r="V403" s="14" t="b">
        <f t="shared" si="4"/>
        <v>0</v>
      </c>
      <c r="W403" s="14">
        <f t="shared" si="5"/>
        <v>100</v>
      </c>
      <c r="X403" s="14">
        <f t="shared" si="6"/>
        <v>100</v>
      </c>
      <c r="Y403" s="14">
        <f t="shared" si="7"/>
        <v>100</v>
      </c>
      <c r="Z403" s="14" t="str">
        <f t="shared" si="8"/>
        <v/>
      </c>
      <c r="AA403" s="14" t="str">
        <f t="shared" si="9"/>
        <v/>
      </c>
      <c r="AB403" s="14" t="str">
        <f t="shared" si="10"/>
        <v/>
      </c>
      <c r="AC403" s="14">
        <f t="shared" si="11"/>
        <v>0</v>
      </c>
      <c r="AO403" s="21"/>
      <c r="AP403" s="24"/>
      <c r="AQ403" s="21"/>
      <c r="AS403" s="21"/>
      <c r="AT403" s="24"/>
      <c r="AU403" s="21"/>
      <c r="AX403" s="14" t="str">
        <f t="shared" si="22"/>
        <v>null</v>
      </c>
      <c r="AY403" s="14" t="str">
        <f t="shared" si="23"/>
        <v>null</v>
      </c>
      <c r="AZ403" s="14" t="str">
        <f t="shared" si="24"/>
        <v>null</v>
      </c>
      <c r="BA403" s="17"/>
    </row>
    <row r="404">
      <c r="A404" s="2" t="s">
        <v>263</v>
      </c>
      <c r="B404" s="2">
        <v>2015.0</v>
      </c>
      <c r="C404" s="2">
        <v>17997.41016</v>
      </c>
      <c r="D404" s="2">
        <v>52.16799927</v>
      </c>
      <c r="E404" s="2">
        <v>93.50961148</v>
      </c>
      <c r="F404" s="2">
        <v>5.968083628</v>
      </c>
      <c r="G404" s="2">
        <v>0.5223048883</v>
      </c>
      <c r="H404" s="2">
        <v>0.0</v>
      </c>
      <c r="I404" s="2">
        <v>91.3857051</v>
      </c>
      <c r="J404" s="2">
        <v>7.857323656</v>
      </c>
      <c r="K404" s="2">
        <v>0.7569712439</v>
      </c>
      <c r="L404" s="2">
        <v>0.0</v>
      </c>
      <c r="M404" s="2">
        <v>95.45698719</v>
      </c>
      <c r="N404" s="2">
        <v>4.235869737</v>
      </c>
      <c r="O404" s="2">
        <v>0.3071430695</v>
      </c>
      <c r="P404" s="2">
        <v>0.0</v>
      </c>
      <c r="Q404" s="13" t="str">
        <f t="shared" si="1"/>
        <v>Syrian Arab Republic|2015</v>
      </c>
      <c r="R404" s="14">
        <f t="shared" si="2"/>
        <v>5</v>
      </c>
      <c r="T404" s="14">
        <f t="shared" si="3"/>
        <v>0.08324914</v>
      </c>
      <c r="U404" s="14">
        <f t="shared" si="29"/>
        <v>0.13940798</v>
      </c>
      <c r="V404" s="14">
        <f t="shared" si="4"/>
        <v>-0.010364566</v>
      </c>
      <c r="W404" s="14">
        <f t="shared" si="5"/>
        <v>94</v>
      </c>
      <c r="X404" s="14">
        <f t="shared" si="6"/>
        <v>91</v>
      </c>
      <c r="Y404" s="14">
        <f t="shared" si="7"/>
        <v>95</v>
      </c>
      <c r="Z404" s="14" t="str">
        <f t="shared" si="8"/>
        <v/>
      </c>
      <c r="AA404" s="14" t="str">
        <f t="shared" si="9"/>
        <v/>
      </c>
      <c r="AB404" s="14" t="str">
        <f t="shared" si="10"/>
        <v>Fully Accessible</v>
      </c>
      <c r="AC404" s="14">
        <f t="shared" si="11"/>
        <v>0.149772546</v>
      </c>
      <c r="AO404" s="21"/>
      <c r="AP404" s="24"/>
      <c r="AQ404" s="21"/>
      <c r="AS404" s="21"/>
      <c r="AT404" s="24"/>
      <c r="AU404" s="21"/>
      <c r="AX404" s="14">
        <f t="shared" si="22"/>
        <v>35498.06641</v>
      </c>
      <c r="AY404" s="14">
        <f t="shared" si="23"/>
        <v>107.6430016</v>
      </c>
      <c r="AZ404" s="14">
        <f t="shared" si="24"/>
        <v>35390.42341</v>
      </c>
      <c r="BA404" s="27"/>
    </row>
    <row r="405">
      <c r="A405" s="2" t="s">
        <v>263</v>
      </c>
      <c r="B405" s="2">
        <v>2020.0</v>
      </c>
      <c r="C405" s="2">
        <v>17500.65625</v>
      </c>
      <c r="D405" s="2">
        <v>55.47500229</v>
      </c>
      <c r="E405" s="2">
        <v>93.92585718</v>
      </c>
      <c r="F405" s="2">
        <v>5.873730768</v>
      </c>
      <c r="G405" s="2">
        <v>0.2004120542</v>
      </c>
      <c r="H405" s="2">
        <v>0.0</v>
      </c>
      <c r="I405" s="2">
        <v>92.082745</v>
      </c>
      <c r="J405" s="2">
        <v>7.917255</v>
      </c>
      <c r="K405" s="2">
        <v>0.0</v>
      </c>
      <c r="L405" s="2">
        <v>0.0</v>
      </c>
      <c r="M405" s="2">
        <v>95.40516436</v>
      </c>
      <c r="N405" s="2">
        <v>4.233570117</v>
      </c>
      <c r="O405" s="2">
        <v>0.361265525</v>
      </c>
      <c r="P405" s="2">
        <v>0.0</v>
      </c>
      <c r="Q405" s="13" t="str">
        <f t="shared" si="1"/>
        <v>Syrian Arab Republic|2020</v>
      </c>
      <c r="R405" s="14" t="str">
        <f t="shared" si="2"/>
        <v> </v>
      </c>
      <c r="T405" s="14" t="b">
        <f t="shared" si="3"/>
        <v>0</v>
      </c>
      <c r="U405" s="14" t="b">
        <f t="shared" si="29"/>
        <v>0</v>
      </c>
      <c r="V405" s="14" t="b">
        <f t="shared" si="4"/>
        <v>0</v>
      </c>
      <c r="W405" s="14">
        <f t="shared" si="5"/>
        <v>94</v>
      </c>
      <c r="X405" s="14">
        <f t="shared" si="6"/>
        <v>92</v>
      </c>
      <c r="Y405" s="14">
        <f t="shared" si="7"/>
        <v>95</v>
      </c>
      <c r="Z405" s="14" t="str">
        <f t="shared" si="8"/>
        <v/>
      </c>
      <c r="AA405" s="14" t="str">
        <f t="shared" si="9"/>
        <v/>
      </c>
      <c r="AB405" s="14" t="str">
        <f t="shared" si="10"/>
        <v/>
      </c>
      <c r="AC405" s="14">
        <f t="shared" si="11"/>
        <v>0</v>
      </c>
      <c r="AO405" s="21"/>
      <c r="AP405" s="24"/>
      <c r="AQ405" s="21"/>
      <c r="AS405" s="21"/>
      <c r="AT405" s="24"/>
      <c r="AU405" s="21"/>
      <c r="AX405" s="14" t="str">
        <f t="shared" si="22"/>
        <v>null</v>
      </c>
      <c r="AY405" s="14" t="str">
        <f t="shared" si="23"/>
        <v>null</v>
      </c>
      <c r="AZ405" s="14" t="str">
        <f t="shared" si="24"/>
        <v>null</v>
      </c>
      <c r="BA405" s="27"/>
    </row>
    <row r="406">
      <c r="A406" s="2" t="s">
        <v>264</v>
      </c>
      <c r="B406" s="2">
        <v>2015.0</v>
      </c>
      <c r="C406" s="2">
        <v>8454.018555</v>
      </c>
      <c r="D406" s="2">
        <v>26.74200058</v>
      </c>
      <c r="E406" s="2">
        <v>76.23949551</v>
      </c>
      <c r="F406" s="2">
        <v>3.050011091</v>
      </c>
      <c r="G406" s="2">
        <v>3.944733748</v>
      </c>
      <c r="H406" s="2">
        <v>16.76575965</v>
      </c>
      <c r="I406" s="2">
        <v>69.55218206</v>
      </c>
      <c r="J406" s="2">
        <v>3.681021887</v>
      </c>
      <c r="K406" s="2">
        <v>4.857485512</v>
      </c>
      <c r="L406" s="2">
        <v>21.90931054</v>
      </c>
      <c r="M406" s="2">
        <v>94.55895539</v>
      </c>
      <c r="N406" s="2">
        <v>1.321396987</v>
      </c>
      <c r="O406" s="2">
        <v>1.444318955</v>
      </c>
      <c r="P406" s="2">
        <v>2.675328663</v>
      </c>
      <c r="Q406" s="13" t="str">
        <f t="shared" si="1"/>
        <v>Tajikistan|2015</v>
      </c>
      <c r="R406" s="14">
        <f t="shared" si="2"/>
        <v>5</v>
      </c>
      <c r="T406" s="14">
        <f t="shared" si="3"/>
        <v>1.122583902</v>
      </c>
      <c r="U406" s="14">
        <f t="shared" si="29"/>
        <v>1.418283428</v>
      </c>
      <c r="V406" s="14">
        <f t="shared" si="4"/>
        <v>0.204333694</v>
      </c>
      <c r="W406" s="14">
        <f t="shared" si="5"/>
        <v>76</v>
      </c>
      <c r="X406" s="14">
        <f t="shared" si="6"/>
        <v>70</v>
      </c>
      <c r="Y406" s="14">
        <f t="shared" si="7"/>
        <v>95</v>
      </c>
      <c r="Z406" s="14" t="str">
        <f t="shared" si="8"/>
        <v/>
      </c>
      <c r="AA406" s="14" t="str">
        <f t="shared" si="9"/>
        <v/>
      </c>
      <c r="AB406" s="14" t="str">
        <f t="shared" si="10"/>
        <v>Fully Accessible</v>
      </c>
      <c r="AC406" s="14">
        <f t="shared" si="11"/>
        <v>1.213949734</v>
      </c>
      <c r="AO406" s="21"/>
      <c r="AP406" s="24"/>
      <c r="AQ406" s="21"/>
      <c r="AS406" s="21"/>
      <c r="AT406" s="24"/>
      <c r="AU406" s="21"/>
      <c r="AX406" s="14">
        <f t="shared" si="22"/>
        <v>17991.66016</v>
      </c>
      <c r="AY406" s="14">
        <f t="shared" si="23"/>
        <v>54.24799919</v>
      </c>
      <c r="AZ406" s="14">
        <f t="shared" si="24"/>
        <v>17937.41216</v>
      </c>
      <c r="BA406" s="17"/>
    </row>
    <row r="407">
      <c r="A407" s="2" t="s">
        <v>264</v>
      </c>
      <c r="B407" s="2">
        <v>2020.0</v>
      </c>
      <c r="C407" s="2">
        <v>9537.641602</v>
      </c>
      <c r="D407" s="2">
        <v>27.50599861</v>
      </c>
      <c r="E407" s="2">
        <v>81.85241502</v>
      </c>
      <c r="F407" s="2">
        <v>2.568363935</v>
      </c>
      <c r="G407" s="2">
        <v>3.421857005</v>
      </c>
      <c r="H407" s="2">
        <v>12.15736404</v>
      </c>
      <c r="I407" s="2">
        <v>76.6435992</v>
      </c>
      <c r="J407" s="2">
        <v>3.207143928</v>
      </c>
      <c r="K407" s="2">
        <v>4.140706948</v>
      </c>
      <c r="L407" s="2">
        <v>16.00854992</v>
      </c>
      <c r="M407" s="2">
        <v>95.58062386</v>
      </c>
      <c r="N407" s="2">
        <v>0.8848144763</v>
      </c>
      <c r="O407" s="2">
        <v>1.527268323</v>
      </c>
      <c r="P407" s="2">
        <v>2.007293339</v>
      </c>
      <c r="Q407" s="13" t="str">
        <f t="shared" si="1"/>
        <v>Tajikistan|2020</v>
      </c>
      <c r="R407" s="14" t="str">
        <f t="shared" si="2"/>
        <v> </v>
      </c>
      <c r="T407" s="14" t="b">
        <f t="shared" si="3"/>
        <v>0</v>
      </c>
      <c r="U407" s="14" t="b">
        <f t="shared" si="29"/>
        <v>0</v>
      </c>
      <c r="V407" s="14" t="b">
        <f t="shared" si="4"/>
        <v>0</v>
      </c>
      <c r="W407" s="14">
        <f t="shared" si="5"/>
        <v>82</v>
      </c>
      <c r="X407" s="14">
        <f t="shared" si="6"/>
        <v>77</v>
      </c>
      <c r="Y407" s="14">
        <f t="shared" si="7"/>
        <v>96</v>
      </c>
      <c r="Z407" s="14" t="str">
        <f t="shared" si="8"/>
        <v/>
      </c>
      <c r="AA407" s="14" t="str">
        <f t="shared" si="9"/>
        <v/>
      </c>
      <c r="AB407" s="14" t="str">
        <f t="shared" si="10"/>
        <v/>
      </c>
      <c r="AC407" s="14">
        <f t="shared" si="11"/>
        <v>0</v>
      </c>
      <c r="AO407" s="21"/>
      <c r="AP407" s="24"/>
      <c r="AQ407" s="21"/>
      <c r="AS407" s="21"/>
      <c r="AT407" s="24"/>
      <c r="AU407" s="21"/>
      <c r="AX407" s="14" t="str">
        <f t="shared" si="22"/>
        <v>null</v>
      </c>
      <c r="AY407" s="14" t="str">
        <f t="shared" si="23"/>
        <v>null</v>
      </c>
      <c r="AZ407" s="14" t="str">
        <f t="shared" si="24"/>
        <v>null</v>
      </c>
      <c r="BA407" s="17"/>
    </row>
    <row r="408">
      <c r="A408" s="2" t="s">
        <v>265</v>
      </c>
      <c r="B408" s="2">
        <v>2015.0</v>
      </c>
      <c r="C408" s="2">
        <v>68714.51563</v>
      </c>
      <c r="D408" s="2">
        <v>47.69400406</v>
      </c>
      <c r="E408" s="2">
        <v>99.25917058</v>
      </c>
      <c r="F408" s="2">
        <v>0.2176525852</v>
      </c>
      <c r="G408" s="2">
        <v>0.1822513237</v>
      </c>
      <c r="H408" s="2">
        <v>0.3409255143</v>
      </c>
      <c r="I408" s="2">
        <v>98.87951671</v>
      </c>
      <c r="J408" s="2">
        <v>0.2456716052</v>
      </c>
      <c r="K408" s="2">
        <v>0.2230211905</v>
      </c>
      <c r="L408" s="2">
        <v>0.65179049</v>
      </c>
      <c r="M408" s="2">
        <v>99.67553684</v>
      </c>
      <c r="N408" s="2">
        <v>0.1869241354</v>
      </c>
      <c r="O408" s="2">
        <v>0.1375390245</v>
      </c>
      <c r="P408" s="2">
        <v>0.0</v>
      </c>
      <c r="Q408" s="13" t="str">
        <f t="shared" si="1"/>
        <v>Thailand|2015</v>
      </c>
      <c r="R408" s="14">
        <f t="shared" si="2"/>
        <v>5</v>
      </c>
      <c r="T408" s="14">
        <f t="shared" si="3"/>
        <v>0.148165884</v>
      </c>
      <c r="U408" s="14">
        <f t="shared" si="29"/>
        <v>0.224096658</v>
      </c>
      <c r="V408" s="14">
        <f t="shared" si="4"/>
        <v>0.064892632</v>
      </c>
      <c r="W408" s="14">
        <f t="shared" si="5"/>
        <v>99</v>
      </c>
      <c r="X408" s="14">
        <f t="shared" si="6"/>
        <v>99</v>
      </c>
      <c r="Y408" s="14">
        <f t="shared" si="7"/>
        <v>100</v>
      </c>
      <c r="Z408" s="14" t="str">
        <f t="shared" si="8"/>
        <v/>
      </c>
      <c r="AA408" s="14" t="str">
        <f t="shared" si="9"/>
        <v/>
      </c>
      <c r="AB408" s="14" t="str">
        <f t="shared" si="10"/>
        <v>Fully Accessible</v>
      </c>
      <c r="AC408" s="14">
        <f t="shared" si="11"/>
        <v>0.159204026</v>
      </c>
      <c r="AO408" s="21"/>
      <c r="AP408" s="24"/>
      <c r="AQ408" s="21"/>
      <c r="AS408" s="21"/>
      <c r="AT408" s="24"/>
      <c r="AU408" s="21"/>
      <c r="AX408" s="14">
        <f t="shared" si="22"/>
        <v>138514.4922</v>
      </c>
      <c r="AY408" s="14">
        <f t="shared" si="23"/>
        <v>99.12400437</v>
      </c>
      <c r="AZ408" s="14">
        <f t="shared" si="24"/>
        <v>138415.3682</v>
      </c>
      <c r="BA408" s="17"/>
    </row>
    <row r="409">
      <c r="A409" s="2" t="s">
        <v>265</v>
      </c>
      <c r="B409" s="2">
        <v>2020.0</v>
      </c>
      <c r="C409" s="2">
        <v>69799.97656</v>
      </c>
      <c r="D409" s="2">
        <v>51.43000031</v>
      </c>
      <c r="E409" s="2">
        <v>100.0</v>
      </c>
      <c r="F409" s="2">
        <v>0.0</v>
      </c>
      <c r="G409" s="2">
        <v>0.0</v>
      </c>
      <c r="H409" s="2">
        <v>0.0</v>
      </c>
      <c r="I409" s="2">
        <v>100.0</v>
      </c>
      <c r="J409" s="2">
        <v>0.0</v>
      </c>
      <c r="K409" s="2">
        <v>0.0</v>
      </c>
      <c r="L409" s="2">
        <v>0.0</v>
      </c>
      <c r="M409" s="2">
        <v>100.0</v>
      </c>
      <c r="N409" s="2">
        <v>0.0</v>
      </c>
      <c r="O409" s="2">
        <v>0.0</v>
      </c>
      <c r="P409" s="2">
        <v>0.0</v>
      </c>
      <c r="Q409" s="13" t="str">
        <f t="shared" si="1"/>
        <v>Thailand|2020</v>
      </c>
      <c r="R409" s="14" t="str">
        <f t="shared" si="2"/>
        <v> </v>
      </c>
      <c r="T409" s="14" t="b">
        <f t="shared" si="3"/>
        <v>0</v>
      </c>
      <c r="U409" s="14" t="b">
        <f t="shared" si="29"/>
        <v>0</v>
      </c>
      <c r="V409" s="14" t="b">
        <f t="shared" si="4"/>
        <v>0</v>
      </c>
      <c r="W409" s="14">
        <f t="shared" si="5"/>
        <v>100</v>
      </c>
      <c r="X409" s="14">
        <f t="shared" si="6"/>
        <v>100</v>
      </c>
      <c r="Y409" s="14">
        <f t="shared" si="7"/>
        <v>100</v>
      </c>
      <c r="Z409" s="14" t="str">
        <f t="shared" si="8"/>
        <v/>
      </c>
      <c r="AA409" s="14" t="str">
        <f t="shared" si="9"/>
        <v/>
      </c>
      <c r="AB409" s="14" t="str">
        <f t="shared" si="10"/>
        <v/>
      </c>
      <c r="AC409" s="14">
        <f t="shared" si="11"/>
        <v>0</v>
      </c>
      <c r="AO409" s="21"/>
      <c r="AP409" s="24"/>
      <c r="AQ409" s="21"/>
      <c r="AS409" s="21"/>
      <c r="AT409" s="24"/>
      <c r="AU409" s="21"/>
      <c r="AX409" s="14" t="str">
        <f t="shared" si="22"/>
        <v>null</v>
      </c>
      <c r="AY409" s="14" t="str">
        <f t="shared" si="23"/>
        <v>null</v>
      </c>
      <c r="AZ409" s="14" t="str">
        <f t="shared" si="24"/>
        <v>null</v>
      </c>
      <c r="BA409" s="8"/>
    </row>
    <row r="410">
      <c r="A410" s="2" t="s">
        <v>266</v>
      </c>
      <c r="B410" s="2">
        <v>2015.0</v>
      </c>
      <c r="C410" s="2">
        <v>1196.293945</v>
      </c>
      <c r="D410" s="2">
        <v>29.48999977</v>
      </c>
      <c r="E410" s="2">
        <v>75.25010371</v>
      </c>
      <c r="F410" s="2">
        <v>3.486316247</v>
      </c>
      <c r="G410" s="2">
        <v>16.46074672</v>
      </c>
      <c r="H410" s="2">
        <v>4.802833323</v>
      </c>
      <c r="I410" s="2">
        <v>68.95938975</v>
      </c>
      <c r="J410" s="2">
        <v>4.20850771</v>
      </c>
      <c r="K410" s="2">
        <v>20.19524109</v>
      </c>
      <c r="L410" s="2">
        <v>6.63686145</v>
      </c>
      <c r="M410" s="2">
        <v>90.29108123</v>
      </c>
      <c r="N410" s="2">
        <v>1.759571234</v>
      </c>
      <c r="O410" s="2">
        <v>7.5316383</v>
      </c>
      <c r="P410" s="2">
        <v>0.4177092401</v>
      </c>
      <c r="Q410" s="13" t="str">
        <f t="shared" si="1"/>
        <v>Timor-Leste|2015</v>
      </c>
      <c r="R410" s="14">
        <f t="shared" si="2"/>
        <v>5</v>
      </c>
      <c r="T410" s="14">
        <f t="shared" si="3"/>
        <v>2.049099498</v>
      </c>
      <c r="U410" s="14">
        <f t="shared" si="29"/>
        <v>2.305681174</v>
      </c>
      <c r="V410" s="14">
        <f t="shared" si="4"/>
        <v>1.237175338</v>
      </c>
      <c r="W410" s="14">
        <f t="shared" si="5"/>
        <v>75</v>
      </c>
      <c r="X410" s="14">
        <f t="shared" si="6"/>
        <v>69</v>
      </c>
      <c r="Y410" s="14">
        <f t="shared" si="7"/>
        <v>90</v>
      </c>
      <c r="Z410" s="14" t="str">
        <f t="shared" si="8"/>
        <v/>
      </c>
      <c r="AA410" s="14" t="str">
        <f t="shared" si="9"/>
        <v/>
      </c>
      <c r="AB410" s="14" t="str">
        <f t="shared" si="10"/>
        <v>Fully Accessible</v>
      </c>
      <c r="AC410" s="14">
        <f t="shared" si="11"/>
        <v>1.068505836</v>
      </c>
      <c r="AO410" s="21"/>
      <c r="AP410" s="24"/>
      <c r="AQ410" s="21"/>
      <c r="AS410" s="21"/>
      <c r="AT410" s="24"/>
      <c r="AU410" s="21"/>
      <c r="AX410" s="14">
        <f t="shared" si="22"/>
        <v>2514.735962</v>
      </c>
      <c r="AY410" s="14">
        <f t="shared" si="23"/>
        <v>60.80999946</v>
      </c>
      <c r="AZ410" s="14">
        <f t="shared" si="24"/>
        <v>2453.925963</v>
      </c>
      <c r="BA410" s="27"/>
    </row>
    <row r="411">
      <c r="A411" s="2" t="s">
        <v>266</v>
      </c>
      <c r="B411" s="2">
        <v>2020.0</v>
      </c>
      <c r="C411" s="2">
        <v>1318.442017</v>
      </c>
      <c r="D411" s="2">
        <v>31.31999969</v>
      </c>
      <c r="E411" s="2">
        <v>85.4956012</v>
      </c>
      <c r="F411" s="2">
        <v>1.88586597</v>
      </c>
      <c r="G411" s="2">
        <v>8.360029397</v>
      </c>
      <c r="H411" s="2">
        <v>4.258503433</v>
      </c>
      <c r="I411" s="2">
        <v>80.48779562</v>
      </c>
      <c r="J411" s="2">
        <v>2.049364675</v>
      </c>
      <c r="K411" s="2">
        <v>11.26233968</v>
      </c>
      <c r="L411" s="2">
        <v>6.200500018</v>
      </c>
      <c r="M411" s="2">
        <v>96.47695792</v>
      </c>
      <c r="N411" s="2">
        <v>1.527338152</v>
      </c>
      <c r="O411" s="2">
        <v>1.995703929</v>
      </c>
      <c r="P411" s="2">
        <v>0.0</v>
      </c>
      <c r="Q411" s="13" t="str">
        <f t="shared" si="1"/>
        <v>Timor-Leste|2020</v>
      </c>
      <c r="R411" s="14" t="str">
        <f t="shared" si="2"/>
        <v> </v>
      </c>
      <c r="T411" s="14" t="b">
        <f t="shared" si="3"/>
        <v>0</v>
      </c>
      <c r="U411" s="14" t="b">
        <f t="shared" si="29"/>
        <v>0</v>
      </c>
      <c r="V411" s="14" t="b">
        <f t="shared" si="4"/>
        <v>0</v>
      </c>
      <c r="W411" s="14">
        <f t="shared" si="5"/>
        <v>85</v>
      </c>
      <c r="X411" s="14">
        <f t="shared" si="6"/>
        <v>80</v>
      </c>
      <c r="Y411" s="14">
        <f t="shared" si="7"/>
        <v>96</v>
      </c>
      <c r="Z411" s="14" t="str">
        <f t="shared" si="8"/>
        <v/>
      </c>
      <c r="AA411" s="14" t="str">
        <f t="shared" si="9"/>
        <v/>
      </c>
      <c r="AB411" s="14" t="str">
        <f t="shared" si="10"/>
        <v/>
      </c>
      <c r="AC411" s="14">
        <f t="shared" si="11"/>
        <v>0</v>
      </c>
      <c r="AO411" s="21"/>
      <c r="AP411" s="24"/>
      <c r="AQ411" s="21"/>
      <c r="AS411" s="21"/>
      <c r="AT411" s="24"/>
      <c r="AU411" s="21"/>
      <c r="AX411" s="14" t="str">
        <f t="shared" si="22"/>
        <v>null</v>
      </c>
      <c r="AY411" s="14" t="str">
        <f t="shared" si="23"/>
        <v>null</v>
      </c>
      <c r="AZ411" s="14" t="str">
        <f t="shared" si="24"/>
        <v>null</v>
      </c>
      <c r="BA411" s="17"/>
    </row>
    <row r="412">
      <c r="A412" s="2" t="s">
        <v>267</v>
      </c>
      <c r="B412" s="2">
        <v>2015.0</v>
      </c>
      <c r="C412" s="2">
        <v>7323.162109</v>
      </c>
      <c r="D412" s="2">
        <v>40.09999847</v>
      </c>
      <c r="E412" s="2">
        <v>63.63712635</v>
      </c>
      <c r="F412" s="2">
        <v>5.665767965</v>
      </c>
      <c r="G412" s="2">
        <v>17.17891539</v>
      </c>
      <c r="H412" s="2">
        <v>13.51819029</v>
      </c>
      <c r="I412" s="2">
        <v>47.24218328</v>
      </c>
      <c r="J412" s="2">
        <v>7.334652284</v>
      </c>
      <c r="K412" s="2">
        <v>23.47003618</v>
      </c>
      <c r="L412" s="2">
        <v>21.95312825</v>
      </c>
      <c r="M412" s="2">
        <v>88.1273297</v>
      </c>
      <c r="N412" s="2">
        <v>3.172845838</v>
      </c>
      <c r="O412" s="2">
        <v>7.781455041</v>
      </c>
      <c r="P412" s="2">
        <v>0.9183694177</v>
      </c>
      <c r="Q412" s="13" t="str">
        <f t="shared" si="1"/>
        <v>Togo|2015</v>
      </c>
      <c r="R412" s="14">
        <f t="shared" si="2"/>
        <v>5</v>
      </c>
      <c r="T412" s="14">
        <f t="shared" si="3"/>
        <v>0.989318748</v>
      </c>
      <c r="U412" s="14">
        <f t="shared" si="29"/>
        <v>0.975073894</v>
      </c>
      <c r="V412" s="14">
        <f t="shared" si="4"/>
        <v>0.492516062</v>
      </c>
      <c r="W412" s="14">
        <f t="shared" si="5"/>
        <v>64</v>
      </c>
      <c r="X412" s="14">
        <f t="shared" si="6"/>
        <v>47</v>
      </c>
      <c r="Y412" s="14">
        <f t="shared" si="7"/>
        <v>88</v>
      </c>
      <c r="Z412" s="14" t="str">
        <f t="shared" si="8"/>
        <v/>
      </c>
      <c r="AA412" s="14" t="str">
        <f t="shared" si="9"/>
        <v/>
      </c>
      <c r="AB412" s="14" t="str">
        <f t="shared" si="10"/>
        <v>Fully Accessible</v>
      </c>
      <c r="AC412" s="14">
        <f t="shared" si="11"/>
        <v>0.482557832</v>
      </c>
      <c r="AO412" s="21"/>
      <c r="AP412" s="24"/>
      <c r="AQ412" s="21"/>
      <c r="AS412" s="21"/>
      <c r="AT412" s="24"/>
      <c r="AU412" s="21"/>
      <c r="AX412" s="14">
        <f t="shared" si="22"/>
        <v>15601.89941</v>
      </c>
      <c r="AY412" s="14">
        <f t="shared" si="23"/>
        <v>82.89999771</v>
      </c>
      <c r="AZ412" s="14">
        <f t="shared" si="24"/>
        <v>15518.99942</v>
      </c>
      <c r="BA412" s="27"/>
    </row>
    <row r="413">
      <c r="A413" s="2" t="s">
        <v>267</v>
      </c>
      <c r="B413" s="2">
        <v>2020.0</v>
      </c>
      <c r="C413" s="2">
        <v>8278.737305</v>
      </c>
      <c r="D413" s="2">
        <v>42.79999924</v>
      </c>
      <c r="E413" s="2">
        <v>68.58372009</v>
      </c>
      <c r="F413" s="2">
        <v>6.065434765</v>
      </c>
      <c r="G413" s="2">
        <v>14.16432245</v>
      </c>
      <c r="H413" s="2">
        <v>11.18652269</v>
      </c>
      <c r="I413" s="2">
        <v>52.11755275</v>
      </c>
      <c r="J413" s="2">
        <v>8.187542019</v>
      </c>
      <c r="K413" s="2">
        <v>20.7910842</v>
      </c>
      <c r="L413" s="2">
        <v>18.90382103</v>
      </c>
      <c r="M413" s="2">
        <v>90.58991001</v>
      </c>
      <c r="N413" s="2">
        <v>3.229348056</v>
      </c>
      <c r="O413" s="2">
        <v>5.307990528</v>
      </c>
      <c r="P413" s="2">
        <v>0.8727514049</v>
      </c>
      <c r="Q413" s="13" t="str">
        <f t="shared" si="1"/>
        <v>Togo|2020</v>
      </c>
      <c r="R413" s="14" t="str">
        <f t="shared" si="2"/>
        <v> </v>
      </c>
      <c r="T413" s="14" t="b">
        <f t="shared" si="3"/>
        <v>0</v>
      </c>
      <c r="U413" s="14" t="b">
        <f t="shared" si="29"/>
        <v>0</v>
      </c>
      <c r="V413" s="14" t="b">
        <f t="shared" si="4"/>
        <v>0</v>
      </c>
      <c r="W413" s="14">
        <f t="shared" si="5"/>
        <v>69</v>
      </c>
      <c r="X413" s="14">
        <f t="shared" si="6"/>
        <v>52</v>
      </c>
      <c r="Y413" s="14">
        <f t="shared" si="7"/>
        <v>91</v>
      </c>
      <c r="Z413" s="14" t="str">
        <f t="shared" si="8"/>
        <v/>
      </c>
      <c r="AA413" s="14" t="str">
        <f t="shared" si="9"/>
        <v/>
      </c>
      <c r="AB413" s="14" t="str">
        <f t="shared" si="10"/>
        <v/>
      </c>
      <c r="AC413" s="14">
        <f t="shared" si="11"/>
        <v>0</v>
      </c>
      <c r="AO413" s="21"/>
      <c r="AP413" s="24"/>
      <c r="AQ413" s="21"/>
      <c r="AS413" s="21"/>
      <c r="AT413" s="24"/>
      <c r="AU413" s="21"/>
      <c r="AX413" s="14" t="str">
        <f t="shared" si="22"/>
        <v>null</v>
      </c>
      <c r="AY413" s="14" t="str">
        <f t="shared" si="23"/>
        <v>null</v>
      </c>
      <c r="AZ413" s="14" t="str">
        <f t="shared" si="24"/>
        <v>null</v>
      </c>
      <c r="BA413" s="27"/>
    </row>
    <row r="414">
      <c r="A414" s="2" t="s">
        <v>268</v>
      </c>
      <c r="B414" s="2">
        <v>2015.0</v>
      </c>
      <c r="C414" s="2">
        <v>1.246999979</v>
      </c>
      <c r="D414" s="2">
        <v>0.0</v>
      </c>
      <c r="E414" s="2">
        <v>99.457396</v>
      </c>
      <c r="F414" s="2">
        <v>0.0</v>
      </c>
      <c r="G414" s="2">
        <v>0.542604</v>
      </c>
      <c r="H414" s="2">
        <v>0.0</v>
      </c>
      <c r="I414" s="2">
        <v>99.457396</v>
      </c>
      <c r="J414" s="2">
        <v>0.0</v>
      </c>
      <c r="K414" s="2">
        <v>0.542604</v>
      </c>
      <c r="L414" s="2">
        <v>0.0</v>
      </c>
      <c r="M414" s="2" t="s">
        <v>64</v>
      </c>
      <c r="N414" s="2" t="s">
        <v>64</v>
      </c>
      <c r="O414" s="2" t="s">
        <v>64</v>
      </c>
      <c r="P414" s="2" t="s">
        <v>64</v>
      </c>
      <c r="Q414" s="13" t="str">
        <f t="shared" si="1"/>
        <v>Tokelau|2015</v>
      </c>
      <c r="R414" s="14">
        <f t="shared" si="2"/>
        <v>5</v>
      </c>
      <c r="T414" s="14">
        <f t="shared" si="3"/>
        <v>0.05005613</v>
      </c>
      <c r="U414" s="14">
        <f t="shared" si="29"/>
        <v>0.05005613</v>
      </c>
      <c r="V414" s="14" t="str">
        <f t="shared" si="4"/>
        <v>null</v>
      </c>
      <c r="W414" s="14">
        <f t="shared" si="5"/>
        <v>99</v>
      </c>
      <c r="X414" s="14">
        <f t="shared" si="6"/>
        <v>99</v>
      </c>
      <c r="Y414" s="14" t="b">
        <f t="shared" si="7"/>
        <v>0</v>
      </c>
      <c r="Z414" s="14" t="str">
        <f t="shared" si="8"/>
        <v/>
      </c>
      <c r="AA414" s="14" t="str">
        <f t="shared" si="9"/>
        <v/>
      </c>
      <c r="AB414" s="14" t="str">
        <f t="shared" si="10"/>
        <v>Fully Accessible</v>
      </c>
      <c r="AC414" s="14" t="b">
        <f t="shared" si="11"/>
        <v>0</v>
      </c>
      <c r="AO414" s="21"/>
      <c r="AP414" s="24"/>
      <c r="AQ414" s="21"/>
      <c r="AS414" s="21"/>
      <c r="AT414" s="24"/>
      <c r="AU414" s="21"/>
      <c r="AX414" s="14">
        <f t="shared" si="22"/>
        <v>2.597000003</v>
      </c>
      <c r="AY414" s="14">
        <f t="shared" si="23"/>
        <v>0</v>
      </c>
      <c r="AZ414" s="14">
        <f t="shared" si="24"/>
        <v>2.597000003</v>
      </c>
      <c r="BA414" s="17"/>
    </row>
    <row r="415">
      <c r="A415" s="2" t="s">
        <v>268</v>
      </c>
      <c r="B415" s="2">
        <v>2020.0</v>
      </c>
      <c r="C415" s="2">
        <v>1.350000024</v>
      </c>
      <c r="D415" s="2">
        <v>0.0</v>
      </c>
      <c r="E415" s="2">
        <v>99.70767665</v>
      </c>
      <c r="F415" s="2">
        <v>0.0</v>
      </c>
      <c r="G415" s="2">
        <v>0.2923233459</v>
      </c>
      <c r="H415" s="2">
        <v>0.0</v>
      </c>
      <c r="I415" s="2">
        <v>99.70767665</v>
      </c>
      <c r="J415" s="2">
        <v>0.0</v>
      </c>
      <c r="K415" s="2">
        <v>0.2923233459</v>
      </c>
      <c r="L415" s="2">
        <v>0.0</v>
      </c>
      <c r="M415" s="2" t="s">
        <v>64</v>
      </c>
      <c r="N415" s="2" t="s">
        <v>64</v>
      </c>
      <c r="O415" s="2" t="s">
        <v>64</v>
      </c>
      <c r="P415" s="2" t="s">
        <v>64</v>
      </c>
      <c r="Q415" s="13" t="str">
        <f t="shared" si="1"/>
        <v>Tokelau|2020</v>
      </c>
      <c r="R415" s="14" t="str">
        <f t="shared" si="2"/>
        <v> </v>
      </c>
      <c r="T415" s="14" t="b">
        <f t="shared" si="3"/>
        <v>0</v>
      </c>
      <c r="U415" s="14" t="b">
        <f t="shared" si="29"/>
        <v>0</v>
      </c>
      <c r="V415" s="14" t="b">
        <f t="shared" si="4"/>
        <v>0</v>
      </c>
      <c r="W415" s="14">
        <f t="shared" si="5"/>
        <v>100</v>
      </c>
      <c r="X415" s="14">
        <f t="shared" si="6"/>
        <v>100</v>
      </c>
      <c r="Y415" s="14" t="b">
        <f t="shared" si="7"/>
        <v>0</v>
      </c>
      <c r="Z415" s="14" t="str">
        <f t="shared" si="8"/>
        <v/>
      </c>
      <c r="AA415" s="14" t="str">
        <f t="shared" si="9"/>
        <v/>
      </c>
      <c r="AB415" s="14" t="str">
        <f t="shared" si="10"/>
        <v/>
      </c>
      <c r="AC415" s="14">
        <f t="shared" si="11"/>
        <v>0</v>
      </c>
      <c r="AO415" s="21"/>
      <c r="AP415" s="24"/>
      <c r="AQ415" s="21"/>
      <c r="AS415" s="21"/>
      <c r="AT415" s="24"/>
      <c r="AU415" s="21"/>
      <c r="AX415" s="14" t="str">
        <f t="shared" si="22"/>
        <v>null</v>
      </c>
      <c r="AY415" s="14" t="str">
        <f t="shared" si="23"/>
        <v>null</v>
      </c>
      <c r="AZ415" s="14" t="str">
        <f t="shared" si="24"/>
        <v>null</v>
      </c>
      <c r="BA415" s="17"/>
    </row>
    <row r="416">
      <c r="A416" s="2" t="s">
        <v>269</v>
      </c>
      <c r="B416" s="2">
        <v>2015.0</v>
      </c>
      <c r="C416" s="2">
        <v>100.7799988</v>
      </c>
      <c r="D416" s="2">
        <v>23.27499962</v>
      </c>
      <c r="E416" s="2">
        <v>98.54970535</v>
      </c>
      <c r="F416" s="2">
        <v>0.8789821223</v>
      </c>
      <c r="G416" s="2">
        <v>0.5713125286</v>
      </c>
      <c r="H416" s="2">
        <v>0.0</v>
      </c>
      <c r="I416" s="2">
        <v>98.39304823</v>
      </c>
      <c r="J416" s="2">
        <v>1.102319124</v>
      </c>
      <c r="K416" s="2">
        <v>0.5046326475</v>
      </c>
      <c r="L416" s="2">
        <v>0.0</v>
      </c>
      <c r="M416" s="2">
        <v>99.06611056</v>
      </c>
      <c r="N416" s="2">
        <v>0.142761567</v>
      </c>
      <c r="O416" s="2">
        <v>0.7911278728</v>
      </c>
      <c r="P416" s="2">
        <v>0.0</v>
      </c>
      <c r="Q416" s="13" t="str">
        <f t="shared" si="1"/>
        <v>Tonga|2015</v>
      </c>
      <c r="R416" s="14">
        <f t="shared" si="2"/>
        <v>5</v>
      </c>
      <c r="T416" s="14">
        <f t="shared" si="3"/>
        <v>0.036275096</v>
      </c>
      <c r="U416" s="14">
        <f t="shared" si="29"/>
        <v>0.015006062</v>
      </c>
      <c r="V416" s="14">
        <f t="shared" si="4"/>
        <v>0.108109526</v>
      </c>
      <c r="W416" s="14">
        <f t="shared" si="5"/>
        <v>99</v>
      </c>
      <c r="X416" s="14">
        <f t="shared" si="6"/>
        <v>98</v>
      </c>
      <c r="Y416" s="14">
        <f t="shared" si="7"/>
        <v>99</v>
      </c>
      <c r="Z416" s="14" t="str">
        <f t="shared" si="8"/>
        <v/>
      </c>
      <c r="AA416" s="14" t="str">
        <f t="shared" si="9"/>
        <v/>
      </c>
      <c r="AB416" s="14" t="str">
        <f t="shared" si="10"/>
        <v>Fully Accessible</v>
      </c>
      <c r="AC416" s="14">
        <f t="shared" si="11"/>
        <v>-0.093103464</v>
      </c>
      <c r="AO416" s="21"/>
      <c r="AP416" s="24"/>
      <c r="AQ416" s="21"/>
      <c r="AS416" s="21"/>
      <c r="AT416" s="24"/>
      <c r="AU416" s="21"/>
      <c r="AX416" s="14">
        <f t="shared" si="22"/>
        <v>206.4769974</v>
      </c>
      <c r="AY416" s="14">
        <f t="shared" si="23"/>
        <v>46.37399864</v>
      </c>
      <c r="AZ416" s="14">
        <f t="shared" si="24"/>
        <v>160.1029988</v>
      </c>
      <c r="BA416" s="17"/>
    </row>
    <row r="417">
      <c r="A417" s="2" t="s">
        <v>269</v>
      </c>
      <c r="B417" s="2">
        <v>2020.0</v>
      </c>
      <c r="C417" s="2">
        <v>105.6969986</v>
      </c>
      <c r="D417" s="2">
        <v>23.09899902</v>
      </c>
      <c r="E417" s="2">
        <v>98.73108083</v>
      </c>
      <c r="F417" s="2">
        <v>0.8814972962</v>
      </c>
      <c r="G417" s="2">
        <v>0.3874218777</v>
      </c>
      <c r="H417" s="2">
        <v>0.0</v>
      </c>
      <c r="I417" s="2">
        <v>98.46807854</v>
      </c>
      <c r="J417" s="2">
        <v>1.103159706</v>
      </c>
      <c r="K417" s="2">
        <v>0.4287617551</v>
      </c>
      <c r="L417" s="2">
        <v>0.0</v>
      </c>
      <c r="M417" s="2">
        <v>99.60665819</v>
      </c>
      <c r="N417" s="2">
        <v>0.143540536</v>
      </c>
      <c r="O417" s="2">
        <v>0.2498012758</v>
      </c>
      <c r="P417" s="2">
        <v>0.0</v>
      </c>
      <c r="Q417" s="13" t="str">
        <f t="shared" si="1"/>
        <v>Tonga|2020</v>
      </c>
      <c r="R417" s="14" t="str">
        <f t="shared" si="2"/>
        <v> </v>
      </c>
      <c r="T417" s="14" t="b">
        <f t="shared" si="3"/>
        <v>0</v>
      </c>
      <c r="U417" s="14" t="b">
        <f t="shared" si="29"/>
        <v>0</v>
      </c>
      <c r="V417" s="14" t="b">
        <f t="shared" si="4"/>
        <v>0</v>
      </c>
      <c r="W417" s="14">
        <f t="shared" si="5"/>
        <v>99</v>
      </c>
      <c r="X417" s="14">
        <f t="shared" si="6"/>
        <v>98</v>
      </c>
      <c r="Y417" s="14">
        <f t="shared" si="7"/>
        <v>100</v>
      </c>
      <c r="Z417" s="14" t="str">
        <f t="shared" si="8"/>
        <v/>
      </c>
      <c r="AA417" s="14" t="str">
        <f t="shared" si="9"/>
        <v/>
      </c>
      <c r="AB417" s="14" t="str">
        <f t="shared" si="10"/>
        <v/>
      </c>
      <c r="AC417" s="14">
        <f t="shared" si="11"/>
        <v>0</v>
      </c>
      <c r="AO417" s="21"/>
      <c r="AP417" s="24"/>
      <c r="AQ417" s="21"/>
      <c r="AS417" s="21"/>
      <c r="AT417" s="24"/>
      <c r="AU417" s="21"/>
      <c r="AX417" s="14" t="str">
        <f t="shared" si="22"/>
        <v>null</v>
      </c>
      <c r="AY417" s="14" t="str">
        <f t="shared" si="23"/>
        <v>null</v>
      </c>
      <c r="AZ417" s="14" t="str">
        <f t="shared" si="24"/>
        <v>null</v>
      </c>
      <c r="BA417" s="8"/>
    </row>
    <row r="418">
      <c r="A418" s="2" t="s">
        <v>270</v>
      </c>
      <c r="B418" s="2">
        <v>2015.0</v>
      </c>
      <c r="C418" s="2">
        <v>1370.332031</v>
      </c>
      <c r="D418" s="2">
        <v>53.31900024</v>
      </c>
      <c r="E418" s="2">
        <v>98.13617765</v>
      </c>
      <c r="F418" s="2">
        <v>1.116422256</v>
      </c>
      <c r="G418" s="2">
        <v>0.5692819234</v>
      </c>
      <c r="H418" s="2">
        <v>0.1781181726</v>
      </c>
      <c r="I418" s="2" t="s">
        <v>64</v>
      </c>
      <c r="J418" s="2" t="s">
        <v>64</v>
      </c>
      <c r="K418" s="2" t="s">
        <v>64</v>
      </c>
      <c r="L418" s="2" t="s">
        <v>64</v>
      </c>
      <c r="M418" s="2" t="s">
        <v>64</v>
      </c>
      <c r="N418" s="2" t="s">
        <v>64</v>
      </c>
      <c r="O418" s="2" t="s">
        <v>64</v>
      </c>
      <c r="P418" s="2" t="s">
        <v>64</v>
      </c>
      <c r="Q418" s="13" t="str">
        <f t="shared" si="1"/>
        <v>Trinidad and Tobago|2015</v>
      </c>
      <c r="R418" s="14">
        <f t="shared" si="2"/>
        <v>5</v>
      </c>
      <c r="T418" s="14">
        <f t="shared" si="3"/>
        <v>0.147798624</v>
      </c>
      <c r="U418" s="14" t="str">
        <f t="shared" si="29"/>
        <v>null</v>
      </c>
      <c r="V418" s="14" t="str">
        <f t="shared" si="4"/>
        <v>null</v>
      </c>
      <c r="W418" s="14">
        <f t="shared" si="5"/>
        <v>98</v>
      </c>
      <c r="X418" s="14" t="b">
        <f t="shared" si="6"/>
        <v>0</v>
      </c>
      <c r="Y418" s="14" t="b">
        <f t="shared" si="7"/>
        <v>0</v>
      </c>
      <c r="Z418" s="14" t="str">
        <f t="shared" si="8"/>
        <v/>
      </c>
      <c r="AA418" s="14" t="str">
        <f t="shared" si="9"/>
        <v>Fully Accessible</v>
      </c>
      <c r="AB418" s="14" t="str">
        <f t="shared" si="10"/>
        <v>Fully Accessible</v>
      </c>
      <c r="AC418" s="14" t="b">
        <f t="shared" si="11"/>
        <v>0</v>
      </c>
      <c r="AO418" s="21"/>
      <c r="AP418" s="24"/>
      <c r="AQ418" s="21"/>
      <c r="AS418" s="21"/>
      <c r="AT418" s="24"/>
      <c r="AU418" s="21"/>
      <c r="AX418" s="14">
        <f t="shared" si="22"/>
        <v>2769.822998</v>
      </c>
      <c r="AY418" s="14">
        <f t="shared" si="23"/>
        <v>106.5330009</v>
      </c>
      <c r="AZ418" s="14">
        <f t="shared" si="24"/>
        <v>2663.289997</v>
      </c>
      <c r="BA418" s="27"/>
    </row>
    <row r="419">
      <c r="A419" s="2" t="s">
        <v>270</v>
      </c>
      <c r="B419" s="2">
        <v>2020.0</v>
      </c>
      <c r="C419" s="2">
        <v>1399.490967</v>
      </c>
      <c r="D419" s="2">
        <v>53.2140007</v>
      </c>
      <c r="E419" s="2">
        <v>98.87517077</v>
      </c>
      <c r="F419" s="2">
        <v>1.124829231</v>
      </c>
      <c r="G419" s="2">
        <v>0.0</v>
      </c>
      <c r="H419" s="2">
        <v>0.0</v>
      </c>
      <c r="I419" s="2" t="s">
        <v>64</v>
      </c>
      <c r="J419" s="2" t="s">
        <v>64</v>
      </c>
      <c r="K419" s="2" t="s">
        <v>64</v>
      </c>
      <c r="L419" s="2" t="s">
        <v>64</v>
      </c>
      <c r="M419" s="2" t="s">
        <v>64</v>
      </c>
      <c r="N419" s="2" t="s">
        <v>64</v>
      </c>
      <c r="O419" s="2" t="s">
        <v>64</v>
      </c>
      <c r="P419" s="2" t="s">
        <v>64</v>
      </c>
      <c r="Q419" s="13" t="str">
        <f t="shared" si="1"/>
        <v>Trinidad and Tobago|2020</v>
      </c>
      <c r="R419" s="14" t="str">
        <f t="shared" si="2"/>
        <v> </v>
      </c>
      <c r="T419" s="14" t="b">
        <f t="shared" si="3"/>
        <v>0</v>
      </c>
      <c r="U419" s="14" t="b">
        <f t="shared" si="29"/>
        <v>0</v>
      </c>
      <c r="V419" s="14" t="b">
        <f t="shared" si="4"/>
        <v>0</v>
      </c>
      <c r="W419" s="14">
        <f t="shared" si="5"/>
        <v>99</v>
      </c>
      <c r="X419" s="14" t="b">
        <f t="shared" si="6"/>
        <v>0</v>
      </c>
      <c r="Y419" s="14" t="b">
        <f t="shared" si="7"/>
        <v>0</v>
      </c>
      <c r="Z419" s="14" t="str">
        <f t="shared" si="8"/>
        <v/>
      </c>
      <c r="AA419" s="14" t="str">
        <f t="shared" si="9"/>
        <v/>
      </c>
      <c r="AB419" s="14" t="str">
        <f t="shared" si="10"/>
        <v/>
      </c>
      <c r="AC419" s="14">
        <f t="shared" si="11"/>
        <v>0</v>
      </c>
      <c r="AO419" s="21"/>
      <c r="AP419" s="24"/>
      <c r="AQ419" s="21"/>
      <c r="AS419" s="21"/>
      <c r="AT419" s="24"/>
      <c r="AU419" s="21"/>
      <c r="AX419" s="14" t="str">
        <f t="shared" si="22"/>
        <v>null</v>
      </c>
      <c r="AY419" s="14" t="str">
        <f t="shared" si="23"/>
        <v>null</v>
      </c>
      <c r="AZ419" s="14" t="str">
        <f t="shared" si="24"/>
        <v>null</v>
      </c>
      <c r="BA419" s="17"/>
    </row>
    <row r="420">
      <c r="A420" s="2" t="s">
        <v>271</v>
      </c>
      <c r="B420" s="2">
        <v>2015.0</v>
      </c>
      <c r="C420" s="2">
        <v>11179.95117</v>
      </c>
      <c r="D420" s="2">
        <v>68.05599976</v>
      </c>
      <c r="E420" s="2">
        <v>94.8454551</v>
      </c>
      <c r="F420" s="2">
        <v>2.900100393</v>
      </c>
      <c r="G420" s="2">
        <v>2.179103077</v>
      </c>
      <c r="H420" s="2">
        <v>0.07534142511</v>
      </c>
      <c r="I420" s="2">
        <v>85.59067297</v>
      </c>
      <c r="J420" s="2">
        <v>7.6364837</v>
      </c>
      <c r="K420" s="2">
        <v>6.53698864</v>
      </c>
      <c r="L420" s="2">
        <v>0.2358546907</v>
      </c>
      <c r="M420" s="2">
        <v>99.18944794</v>
      </c>
      <c r="N420" s="2">
        <v>0.6769453984</v>
      </c>
      <c r="O420" s="2">
        <v>0.1336066664</v>
      </c>
      <c r="P420" s="2">
        <v>0.0</v>
      </c>
      <c r="Q420" s="13" t="str">
        <f t="shared" si="1"/>
        <v>Tunisia|2015</v>
      </c>
      <c r="R420" s="14">
        <f t="shared" si="2"/>
        <v>5</v>
      </c>
      <c r="T420" s="14">
        <f t="shared" si="3"/>
        <v>0.539570778</v>
      </c>
      <c r="U420" s="14">
        <f t="shared" si="29"/>
        <v>1.669111792</v>
      </c>
      <c r="V420" s="14">
        <f t="shared" si="4"/>
        <v>-0.013650062</v>
      </c>
      <c r="W420" s="14">
        <f t="shared" si="5"/>
        <v>95</v>
      </c>
      <c r="X420" s="14">
        <f t="shared" si="6"/>
        <v>86</v>
      </c>
      <c r="Y420" s="14">
        <f t="shared" si="7"/>
        <v>99</v>
      </c>
      <c r="Z420" s="14" t="str">
        <f t="shared" si="8"/>
        <v/>
      </c>
      <c r="AA420" s="14" t="str">
        <f t="shared" si="9"/>
        <v/>
      </c>
      <c r="AB420" s="14" t="str">
        <f t="shared" si="10"/>
        <v>Fully Accessible</v>
      </c>
      <c r="AC420" s="14">
        <f t="shared" si="11"/>
        <v>1.682761854</v>
      </c>
      <c r="AO420" s="21"/>
      <c r="AP420" s="24"/>
      <c r="AQ420" s="21"/>
      <c r="AS420" s="21"/>
      <c r="AT420" s="24"/>
      <c r="AU420" s="21"/>
      <c r="AX420" s="14">
        <f t="shared" si="22"/>
        <v>22998.56933</v>
      </c>
      <c r="AY420" s="14">
        <f t="shared" si="23"/>
        <v>137.6240006</v>
      </c>
      <c r="AZ420" s="14">
        <f t="shared" si="24"/>
        <v>22860.94533</v>
      </c>
      <c r="BA420" s="27"/>
    </row>
    <row r="421">
      <c r="A421" s="2" t="s">
        <v>271</v>
      </c>
      <c r="B421" s="2">
        <v>2020.0</v>
      </c>
      <c r="C421" s="2">
        <v>11818.61816</v>
      </c>
      <c r="D421" s="2">
        <v>69.56800079</v>
      </c>
      <c r="E421" s="2">
        <v>97.54330899</v>
      </c>
      <c r="F421" s="2">
        <v>1.63135067</v>
      </c>
      <c r="G421" s="2">
        <v>0.8253403378</v>
      </c>
      <c r="H421" s="2">
        <v>0.0</v>
      </c>
      <c r="I421" s="2">
        <v>93.93623193</v>
      </c>
      <c r="J421" s="2">
        <v>3.351687357</v>
      </c>
      <c r="K421" s="2">
        <v>2.71208071</v>
      </c>
      <c r="L421" s="2">
        <v>0.0</v>
      </c>
      <c r="M421" s="2">
        <v>99.12119763</v>
      </c>
      <c r="N421" s="2">
        <v>0.8788023684</v>
      </c>
      <c r="O421" s="2">
        <v>0.0</v>
      </c>
      <c r="P421" s="2">
        <v>0.0</v>
      </c>
      <c r="Q421" s="13" t="str">
        <f t="shared" si="1"/>
        <v>Tunisia|2020</v>
      </c>
      <c r="R421" s="14" t="str">
        <f t="shared" si="2"/>
        <v> </v>
      </c>
      <c r="T421" s="14" t="b">
        <f t="shared" si="3"/>
        <v>0</v>
      </c>
      <c r="U421" s="14" t="b">
        <f t="shared" si="29"/>
        <v>0</v>
      </c>
      <c r="V421" s="14" t="b">
        <f t="shared" si="4"/>
        <v>0</v>
      </c>
      <c r="W421" s="14">
        <f t="shared" si="5"/>
        <v>98</v>
      </c>
      <c r="X421" s="14">
        <f t="shared" si="6"/>
        <v>94</v>
      </c>
      <c r="Y421" s="14">
        <f t="shared" si="7"/>
        <v>99</v>
      </c>
      <c r="Z421" s="14" t="str">
        <f t="shared" si="8"/>
        <v/>
      </c>
      <c r="AA421" s="14" t="str">
        <f t="shared" si="9"/>
        <v/>
      </c>
      <c r="AB421" s="14" t="str">
        <f t="shared" si="10"/>
        <v/>
      </c>
      <c r="AC421" s="14">
        <f t="shared" si="11"/>
        <v>0</v>
      </c>
      <c r="AO421" s="21"/>
      <c r="AP421" s="24"/>
      <c r="AQ421" s="21"/>
      <c r="AS421" s="21"/>
      <c r="AT421" s="24"/>
      <c r="AU421" s="21"/>
      <c r="AX421" s="14" t="str">
        <f t="shared" si="22"/>
        <v>null</v>
      </c>
      <c r="AY421" s="14" t="str">
        <f t="shared" si="23"/>
        <v>null</v>
      </c>
      <c r="AZ421" s="14" t="str">
        <f t="shared" si="24"/>
        <v>null</v>
      </c>
      <c r="BA421" s="27"/>
    </row>
    <row r="422">
      <c r="A422" s="2" t="s">
        <v>272</v>
      </c>
      <c r="B422" s="2">
        <v>2015.0</v>
      </c>
      <c r="C422" s="2">
        <v>78529.41406</v>
      </c>
      <c r="D422" s="2">
        <v>73.61100006</v>
      </c>
      <c r="E422" s="2">
        <v>96.25615912</v>
      </c>
      <c r="F422" s="2">
        <v>2.026747602</v>
      </c>
      <c r="G422" s="2">
        <v>1.518870713</v>
      </c>
      <c r="H422" s="2">
        <v>0.1982225671</v>
      </c>
      <c r="I422" s="2">
        <v>94.20388299</v>
      </c>
      <c r="J422" s="2">
        <v>2.633656944</v>
      </c>
      <c r="K422" s="2">
        <v>2.740460064</v>
      </c>
      <c r="L422" s="2">
        <v>0.422</v>
      </c>
      <c r="M422" s="2">
        <v>96.99188504</v>
      </c>
      <c r="N422" s="2">
        <v>1.809175058</v>
      </c>
      <c r="O422" s="2">
        <v>1.080939898</v>
      </c>
      <c r="P422" s="2">
        <v>0.118</v>
      </c>
      <c r="Q422" s="13" t="str">
        <f t="shared" si="1"/>
        <v>Turkey|2015</v>
      </c>
      <c r="R422" s="14">
        <f t="shared" si="2"/>
        <v>5</v>
      </c>
      <c r="T422" s="14">
        <f t="shared" si="3"/>
        <v>0.151622008</v>
      </c>
      <c r="U422" s="14">
        <f t="shared" si="29"/>
        <v>0.364257356</v>
      </c>
      <c r="V422" s="14">
        <f t="shared" si="4"/>
        <v>0.066586558</v>
      </c>
      <c r="W422" s="14">
        <f t="shared" si="5"/>
        <v>96</v>
      </c>
      <c r="X422" s="14">
        <f t="shared" si="6"/>
        <v>94</v>
      </c>
      <c r="Y422" s="14">
        <f t="shared" si="7"/>
        <v>97</v>
      </c>
      <c r="Z422" s="14" t="str">
        <f t="shared" si="8"/>
        <v/>
      </c>
      <c r="AA422" s="14" t="str">
        <f t="shared" si="9"/>
        <v/>
      </c>
      <c r="AB422" s="14" t="str">
        <f t="shared" si="10"/>
        <v>Fully Accessible</v>
      </c>
      <c r="AC422" s="14">
        <f t="shared" si="11"/>
        <v>0.297670798</v>
      </c>
      <c r="AO422" s="21"/>
      <c r="AP422" s="24"/>
      <c r="AQ422" s="21"/>
      <c r="AS422" s="21"/>
      <c r="AT422" s="24"/>
      <c r="AU422" s="21"/>
      <c r="AX422" s="14">
        <f t="shared" si="22"/>
        <v>162868.4844</v>
      </c>
      <c r="AY422" s="14">
        <f t="shared" si="23"/>
        <v>149.7160034</v>
      </c>
      <c r="AZ422" s="14">
        <f t="shared" si="24"/>
        <v>162718.7684</v>
      </c>
      <c r="BA422" s="17"/>
    </row>
    <row r="423">
      <c r="A423" s="2" t="s">
        <v>272</v>
      </c>
      <c r="B423" s="2">
        <v>2020.0</v>
      </c>
      <c r="C423" s="2">
        <v>84339.07031</v>
      </c>
      <c r="D423" s="2">
        <v>76.10500336</v>
      </c>
      <c r="E423" s="2">
        <v>97.01426916</v>
      </c>
      <c r="F423" s="2">
        <v>2.023078075</v>
      </c>
      <c r="G423" s="2">
        <v>0.7376749545</v>
      </c>
      <c r="H423" s="2">
        <v>0.2249778093</v>
      </c>
      <c r="I423" s="2">
        <v>96.02516977</v>
      </c>
      <c r="J423" s="2">
        <v>2.684574639</v>
      </c>
      <c r="K423" s="2">
        <v>0.7882555911</v>
      </c>
      <c r="L423" s="2">
        <v>0.502</v>
      </c>
      <c r="M423" s="2">
        <v>97.32481783</v>
      </c>
      <c r="N423" s="2">
        <v>1.815385203</v>
      </c>
      <c r="O423" s="2">
        <v>0.7217969634</v>
      </c>
      <c r="P423" s="2">
        <v>0.138</v>
      </c>
      <c r="Q423" s="13" t="str">
        <f t="shared" si="1"/>
        <v>Turkey|2020</v>
      </c>
      <c r="R423" s="14" t="str">
        <f t="shared" si="2"/>
        <v> </v>
      </c>
      <c r="T423" s="14" t="b">
        <f t="shared" si="3"/>
        <v>0</v>
      </c>
      <c r="U423" s="14" t="b">
        <f t="shared" si="29"/>
        <v>0</v>
      </c>
      <c r="V423" s="14" t="b">
        <f t="shared" si="4"/>
        <v>0</v>
      </c>
      <c r="W423" s="14">
        <f t="shared" si="5"/>
        <v>97</v>
      </c>
      <c r="X423" s="14">
        <f t="shared" si="6"/>
        <v>96</v>
      </c>
      <c r="Y423" s="14">
        <f t="shared" si="7"/>
        <v>97</v>
      </c>
      <c r="Z423" s="14" t="str">
        <f t="shared" si="8"/>
        <v/>
      </c>
      <c r="AA423" s="14" t="str">
        <f t="shared" si="9"/>
        <v/>
      </c>
      <c r="AB423" s="14" t="str">
        <f t="shared" si="10"/>
        <v/>
      </c>
      <c r="AC423" s="14">
        <f t="shared" si="11"/>
        <v>0</v>
      </c>
      <c r="AO423" s="21"/>
      <c r="AP423" s="24"/>
      <c r="AQ423" s="21"/>
      <c r="AS423" s="21"/>
      <c r="AT423" s="24"/>
      <c r="AU423" s="21"/>
      <c r="AX423" s="14" t="str">
        <f t="shared" si="22"/>
        <v>null</v>
      </c>
      <c r="AY423" s="14" t="str">
        <f t="shared" si="23"/>
        <v>null</v>
      </c>
      <c r="AZ423" s="14" t="str">
        <f t="shared" si="24"/>
        <v>null</v>
      </c>
      <c r="BA423" s="17"/>
    </row>
    <row r="424">
      <c r="A424" s="2" t="s">
        <v>273</v>
      </c>
      <c r="B424" s="2">
        <v>2015.0</v>
      </c>
      <c r="C424" s="2">
        <v>5565.283203</v>
      </c>
      <c r="D424" s="2">
        <v>50.31700134</v>
      </c>
      <c r="E424" s="2">
        <v>97.65894431</v>
      </c>
      <c r="F424" s="2">
        <v>0.9479150547</v>
      </c>
      <c r="G424" s="2">
        <v>0.247750032</v>
      </c>
      <c r="H424" s="2">
        <v>1.145390606</v>
      </c>
      <c r="I424" s="2">
        <v>96.21978316</v>
      </c>
      <c r="J424" s="2">
        <v>1.000954429</v>
      </c>
      <c r="K424" s="2">
        <v>0.473864865</v>
      </c>
      <c r="L424" s="2">
        <v>2.305397551</v>
      </c>
      <c r="M424" s="2">
        <v>99.07997172</v>
      </c>
      <c r="N424" s="2">
        <v>0.895543988</v>
      </c>
      <c r="O424" s="2">
        <v>0.0244842949</v>
      </c>
      <c r="P424" s="2">
        <v>0.0</v>
      </c>
      <c r="Q424" s="13" t="str">
        <f t="shared" si="1"/>
        <v>Turkmenistan|2015</v>
      </c>
      <c r="R424" s="14">
        <f t="shared" si="2"/>
        <v>5</v>
      </c>
      <c r="T424" s="14">
        <f t="shared" si="3"/>
        <v>0.468211138</v>
      </c>
      <c r="U424" s="14">
        <f t="shared" si="29"/>
        <v>0.756043368</v>
      </c>
      <c r="V424" s="14">
        <f t="shared" si="4"/>
        <v>0.184005656</v>
      </c>
      <c r="W424" s="14">
        <f t="shared" si="5"/>
        <v>98</v>
      </c>
      <c r="X424" s="14">
        <f t="shared" si="6"/>
        <v>96</v>
      </c>
      <c r="Y424" s="14">
        <f t="shared" si="7"/>
        <v>99</v>
      </c>
      <c r="Z424" s="14" t="str">
        <f t="shared" si="8"/>
        <v/>
      </c>
      <c r="AA424" s="14" t="str">
        <f t="shared" si="9"/>
        <v/>
      </c>
      <c r="AB424" s="14" t="str">
        <f t="shared" si="10"/>
        <v>Fully Accessible</v>
      </c>
      <c r="AC424" s="14">
        <f t="shared" si="11"/>
        <v>0.572037712</v>
      </c>
      <c r="AO424" s="21"/>
      <c r="AP424" s="24"/>
      <c r="AQ424" s="21"/>
      <c r="AS424" s="21"/>
      <c r="AT424" s="24"/>
      <c r="AU424" s="21"/>
      <c r="AX424" s="14">
        <f t="shared" si="22"/>
        <v>11596.47022</v>
      </c>
      <c r="AY424" s="14">
        <f t="shared" si="23"/>
        <v>102.833004</v>
      </c>
      <c r="AZ424" s="14">
        <f t="shared" si="24"/>
        <v>11493.63721</v>
      </c>
      <c r="BA424" s="17"/>
    </row>
    <row r="425">
      <c r="A425" s="2" t="s">
        <v>273</v>
      </c>
      <c r="B425" s="2">
        <v>2020.0</v>
      </c>
      <c r="C425" s="2">
        <v>6031.187012</v>
      </c>
      <c r="D425" s="2">
        <v>52.51600266</v>
      </c>
      <c r="E425" s="2">
        <v>100.0</v>
      </c>
      <c r="F425" s="2">
        <v>0.0</v>
      </c>
      <c r="G425" s="2">
        <v>0.0</v>
      </c>
      <c r="H425" s="2">
        <v>0.0</v>
      </c>
      <c r="I425" s="2">
        <v>100.0</v>
      </c>
      <c r="J425" s="2">
        <v>0.0</v>
      </c>
      <c r="K425" s="2">
        <v>0.0</v>
      </c>
      <c r="L425" s="2">
        <v>0.0</v>
      </c>
      <c r="M425" s="2">
        <v>100.0</v>
      </c>
      <c r="N425" s="2">
        <v>0.0</v>
      </c>
      <c r="O425" s="2">
        <v>0.0</v>
      </c>
      <c r="P425" s="2">
        <v>0.0</v>
      </c>
      <c r="Q425" s="13" t="str">
        <f t="shared" si="1"/>
        <v>Turkmenistan|2020</v>
      </c>
      <c r="R425" s="14" t="str">
        <f t="shared" si="2"/>
        <v> </v>
      </c>
      <c r="T425" s="14" t="b">
        <f t="shared" si="3"/>
        <v>0</v>
      </c>
      <c r="U425" s="14" t="b">
        <f t="shared" si="29"/>
        <v>0</v>
      </c>
      <c r="V425" s="14" t="b">
        <f t="shared" si="4"/>
        <v>0</v>
      </c>
      <c r="W425" s="14">
        <f t="shared" si="5"/>
        <v>100</v>
      </c>
      <c r="X425" s="14">
        <f t="shared" si="6"/>
        <v>100</v>
      </c>
      <c r="Y425" s="14">
        <f t="shared" si="7"/>
        <v>100</v>
      </c>
      <c r="Z425" s="14" t="str">
        <f t="shared" si="8"/>
        <v/>
      </c>
      <c r="AA425" s="14" t="str">
        <f t="shared" si="9"/>
        <v/>
      </c>
      <c r="AB425" s="14" t="str">
        <f t="shared" si="10"/>
        <v/>
      </c>
      <c r="AC425" s="14">
        <f t="shared" si="11"/>
        <v>0</v>
      </c>
      <c r="AO425" s="21"/>
      <c r="AP425" s="24"/>
      <c r="AQ425" s="21"/>
      <c r="AS425" s="21"/>
      <c r="AT425" s="24"/>
      <c r="AU425" s="21"/>
      <c r="AX425" s="14" t="str">
        <f t="shared" si="22"/>
        <v>null</v>
      </c>
      <c r="AY425" s="14" t="str">
        <f t="shared" si="23"/>
        <v>null</v>
      </c>
      <c r="AZ425" s="14" t="str">
        <f t="shared" si="24"/>
        <v>null</v>
      </c>
      <c r="BA425" s="8"/>
    </row>
    <row r="426">
      <c r="A426" s="2" t="s">
        <v>274</v>
      </c>
      <c r="B426" s="2">
        <v>2015.0</v>
      </c>
      <c r="C426" s="2">
        <v>35.97900009</v>
      </c>
      <c r="D426" s="2">
        <v>92.19499207</v>
      </c>
      <c r="E426" s="2">
        <v>94.31818182</v>
      </c>
      <c r="F426" s="2">
        <v>0.0</v>
      </c>
      <c r="G426" s="2">
        <v>5.681818182</v>
      </c>
      <c r="H426" s="2">
        <v>0.0</v>
      </c>
      <c r="I426" s="2" t="s">
        <v>64</v>
      </c>
      <c r="J426" s="2" t="s">
        <v>64</v>
      </c>
      <c r="K426" s="2" t="s">
        <v>64</v>
      </c>
      <c r="L426" s="2" t="s">
        <v>64</v>
      </c>
      <c r="M426" s="2" t="s">
        <v>64</v>
      </c>
      <c r="N426" s="2" t="s">
        <v>64</v>
      </c>
      <c r="O426" s="2" t="s">
        <v>64</v>
      </c>
      <c r="P426" s="2" t="s">
        <v>64</v>
      </c>
      <c r="Q426" s="13" t="str">
        <f t="shared" si="1"/>
        <v>Turks and Caicos Islands|2015</v>
      </c>
      <c r="R426" s="14">
        <f t="shared" si="2"/>
        <v>3</v>
      </c>
      <c r="T426" s="14">
        <f t="shared" si="3"/>
        <v>0</v>
      </c>
      <c r="U426" s="14" t="str">
        <f t="shared" si="29"/>
        <v>null</v>
      </c>
      <c r="V426" s="14" t="str">
        <f t="shared" si="4"/>
        <v>null</v>
      </c>
      <c r="W426" s="14">
        <f t="shared" si="5"/>
        <v>94</v>
      </c>
      <c r="X426" s="14" t="b">
        <f t="shared" si="6"/>
        <v>0</v>
      </c>
      <c r="Y426" s="14" t="b">
        <f t="shared" si="7"/>
        <v>0</v>
      </c>
      <c r="Z426" s="14" t="str">
        <f t="shared" si="8"/>
        <v/>
      </c>
      <c r="AA426" s="14" t="str">
        <f t="shared" si="9"/>
        <v>Fully Accessible</v>
      </c>
      <c r="AB426" s="14" t="str">
        <f t="shared" si="10"/>
        <v>Fully Accessible</v>
      </c>
      <c r="AC426" s="14" t="b">
        <f t="shared" si="11"/>
        <v>0</v>
      </c>
      <c r="AO426" s="21"/>
      <c r="AP426" s="24"/>
      <c r="AQ426" s="21"/>
      <c r="AS426" s="21"/>
      <c r="AT426" s="24"/>
      <c r="AU426" s="21"/>
      <c r="AX426" s="14">
        <f t="shared" si="22"/>
        <v>73.64599991</v>
      </c>
      <c r="AY426" s="14">
        <f t="shared" si="23"/>
        <v>185.2929916</v>
      </c>
      <c r="AZ426" s="14">
        <f t="shared" si="24"/>
        <v>-111.6469917</v>
      </c>
      <c r="BA426" s="27"/>
    </row>
    <row r="427">
      <c r="A427" s="2" t="s">
        <v>274</v>
      </c>
      <c r="B427" s="2">
        <v>2018.0</v>
      </c>
      <c r="C427" s="2">
        <v>37.66699982</v>
      </c>
      <c r="D427" s="2">
        <v>93.09799957</v>
      </c>
      <c r="E427" s="2">
        <v>94.31818182</v>
      </c>
      <c r="F427" s="2">
        <v>0.0</v>
      </c>
      <c r="G427" s="2">
        <v>5.681818182</v>
      </c>
      <c r="H427" s="2">
        <v>0.0</v>
      </c>
      <c r="I427" s="2" t="s">
        <v>64</v>
      </c>
      <c r="J427" s="2" t="s">
        <v>64</v>
      </c>
      <c r="K427" s="2" t="s">
        <v>64</v>
      </c>
      <c r="L427" s="2" t="s">
        <v>64</v>
      </c>
      <c r="M427" s="2" t="s">
        <v>64</v>
      </c>
      <c r="N427" s="2" t="s">
        <v>64</v>
      </c>
      <c r="O427" s="2" t="s">
        <v>64</v>
      </c>
      <c r="P427" s="2" t="s">
        <v>64</v>
      </c>
      <c r="Q427" s="13" t="str">
        <f t="shared" si="1"/>
        <v>Turks and Caicos Islands|2018</v>
      </c>
      <c r="R427" s="14" t="str">
        <f t="shared" si="2"/>
        <v> </v>
      </c>
      <c r="T427" s="14" t="b">
        <f t="shared" si="3"/>
        <v>0</v>
      </c>
      <c r="U427" s="14" t="b">
        <f t="shared" si="29"/>
        <v>0</v>
      </c>
      <c r="V427" s="14" t="b">
        <f t="shared" si="4"/>
        <v>0</v>
      </c>
      <c r="W427" s="14">
        <f t="shared" si="5"/>
        <v>94</v>
      </c>
      <c r="X427" s="14" t="b">
        <f t="shared" si="6"/>
        <v>0</v>
      </c>
      <c r="Y427" s="14" t="b">
        <f t="shared" si="7"/>
        <v>0</v>
      </c>
      <c r="Z427" s="14" t="str">
        <f t="shared" si="8"/>
        <v/>
      </c>
      <c r="AA427" s="14" t="str">
        <f t="shared" si="9"/>
        <v/>
      </c>
      <c r="AB427" s="14" t="str">
        <f t="shared" si="10"/>
        <v/>
      </c>
      <c r="AC427" s="14">
        <f t="shared" si="11"/>
        <v>0</v>
      </c>
      <c r="AO427" s="21"/>
      <c r="AP427" s="24"/>
      <c r="AQ427" s="21"/>
      <c r="AS427" s="21"/>
      <c r="AT427" s="24"/>
      <c r="AU427" s="21"/>
      <c r="AX427" s="14" t="str">
        <f t="shared" si="22"/>
        <v>null</v>
      </c>
      <c r="AY427" s="14" t="str">
        <f t="shared" si="23"/>
        <v>null</v>
      </c>
      <c r="AZ427" s="14" t="str">
        <f t="shared" si="24"/>
        <v>null</v>
      </c>
      <c r="BA427" s="17"/>
    </row>
    <row r="428">
      <c r="A428" s="2" t="s">
        <v>275</v>
      </c>
      <c r="B428" s="2">
        <v>2015.0</v>
      </c>
      <c r="C428" s="2">
        <v>11.09899998</v>
      </c>
      <c r="D428" s="2">
        <v>59.72999954</v>
      </c>
      <c r="E428" s="2">
        <v>100.0</v>
      </c>
      <c r="F428" s="2">
        <v>0.0</v>
      </c>
      <c r="G428" s="2">
        <v>0.0</v>
      </c>
      <c r="H428" s="2">
        <v>0.0</v>
      </c>
      <c r="I428" s="2">
        <v>100.0</v>
      </c>
      <c r="J428" s="2">
        <v>0.0</v>
      </c>
      <c r="K428" s="2">
        <v>0.0</v>
      </c>
      <c r="L428" s="2">
        <v>0.0</v>
      </c>
      <c r="M428" s="2">
        <v>100.0</v>
      </c>
      <c r="N428" s="2">
        <v>0.0</v>
      </c>
      <c r="O428" s="2">
        <v>0.0</v>
      </c>
      <c r="P428" s="2">
        <v>0.0</v>
      </c>
      <c r="Q428" s="13" t="str">
        <f t="shared" si="1"/>
        <v>Tuvalu|2015</v>
      </c>
      <c r="R428" s="14">
        <f t="shared" si="2"/>
        <v>5</v>
      </c>
      <c r="T428" s="14">
        <f t="shared" si="3"/>
        <v>0</v>
      </c>
      <c r="U428" s="14">
        <f t="shared" si="29"/>
        <v>0</v>
      </c>
      <c r="V428" s="14">
        <f t="shared" si="4"/>
        <v>0</v>
      </c>
      <c r="W428" s="14">
        <f t="shared" si="5"/>
        <v>100</v>
      </c>
      <c r="X428" s="14">
        <f t="shared" si="6"/>
        <v>100</v>
      </c>
      <c r="Y428" s="14">
        <f t="shared" si="7"/>
        <v>100</v>
      </c>
      <c r="Z428" s="14" t="str">
        <f t="shared" si="8"/>
        <v/>
      </c>
      <c r="AA428" s="14" t="str">
        <f t="shared" si="9"/>
        <v/>
      </c>
      <c r="AB428" s="14" t="str">
        <f t="shared" si="10"/>
        <v>Fully Accessible</v>
      </c>
      <c r="AC428" s="14">
        <f t="shared" si="11"/>
        <v>0</v>
      </c>
      <c r="AO428" s="21"/>
      <c r="AP428" s="24"/>
      <c r="AQ428" s="21"/>
      <c r="AS428" s="21"/>
      <c r="AT428" s="24"/>
      <c r="AU428" s="21"/>
      <c r="AX428" s="14">
        <f t="shared" si="22"/>
        <v>22.8909998</v>
      </c>
      <c r="AY428" s="14">
        <f t="shared" si="23"/>
        <v>123.7439995</v>
      </c>
      <c r="AZ428" s="14">
        <f t="shared" si="24"/>
        <v>-100.8529997</v>
      </c>
      <c r="BA428" s="27"/>
    </row>
    <row r="429">
      <c r="A429" s="2" t="s">
        <v>275</v>
      </c>
      <c r="B429" s="2">
        <v>2020.0</v>
      </c>
      <c r="C429" s="2">
        <v>11.79199982</v>
      </c>
      <c r="D429" s="2">
        <v>64.01399994</v>
      </c>
      <c r="E429" s="2">
        <v>100.0</v>
      </c>
      <c r="F429" s="2">
        <v>0.0</v>
      </c>
      <c r="G429" s="2">
        <v>0.0</v>
      </c>
      <c r="H429" s="2">
        <v>0.0</v>
      </c>
      <c r="I429" s="2">
        <v>100.0</v>
      </c>
      <c r="J429" s="2">
        <v>0.0</v>
      </c>
      <c r="K429" s="2">
        <v>0.0</v>
      </c>
      <c r="L429" s="2">
        <v>0.0</v>
      </c>
      <c r="M429" s="2">
        <v>100.0</v>
      </c>
      <c r="N429" s="2">
        <v>0.0</v>
      </c>
      <c r="O429" s="2">
        <v>0.0</v>
      </c>
      <c r="P429" s="2">
        <v>0.0</v>
      </c>
      <c r="Q429" s="13" t="str">
        <f t="shared" si="1"/>
        <v>Tuvalu|2020</v>
      </c>
      <c r="R429" s="14" t="str">
        <f t="shared" si="2"/>
        <v> </v>
      </c>
      <c r="T429" s="14" t="b">
        <f t="shared" si="3"/>
        <v>0</v>
      </c>
      <c r="U429" s="14" t="b">
        <f t="shared" si="29"/>
        <v>0</v>
      </c>
      <c r="V429" s="14" t="b">
        <f t="shared" si="4"/>
        <v>0</v>
      </c>
      <c r="W429" s="14">
        <f t="shared" si="5"/>
        <v>100</v>
      </c>
      <c r="X429" s="14">
        <f t="shared" si="6"/>
        <v>100</v>
      </c>
      <c r="Y429" s="14">
        <f t="shared" si="7"/>
        <v>100</v>
      </c>
      <c r="Z429" s="14" t="str">
        <f t="shared" si="8"/>
        <v/>
      </c>
      <c r="AA429" s="14" t="str">
        <f t="shared" si="9"/>
        <v/>
      </c>
      <c r="AB429" s="14" t="str">
        <f t="shared" si="10"/>
        <v/>
      </c>
      <c r="AC429" s="14">
        <f t="shared" si="11"/>
        <v>0</v>
      </c>
      <c r="AO429" s="21"/>
      <c r="AP429" s="24"/>
      <c r="AQ429" s="21"/>
      <c r="AS429" s="21"/>
      <c r="AT429" s="24"/>
      <c r="AU429" s="21"/>
      <c r="AX429" s="14" t="str">
        <f t="shared" si="22"/>
        <v>null</v>
      </c>
      <c r="AY429" s="14" t="str">
        <f t="shared" si="23"/>
        <v>null</v>
      </c>
      <c r="AZ429" s="14" t="str">
        <f t="shared" si="24"/>
        <v>null</v>
      </c>
      <c r="BA429" s="27"/>
    </row>
    <row r="430">
      <c r="A430" s="2" t="s">
        <v>276</v>
      </c>
      <c r="B430" s="2">
        <v>2015.0</v>
      </c>
      <c r="C430" s="2">
        <v>38225.44531</v>
      </c>
      <c r="D430" s="2">
        <v>22.05999947</v>
      </c>
      <c r="E430" s="2">
        <v>47.84155836</v>
      </c>
      <c r="F430" s="2">
        <v>30.09540377</v>
      </c>
      <c r="G430" s="2">
        <v>15.10676845</v>
      </c>
      <c r="H430" s="2">
        <v>6.95626942</v>
      </c>
      <c r="I430" s="2">
        <v>39.71700313</v>
      </c>
      <c r="J430" s="2">
        <v>34.1765633</v>
      </c>
      <c r="K430" s="2">
        <v>17.51911722</v>
      </c>
      <c r="L430" s="2">
        <v>8.587316348</v>
      </c>
      <c r="M430" s="2">
        <v>76.54635609</v>
      </c>
      <c r="N430" s="2">
        <v>15.67629339</v>
      </c>
      <c r="O430" s="2">
        <v>6.58371928</v>
      </c>
      <c r="P430" s="2">
        <v>1.193631242</v>
      </c>
      <c r="Q430" s="13" t="str">
        <f t="shared" si="1"/>
        <v>Uganda|2015</v>
      </c>
      <c r="R430" s="14">
        <f t="shared" si="2"/>
        <v>5</v>
      </c>
      <c r="T430" s="14">
        <f t="shared" si="3"/>
        <v>1.60269817</v>
      </c>
      <c r="U430" s="14">
        <f t="shared" si="29"/>
        <v>1.70283729</v>
      </c>
      <c r="V430" s="14">
        <f t="shared" si="4"/>
        <v>0.447299142</v>
      </c>
      <c r="W430" s="14">
        <f t="shared" si="5"/>
        <v>48</v>
      </c>
      <c r="X430" s="14">
        <f t="shared" si="6"/>
        <v>40</v>
      </c>
      <c r="Y430" s="14">
        <f t="shared" si="7"/>
        <v>77</v>
      </c>
      <c r="Z430" s="14" t="str">
        <f t="shared" si="8"/>
        <v/>
      </c>
      <c r="AA430" s="14" t="str">
        <f t="shared" si="9"/>
        <v/>
      </c>
      <c r="AB430" s="14" t="str">
        <f t="shared" si="10"/>
        <v>Fully Accessible</v>
      </c>
      <c r="AC430" s="14">
        <f t="shared" si="11"/>
        <v>1.255538148</v>
      </c>
      <c r="AO430" s="21"/>
      <c r="AP430" s="24"/>
      <c r="AQ430" s="21"/>
      <c r="AS430" s="21"/>
      <c r="AT430" s="24"/>
      <c r="AU430" s="21"/>
      <c r="AX430" s="14">
        <f t="shared" si="22"/>
        <v>83966.44531</v>
      </c>
      <c r="AY430" s="14">
        <f t="shared" si="23"/>
        <v>47.01399994</v>
      </c>
      <c r="AZ430" s="14">
        <f t="shared" si="24"/>
        <v>83919.43131</v>
      </c>
      <c r="BA430" s="17"/>
    </row>
    <row r="431">
      <c r="A431" s="2" t="s">
        <v>276</v>
      </c>
      <c r="B431" s="2">
        <v>2020.0</v>
      </c>
      <c r="C431" s="2">
        <v>45741.0</v>
      </c>
      <c r="D431" s="2">
        <v>24.95400047</v>
      </c>
      <c r="E431" s="2">
        <v>55.85504921</v>
      </c>
      <c r="F431" s="2">
        <v>27.28286</v>
      </c>
      <c r="G431" s="2">
        <v>12.16590654</v>
      </c>
      <c r="H431" s="2">
        <v>4.696184252</v>
      </c>
      <c r="I431" s="2">
        <v>48.23118958</v>
      </c>
      <c r="J431" s="2">
        <v>31.78469426</v>
      </c>
      <c r="K431" s="2">
        <v>14.07616061</v>
      </c>
      <c r="L431" s="2">
        <v>5.907955546</v>
      </c>
      <c r="M431" s="2">
        <v>78.7828518</v>
      </c>
      <c r="N431" s="2">
        <v>13.74416783</v>
      </c>
      <c r="O431" s="2">
        <v>6.421044133</v>
      </c>
      <c r="P431" s="2">
        <v>1.051936238</v>
      </c>
      <c r="Q431" s="13" t="str">
        <f t="shared" si="1"/>
        <v>Uganda|2020</v>
      </c>
      <c r="R431" s="14" t="str">
        <f t="shared" si="2"/>
        <v> </v>
      </c>
      <c r="T431" s="14" t="b">
        <f t="shared" si="3"/>
        <v>0</v>
      </c>
      <c r="U431" s="14" t="b">
        <f t="shared" si="29"/>
        <v>0</v>
      </c>
      <c r="V431" s="14" t="b">
        <f t="shared" si="4"/>
        <v>0</v>
      </c>
      <c r="W431" s="14">
        <f t="shared" si="5"/>
        <v>56</v>
      </c>
      <c r="X431" s="14">
        <f t="shared" si="6"/>
        <v>48</v>
      </c>
      <c r="Y431" s="14">
        <f t="shared" si="7"/>
        <v>79</v>
      </c>
      <c r="Z431" s="14" t="str">
        <f t="shared" si="8"/>
        <v/>
      </c>
      <c r="AA431" s="14" t="str">
        <f t="shared" si="9"/>
        <v/>
      </c>
      <c r="AB431" s="14" t="str">
        <f t="shared" si="10"/>
        <v/>
      </c>
      <c r="AC431" s="14">
        <f t="shared" si="11"/>
        <v>0</v>
      </c>
      <c r="AO431" s="21"/>
      <c r="AP431" s="24"/>
      <c r="AQ431" s="21"/>
      <c r="AS431" s="21"/>
      <c r="AT431" s="24"/>
      <c r="AU431" s="21"/>
      <c r="AX431" s="14" t="str">
        <f t="shared" si="22"/>
        <v>null</v>
      </c>
      <c r="AY431" s="14" t="str">
        <f t="shared" si="23"/>
        <v>null</v>
      </c>
      <c r="AZ431" s="14" t="str">
        <f t="shared" si="24"/>
        <v>null</v>
      </c>
      <c r="BA431" s="17"/>
    </row>
    <row r="432">
      <c r="A432" s="2" t="s">
        <v>277</v>
      </c>
      <c r="B432" s="2">
        <v>2015.0</v>
      </c>
      <c r="C432" s="2">
        <v>44921.63672</v>
      </c>
      <c r="D432" s="2">
        <v>69.06100464</v>
      </c>
      <c r="E432" s="2">
        <v>93.65690669</v>
      </c>
      <c r="F432" s="2">
        <v>5.630873723</v>
      </c>
      <c r="G432" s="2">
        <v>0.4364563488</v>
      </c>
      <c r="H432" s="2">
        <v>0.2757632395</v>
      </c>
      <c r="I432" s="2">
        <v>98.84311161</v>
      </c>
      <c r="J432" s="2">
        <v>0.0</v>
      </c>
      <c r="K432" s="2">
        <v>0.944405312</v>
      </c>
      <c r="L432" s="2">
        <v>0.2124830817</v>
      </c>
      <c r="M432" s="2">
        <v>91.33350853</v>
      </c>
      <c r="N432" s="2">
        <v>8.153478277</v>
      </c>
      <c r="O432" s="2">
        <v>0.2089007556</v>
      </c>
      <c r="P432" s="2">
        <v>0.3041124414</v>
      </c>
      <c r="Q432" s="13" t="str">
        <f t="shared" si="1"/>
        <v>Ukraine|2015</v>
      </c>
      <c r="R432" s="14">
        <f t="shared" si="2"/>
        <v>5</v>
      </c>
      <c r="T432" s="14">
        <f t="shared" si="3"/>
        <v>0.054275052</v>
      </c>
      <c r="U432" s="14">
        <f t="shared" si="29"/>
        <v>0.231377678</v>
      </c>
      <c r="V432" s="14">
        <f t="shared" si="4"/>
        <v>-0.011247684</v>
      </c>
      <c r="W432" s="14">
        <f t="shared" si="5"/>
        <v>94</v>
      </c>
      <c r="X432" s="14">
        <f t="shared" si="6"/>
        <v>99</v>
      </c>
      <c r="Y432" s="14">
        <f t="shared" si="7"/>
        <v>91</v>
      </c>
      <c r="Z432" s="14" t="str">
        <f t="shared" si="8"/>
        <v/>
      </c>
      <c r="AA432" s="14" t="str">
        <f t="shared" si="9"/>
        <v/>
      </c>
      <c r="AB432" s="14" t="str">
        <f t="shared" si="10"/>
        <v>Fully Accessible</v>
      </c>
      <c r="AC432" s="14">
        <f t="shared" si="11"/>
        <v>0.242625362</v>
      </c>
      <c r="AO432" s="21"/>
      <c r="AP432" s="24"/>
      <c r="AQ432" s="21"/>
      <c r="AS432" s="21"/>
      <c r="AT432" s="24"/>
      <c r="AU432" s="21"/>
      <c r="AX432" s="14">
        <f t="shared" si="22"/>
        <v>88655.39453</v>
      </c>
      <c r="AY432" s="14">
        <f t="shared" si="23"/>
        <v>138.6690064</v>
      </c>
      <c r="AZ432" s="14">
        <f t="shared" si="24"/>
        <v>88516.72552</v>
      </c>
      <c r="BA432" s="17"/>
    </row>
    <row r="433">
      <c r="A433" s="2" t="s">
        <v>277</v>
      </c>
      <c r="B433" s="2">
        <v>2020.0</v>
      </c>
      <c r="C433" s="2">
        <v>43733.75781</v>
      </c>
      <c r="D433" s="2">
        <v>69.60800171</v>
      </c>
      <c r="E433" s="2">
        <v>93.92828195</v>
      </c>
      <c r="F433" s="2">
        <v>5.671978717</v>
      </c>
      <c r="G433" s="2">
        <v>0.07590450129</v>
      </c>
      <c r="H433" s="2">
        <v>0.323834836</v>
      </c>
      <c r="I433" s="2">
        <v>100.0</v>
      </c>
      <c r="J433" s="2">
        <v>0.0</v>
      </c>
      <c r="K433" s="2">
        <v>0.0</v>
      </c>
      <c r="L433" s="2">
        <v>0.0</v>
      </c>
      <c r="M433" s="2">
        <v>91.27727011</v>
      </c>
      <c r="N433" s="2">
        <v>8.14845779</v>
      </c>
      <c r="O433" s="2">
        <v>0.1090456533</v>
      </c>
      <c r="P433" s="2">
        <v>0.4652264446</v>
      </c>
      <c r="Q433" s="13" t="str">
        <f t="shared" si="1"/>
        <v>Ukraine|2020</v>
      </c>
      <c r="R433" s="14" t="str">
        <f t="shared" si="2"/>
        <v> </v>
      </c>
      <c r="T433" s="14" t="b">
        <f t="shared" si="3"/>
        <v>0</v>
      </c>
      <c r="U433" s="14" t="b">
        <f t="shared" si="29"/>
        <v>0</v>
      </c>
      <c r="V433" s="14" t="b">
        <f t="shared" si="4"/>
        <v>0</v>
      </c>
      <c r="W433" s="14">
        <f t="shared" si="5"/>
        <v>94</v>
      </c>
      <c r="X433" s="14">
        <f t="shared" si="6"/>
        <v>100</v>
      </c>
      <c r="Y433" s="14">
        <f t="shared" si="7"/>
        <v>91</v>
      </c>
      <c r="Z433" s="14" t="str">
        <f t="shared" si="8"/>
        <v/>
      </c>
      <c r="AA433" s="14" t="str">
        <f t="shared" si="9"/>
        <v/>
      </c>
      <c r="AB433" s="14" t="str">
        <f t="shared" si="10"/>
        <v/>
      </c>
      <c r="AC433" s="14">
        <f t="shared" si="11"/>
        <v>0</v>
      </c>
      <c r="AO433" s="21"/>
      <c r="AP433" s="24"/>
      <c r="AQ433" s="21"/>
      <c r="AS433" s="21"/>
      <c r="AT433" s="24"/>
      <c r="AU433" s="21"/>
      <c r="AX433" s="14" t="str">
        <f t="shared" si="22"/>
        <v>null</v>
      </c>
      <c r="AY433" s="14" t="str">
        <f t="shared" si="23"/>
        <v>null</v>
      </c>
      <c r="AZ433" s="14" t="str">
        <f t="shared" si="24"/>
        <v>null</v>
      </c>
      <c r="BA433" s="8"/>
    </row>
    <row r="434">
      <c r="A434" s="2" t="s">
        <v>278</v>
      </c>
      <c r="B434" s="2">
        <v>2015.0</v>
      </c>
      <c r="C434" s="2">
        <v>9262.896484</v>
      </c>
      <c r="D434" s="2">
        <v>85.6740036</v>
      </c>
      <c r="E434" s="2">
        <v>99.97133247</v>
      </c>
      <c r="F434" s="2">
        <v>0.0</v>
      </c>
      <c r="G434" s="2">
        <v>0.02866753431</v>
      </c>
      <c r="H434" s="2">
        <v>0.0</v>
      </c>
      <c r="I434" s="2" t="s">
        <v>64</v>
      </c>
      <c r="J434" s="2" t="s">
        <v>64</v>
      </c>
      <c r="K434" s="2" t="s">
        <v>64</v>
      </c>
      <c r="L434" s="2" t="s">
        <v>64</v>
      </c>
      <c r="M434" s="2" t="s">
        <v>64</v>
      </c>
      <c r="N434" s="2" t="s">
        <v>64</v>
      </c>
      <c r="O434" s="2" t="s">
        <v>64</v>
      </c>
      <c r="P434" s="2" t="s">
        <v>64</v>
      </c>
      <c r="Q434" s="13" t="str">
        <f t="shared" si="1"/>
        <v>United Arab Emirates|2015</v>
      </c>
      <c r="R434" s="14">
        <f t="shared" si="2"/>
        <v>5</v>
      </c>
      <c r="T434" s="14">
        <f t="shared" si="3"/>
        <v>-0.001147294</v>
      </c>
      <c r="U434" s="14" t="str">
        <f t="shared" si="29"/>
        <v>null</v>
      </c>
      <c r="V434" s="14" t="str">
        <f t="shared" si="4"/>
        <v>null</v>
      </c>
      <c r="W434" s="14">
        <f t="shared" si="5"/>
        <v>100</v>
      </c>
      <c r="X434" s="14" t="b">
        <f t="shared" si="6"/>
        <v>0</v>
      </c>
      <c r="Y434" s="14" t="b">
        <f t="shared" si="7"/>
        <v>0</v>
      </c>
      <c r="Z434" s="14" t="str">
        <f t="shared" si="8"/>
        <v/>
      </c>
      <c r="AA434" s="14" t="str">
        <f t="shared" si="9"/>
        <v>Fully Accessible</v>
      </c>
      <c r="AB434" s="14" t="str">
        <f t="shared" si="10"/>
        <v>Fully Accessible</v>
      </c>
      <c r="AC434" s="14" t="b">
        <f t="shared" si="11"/>
        <v>0</v>
      </c>
      <c r="AO434" s="21"/>
      <c r="AP434" s="24"/>
      <c r="AQ434" s="21"/>
      <c r="AS434" s="21"/>
      <c r="AT434" s="24"/>
      <c r="AU434" s="21"/>
      <c r="AX434" s="14">
        <f t="shared" si="22"/>
        <v>19153.29688</v>
      </c>
      <c r="AY434" s="14">
        <f t="shared" si="23"/>
        <v>172.7220001</v>
      </c>
      <c r="AZ434" s="14">
        <f t="shared" si="24"/>
        <v>18980.57487</v>
      </c>
      <c r="BA434" s="27"/>
    </row>
    <row r="435">
      <c r="A435" s="2" t="s">
        <v>278</v>
      </c>
      <c r="B435" s="2">
        <v>2020.0</v>
      </c>
      <c r="C435" s="2">
        <v>9890.400391</v>
      </c>
      <c r="D435" s="2">
        <v>87.04799652</v>
      </c>
      <c r="E435" s="2">
        <v>99.965596</v>
      </c>
      <c r="F435" s="2">
        <v>0.0</v>
      </c>
      <c r="G435" s="2">
        <v>0.034404</v>
      </c>
      <c r="H435" s="2">
        <v>0.0</v>
      </c>
      <c r="I435" s="2" t="s">
        <v>64</v>
      </c>
      <c r="J435" s="2" t="s">
        <v>64</v>
      </c>
      <c r="K435" s="2" t="s">
        <v>64</v>
      </c>
      <c r="L435" s="2" t="s">
        <v>64</v>
      </c>
      <c r="M435" s="2" t="s">
        <v>64</v>
      </c>
      <c r="N435" s="2" t="s">
        <v>64</v>
      </c>
      <c r="O435" s="2" t="s">
        <v>64</v>
      </c>
      <c r="P435" s="2" t="s">
        <v>64</v>
      </c>
      <c r="Q435" s="13" t="str">
        <f t="shared" si="1"/>
        <v>United Arab Emirates|2020</v>
      </c>
      <c r="R435" s="14" t="str">
        <f t="shared" si="2"/>
        <v> </v>
      </c>
      <c r="T435" s="14" t="b">
        <f t="shared" si="3"/>
        <v>0</v>
      </c>
      <c r="U435" s="14" t="b">
        <f t="shared" si="29"/>
        <v>0</v>
      </c>
      <c r="V435" s="14" t="b">
        <f t="shared" si="4"/>
        <v>0</v>
      </c>
      <c r="W435" s="14">
        <f t="shared" si="5"/>
        <v>100</v>
      </c>
      <c r="X435" s="14" t="b">
        <f t="shared" si="6"/>
        <v>0</v>
      </c>
      <c r="Y435" s="14" t="b">
        <f t="shared" si="7"/>
        <v>0</v>
      </c>
      <c r="Z435" s="14" t="str">
        <f t="shared" si="8"/>
        <v/>
      </c>
      <c r="AA435" s="14" t="str">
        <f t="shared" si="9"/>
        <v/>
      </c>
      <c r="AB435" s="14" t="str">
        <f t="shared" si="10"/>
        <v/>
      </c>
      <c r="AC435" s="14">
        <f t="shared" si="11"/>
        <v>0</v>
      </c>
      <c r="AO435" s="21"/>
      <c r="AP435" s="24"/>
      <c r="AQ435" s="21"/>
      <c r="AS435" s="21"/>
      <c r="AT435" s="24"/>
      <c r="AU435" s="21"/>
      <c r="AX435" s="14" t="str">
        <f t="shared" si="22"/>
        <v>null</v>
      </c>
      <c r="AY435" s="14" t="str">
        <f t="shared" si="23"/>
        <v>null</v>
      </c>
      <c r="AZ435" s="14" t="str">
        <f t="shared" si="24"/>
        <v>null</v>
      </c>
      <c r="BA435" s="17"/>
    </row>
    <row r="436">
      <c r="A436" s="2" t="s">
        <v>279</v>
      </c>
      <c r="B436" s="2">
        <v>2015.0</v>
      </c>
      <c r="C436" s="2">
        <v>65860.14844</v>
      </c>
      <c r="D436" s="2">
        <v>82.62599945</v>
      </c>
      <c r="E436" s="2">
        <v>100.0000015</v>
      </c>
      <c r="F436" s="2">
        <v>0.0</v>
      </c>
      <c r="G436" s="2">
        <v>0.0</v>
      </c>
      <c r="H436" s="2">
        <v>0.0</v>
      </c>
      <c r="I436" s="2">
        <v>100.0</v>
      </c>
      <c r="J436" s="2">
        <v>0.0</v>
      </c>
      <c r="K436" s="2">
        <v>0.0</v>
      </c>
      <c r="L436" s="2">
        <v>0.0</v>
      </c>
      <c r="M436" s="2">
        <v>100.0</v>
      </c>
      <c r="N436" s="2">
        <v>0.0</v>
      </c>
      <c r="O436" s="2">
        <v>0.0</v>
      </c>
      <c r="P436" s="2">
        <v>0.0</v>
      </c>
      <c r="Q436" s="13" t="str">
        <f t="shared" si="1"/>
        <v>United Kingdom|2015</v>
      </c>
      <c r="R436" s="14">
        <f t="shared" si="2"/>
        <v>5</v>
      </c>
      <c r="T436" s="14">
        <f t="shared" si="3"/>
        <v>-0.0000005880000003</v>
      </c>
      <c r="U436" s="14">
        <f t="shared" si="29"/>
        <v>0</v>
      </c>
      <c r="V436" s="14">
        <f t="shared" si="4"/>
        <v>0</v>
      </c>
      <c r="W436" s="14">
        <f t="shared" si="5"/>
        <v>100</v>
      </c>
      <c r="X436" s="14">
        <f t="shared" si="6"/>
        <v>100</v>
      </c>
      <c r="Y436" s="14">
        <f t="shared" si="7"/>
        <v>100</v>
      </c>
      <c r="Z436" s="14" t="str">
        <f t="shared" si="8"/>
        <v/>
      </c>
      <c r="AA436" s="14" t="str">
        <f t="shared" si="9"/>
        <v/>
      </c>
      <c r="AB436" s="14" t="str">
        <f t="shared" si="10"/>
        <v>Fully Accessible</v>
      </c>
      <c r="AC436" s="14">
        <f t="shared" si="11"/>
        <v>0</v>
      </c>
      <c r="AO436" s="21"/>
      <c r="AP436" s="24"/>
      <c r="AQ436" s="21"/>
      <c r="AS436" s="21"/>
      <c r="AT436" s="24"/>
      <c r="AU436" s="21"/>
      <c r="AX436" s="14">
        <f t="shared" si="22"/>
        <v>133746.1563</v>
      </c>
      <c r="AY436" s="14">
        <f t="shared" si="23"/>
        <v>166.5289993</v>
      </c>
      <c r="AZ436" s="14">
        <f t="shared" si="24"/>
        <v>133579.6273</v>
      </c>
      <c r="BA436" s="27"/>
    </row>
    <row r="437">
      <c r="A437" s="2" t="s">
        <v>279</v>
      </c>
      <c r="B437" s="2">
        <v>2020.0</v>
      </c>
      <c r="C437" s="2">
        <v>67886.00781</v>
      </c>
      <c r="D437" s="2">
        <v>83.90299988</v>
      </c>
      <c r="E437" s="2">
        <v>99.99999856</v>
      </c>
      <c r="F437" s="2">
        <v>0.0</v>
      </c>
      <c r="G437" s="2">
        <v>1.43853282E-6</v>
      </c>
      <c r="H437" s="2">
        <v>0.0</v>
      </c>
      <c r="I437" s="2">
        <v>100.0</v>
      </c>
      <c r="J437" s="2">
        <v>0.0</v>
      </c>
      <c r="K437" s="2">
        <v>0.0</v>
      </c>
      <c r="L437" s="2">
        <v>0.0</v>
      </c>
      <c r="M437" s="2">
        <v>100.0</v>
      </c>
      <c r="N437" s="2">
        <v>0.0</v>
      </c>
      <c r="O437" s="2">
        <v>0.0</v>
      </c>
      <c r="P437" s="2">
        <v>0.0</v>
      </c>
      <c r="Q437" s="13" t="str">
        <f t="shared" si="1"/>
        <v>United Kingdom|2020</v>
      </c>
      <c r="R437" s="14" t="str">
        <f t="shared" si="2"/>
        <v> </v>
      </c>
      <c r="T437" s="14" t="b">
        <f t="shared" si="3"/>
        <v>0</v>
      </c>
      <c r="U437" s="14" t="b">
        <f t="shared" si="29"/>
        <v>0</v>
      </c>
      <c r="V437" s="14" t="b">
        <f t="shared" si="4"/>
        <v>0</v>
      </c>
      <c r="W437" s="14">
        <f t="shared" si="5"/>
        <v>100</v>
      </c>
      <c r="X437" s="14">
        <f t="shared" si="6"/>
        <v>100</v>
      </c>
      <c r="Y437" s="14">
        <f t="shared" si="7"/>
        <v>100</v>
      </c>
      <c r="Z437" s="14" t="str">
        <f t="shared" si="8"/>
        <v/>
      </c>
      <c r="AA437" s="14" t="str">
        <f t="shared" si="9"/>
        <v/>
      </c>
      <c r="AB437" s="14" t="str">
        <f t="shared" si="10"/>
        <v/>
      </c>
      <c r="AC437" s="14">
        <f t="shared" si="11"/>
        <v>0</v>
      </c>
      <c r="AO437" s="21"/>
      <c r="AP437" s="24"/>
      <c r="AQ437" s="21"/>
      <c r="AS437" s="21"/>
      <c r="AT437" s="24"/>
      <c r="AU437" s="21"/>
      <c r="AX437" s="14" t="str">
        <f t="shared" si="22"/>
        <v>null</v>
      </c>
      <c r="AY437" s="14" t="str">
        <f t="shared" si="23"/>
        <v>null</v>
      </c>
      <c r="AZ437" s="14" t="str">
        <f t="shared" si="24"/>
        <v>null</v>
      </c>
      <c r="BA437" s="27"/>
    </row>
    <row r="438">
      <c r="A438" s="2" t="s">
        <v>280</v>
      </c>
      <c r="B438" s="2">
        <v>2015.0</v>
      </c>
      <c r="C438" s="2">
        <v>51482.63672</v>
      </c>
      <c r="D438" s="2">
        <v>31.61700058</v>
      </c>
      <c r="E438" s="2">
        <v>52.96379459</v>
      </c>
      <c r="F438" s="2">
        <v>11.30893693</v>
      </c>
      <c r="G438" s="2">
        <v>21.38524788</v>
      </c>
      <c r="H438" s="2">
        <v>14.3420206</v>
      </c>
      <c r="I438" s="2">
        <v>38.86342456</v>
      </c>
      <c r="J438" s="2">
        <v>13.19289824</v>
      </c>
      <c r="K438" s="2">
        <v>28.1932841</v>
      </c>
      <c r="L438" s="2">
        <v>19.75039311</v>
      </c>
      <c r="M438" s="2">
        <v>83.4608554</v>
      </c>
      <c r="N438" s="2">
        <v>7.234201128</v>
      </c>
      <c r="O438" s="2">
        <v>6.6604503</v>
      </c>
      <c r="P438" s="2">
        <v>2.644493171</v>
      </c>
      <c r="Q438" s="13" t="str">
        <f t="shared" si="1"/>
        <v>United Republic of Tanzania|2015</v>
      </c>
      <c r="R438" s="14">
        <f t="shared" si="2"/>
        <v>5</v>
      </c>
      <c r="T438" s="14">
        <f t="shared" si="3"/>
        <v>1.5506006</v>
      </c>
      <c r="U438" s="14">
        <f t="shared" si="29"/>
        <v>1.316708156</v>
      </c>
      <c r="V438" s="14">
        <f t="shared" si="4"/>
        <v>1.0666139</v>
      </c>
      <c r="W438" s="14">
        <f t="shared" si="5"/>
        <v>53</v>
      </c>
      <c r="X438" s="14">
        <f t="shared" si="6"/>
        <v>39</v>
      </c>
      <c r="Y438" s="14">
        <f t="shared" si="7"/>
        <v>83</v>
      </c>
      <c r="Z438" s="14" t="str">
        <f t="shared" si="8"/>
        <v/>
      </c>
      <c r="AA438" s="14" t="str">
        <f t="shared" si="9"/>
        <v/>
      </c>
      <c r="AB438" s="14" t="str">
        <f t="shared" si="10"/>
        <v>Fully Accessible</v>
      </c>
      <c r="AC438" s="14">
        <f t="shared" si="11"/>
        <v>0.250094256</v>
      </c>
      <c r="AO438" s="21"/>
      <c r="AP438" s="24"/>
      <c r="AQ438" s="21"/>
      <c r="AS438" s="21"/>
      <c r="AT438" s="24"/>
      <c r="AU438" s="21"/>
      <c r="AX438" s="14">
        <f t="shared" si="22"/>
        <v>111216.8516</v>
      </c>
      <c r="AY438" s="14">
        <f t="shared" si="23"/>
        <v>66.84400177</v>
      </c>
      <c r="AZ438" s="14">
        <f t="shared" si="24"/>
        <v>111150.0076</v>
      </c>
      <c r="BA438" s="17"/>
    </row>
    <row r="439">
      <c r="A439" s="2" t="s">
        <v>280</v>
      </c>
      <c r="B439" s="2">
        <v>2020.0</v>
      </c>
      <c r="C439" s="2">
        <v>59734.21484</v>
      </c>
      <c r="D439" s="2">
        <v>35.22700119</v>
      </c>
      <c r="E439" s="2">
        <v>60.71679759</v>
      </c>
      <c r="F439" s="2">
        <v>11.29007067</v>
      </c>
      <c r="G439" s="2">
        <v>14.51775136</v>
      </c>
      <c r="H439" s="2">
        <v>13.47538038</v>
      </c>
      <c r="I439" s="2">
        <v>45.44696534</v>
      </c>
      <c r="J439" s="2">
        <v>13.98368881</v>
      </c>
      <c r="K439" s="2">
        <v>21.21996133</v>
      </c>
      <c r="L439" s="2">
        <v>19.34938452</v>
      </c>
      <c r="M439" s="2">
        <v>88.7939249</v>
      </c>
      <c r="N439" s="2">
        <v>6.337231166</v>
      </c>
      <c r="O439" s="2">
        <v>2.194178786</v>
      </c>
      <c r="P439" s="2">
        <v>2.674665152</v>
      </c>
      <c r="Q439" s="13" t="str">
        <f t="shared" si="1"/>
        <v>United Republic of Tanzania|2020</v>
      </c>
      <c r="R439" s="14" t="str">
        <f t="shared" si="2"/>
        <v> </v>
      </c>
      <c r="T439" s="14" t="b">
        <f t="shared" si="3"/>
        <v>0</v>
      </c>
      <c r="U439" s="14" t="b">
        <f t="shared" si="29"/>
        <v>0</v>
      </c>
      <c r="V439" s="14" t="b">
        <f t="shared" si="4"/>
        <v>0</v>
      </c>
      <c r="W439" s="14">
        <f t="shared" si="5"/>
        <v>61</v>
      </c>
      <c r="X439" s="14">
        <f t="shared" si="6"/>
        <v>45</v>
      </c>
      <c r="Y439" s="14">
        <f t="shared" si="7"/>
        <v>89</v>
      </c>
      <c r="Z439" s="14" t="str">
        <f t="shared" si="8"/>
        <v/>
      </c>
      <c r="AA439" s="14" t="str">
        <f t="shared" si="9"/>
        <v/>
      </c>
      <c r="AB439" s="14" t="str">
        <f t="shared" si="10"/>
        <v/>
      </c>
      <c r="AC439" s="14">
        <f t="shared" si="11"/>
        <v>0</v>
      </c>
      <c r="AO439" s="21"/>
      <c r="AP439" s="24"/>
      <c r="AQ439" s="21"/>
      <c r="AS439" s="21"/>
      <c r="AT439" s="24"/>
      <c r="AU439" s="21"/>
      <c r="AX439" s="14" t="str">
        <f t="shared" si="22"/>
        <v>null</v>
      </c>
      <c r="AY439" s="14" t="str">
        <f t="shared" si="23"/>
        <v>null</v>
      </c>
      <c r="AZ439" s="14" t="str">
        <f t="shared" si="24"/>
        <v>null</v>
      </c>
      <c r="BA439" s="17"/>
    </row>
    <row r="440">
      <c r="A440" s="2" t="s">
        <v>282</v>
      </c>
      <c r="B440" s="2">
        <v>2015.0</v>
      </c>
      <c r="C440" s="2">
        <v>320878.3125</v>
      </c>
      <c r="D440" s="2">
        <v>81.67100525</v>
      </c>
      <c r="E440" s="2">
        <v>99.44715776</v>
      </c>
      <c r="F440" s="2">
        <v>0.0</v>
      </c>
      <c r="G440" s="2">
        <v>0.5528422372</v>
      </c>
      <c r="H440" s="2">
        <v>0.0</v>
      </c>
      <c r="I440" s="2">
        <v>97.78011851</v>
      </c>
      <c r="J440" s="2">
        <v>0.0</v>
      </c>
      <c r="K440" s="2">
        <v>2.219881485</v>
      </c>
      <c r="L440" s="2">
        <v>0.0</v>
      </c>
      <c r="M440" s="2">
        <v>99.82127981</v>
      </c>
      <c r="N440" s="2">
        <v>0.0</v>
      </c>
      <c r="O440" s="2">
        <v>0.1787201944</v>
      </c>
      <c r="P440" s="2">
        <v>0.0</v>
      </c>
      <c r="Q440" s="13" t="str">
        <f t="shared" si="1"/>
        <v>United States of America|2015</v>
      </c>
      <c r="R440" s="14">
        <f t="shared" si="2"/>
        <v>5</v>
      </c>
      <c r="T440" s="14">
        <f t="shared" si="3"/>
        <v>0.087273784</v>
      </c>
      <c r="U440" s="14">
        <f t="shared" si="29"/>
        <v>0.378133766</v>
      </c>
      <c r="V440" s="14">
        <f t="shared" si="4"/>
        <v>0.021372932</v>
      </c>
      <c r="W440" s="14">
        <f t="shared" si="5"/>
        <v>99</v>
      </c>
      <c r="X440" s="14">
        <f t="shared" si="6"/>
        <v>98</v>
      </c>
      <c r="Y440" s="14">
        <f t="shared" si="7"/>
        <v>100</v>
      </c>
      <c r="Z440" s="14" t="str">
        <f t="shared" si="8"/>
        <v/>
      </c>
      <c r="AA440" s="14" t="str">
        <f t="shared" si="9"/>
        <v/>
      </c>
      <c r="AB440" s="14" t="str">
        <f t="shared" si="10"/>
        <v>Fully Accessible</v>
      </c>
      <c r="AC440" s="14">
        <f t="shared" si="11"/>
        <v>0.356760834</v>
      </c>
      <c r="AO440" s="21"/>
      <c r="AP440" s="24"/>
      <c r="AQ440" s="21"/>
      <c r="AS440" s="21"/>
      <c r="AT440" s="24"/>
      <c r="AU440" s="21"/>
      <c r="AX440" s="14">
        <f t="shared" si="22"/>
        <v>651880.9688</v>
      </c>
      <c r="AY440" s="14">
        <f t="shared" si="23"/>
        <v>164.3350067</v>
      </c>
      <c r="AZ440" s="14">
        <f t="shared" si="24"/>
        <v>651716.6338</v>
      </c>
      <c r="BA440" s="17"/>
    </row>
    <row r="441">
      <c r="A441" s="2" t="s">
        <v>282</v>
      </c>
      <c r="B441" s="2">
        <v>2020.0</v>
      </c>
      <c r="C441" s="2">
        <v>331002.6563</v>
      </c>
      <c r="D441" s="2">
        <v>82.66400146</v>
      </c>
      <c r="E441" s="2">
        <v>99.88352668</v>
      </c>
      <c r="F441" s="2">
        <v>0.0</v>
      </c>
      <c r="G441" s="2">
        <v>0.1164733182</v>
      </c>
      <c r="H441" s="2">
        <v>0.0</v>
      </c>
      <c r="I441" s="2">
        <v>99.67078734</v>
      </c>
      <c r="J441" s="2">
        <v>0.0</v>
      </c>
      <c r="K441" s="2">
        <v>0.3292126628</v>
      </c>
      <c r="L441" s="2">
        <v>0.0</v>
      </c>
      <c r="M441" s="2">
        <v>99.92814447</v>
      </c>
      <c r="N441" s="2">
        <v>0.0</v>
      </c>
      <c r="O441" s="2">
        <v>0.0718555296</v>
      </c>
      <c r="P441" s="2">
        <v>0.0</v>
      </c>
      <c r="Q441" s="13" t="str">
        <f t="shared" si="1"/>
        <v>United States of America|2020</v>
      </c>
      <c r="R441" s="14" t="str">
        <f t="shared" si="2"/>
        <v> </v>
      </c>
      <c r="T441" s="14" t="b">
        <f t="shared" si="3"/>
        <v>0</v>
      </c>
      <c r="U441" s="14" t="b">
        <f t="shared" si="29"/>
        <v>0</v>
      </c>
      <c r="V441" s="14" t="b">
        <f t="shared" si="4"/>
        <v>0</v>
      </c>
      <c r="W441" s="14">
        <f t="shared" si="5"/>
        <v>100</v>
      </c>
      <c r="X441" s="14">
        <f t="shared" si="6"/>
        <v>100</v>
      </c>
      <c r="Y441" s="14">
        <f t="shared" si="7"/>
        <v>100</v>
      </c>
      <c r="Z441" s="14" t="str">
        <f t="shared" si="8"/>
        <v/>
      </c>
      <c r="AA441" s="14" t="str">
        <f t="shared" si="9"/>
        <v/>
      </c>
      <c r="AB441" s="14" t="str">
        <f t="shared" si="10"/>
        <v/>
      </c>
      <c r="AC441" s="14">
        <f t="shared" si="11"/>
        <v>0</v>
      </c>
      <c r="AO441" s="21"/>
      <c r="AP441" s="24"/>
      <c r="AQ441" s="21"/>
      <c r="AS441" s="21"/>
      <c r="AT441" s="24"/>
      <c r="AU441" s="21"/>
      <c r="AX441" s="14" t="str">
        <f t="shared" si="22"/>
        <v>null</v>
      </c>
      <c r="AY441" s="14" t="str">
        <f t="shared" si="23"/>
        <v>null</v>
      </c>
      <c r="AZ441" s="14" t="str">
        <f t="shared" si="24"/>
        <v>null</v>
      </c>
      <c r="BA441" s="8"/>
    </row>
    <row r="442">
      <c r="A442" s="2" t="s">
        <v>283</v>
      </c>
      <c r="B442" s="2">
        <v>2015.0</v>
      </c>
      <c r="C442" s="2">
        <v>104.9499969</v>
      </c>
      <c r="D442" s="2">
        <v>95.34999847</v>
      </c>
      <c r="E442" s="2">
        <v>98.71827281</v>
      </c>
      <c r="F442" s="2">
        <v>0.0</v>
      </c>
      <c r="G442" s="2">
        <v>1.281727186</v>
      </c>
      <c r="H442" s="2">
        <v>0.0</v>
      </c>
      <c r="I442" s="2" t="s">
        <v>64</v>
      </c>
      <c r="J442" s="2" t="s">
        <v>64</v>
      </c>
      <c r="K442" s="2" t="s">
        <v>64</v>
      </c>
      <c r="L442" s="2" t="s">
        <v>64</v>
      </c>
      <c r="M442" s="2" t="s">
        <v>64</v>
      </c>
      <c r="N442" s="2" t="s">
        <v>64</v>
      </c>
      <c r="O442" s="2" t="s">
        <v>64</v>
      </c>
      <c r="P442" s="2" t="s">
        <v>64</v>
      </c>
      <c r="Q442" s="13" t="str">
        <f t="shared" si="1"/>
        <v>United States Virgin Islands|2015</v>
      </c>
      <c r="R442" s="14">
        <f t="shared" si="2"/>
        <v>5</v>
      </c>
      <c r="T442" s="14">
        <f t="shared" si="3"/>
        <v>-0.000001086</v>
      </c>
      <c r="U442" s="14" t="str">
        <f t="shared" si="29"/>
        <v>null</v>
      </c>
      <c r="V442" s="14" t="str">
        <f t="shared" si="4"/>
        <v>null</v>
      </c>
      <c r="W442" s="14">
        <f t="shared" si="5"/>
        <v>99</v>
      </c>
      <c r="X442" s="14" t="b">
        <f t="shared" si="6"/>
        <v>0</v>
      </c>
      <c r="Y442" s="14" t="b">
        <f t="shared" si="7"/>
        <v>0</v>
      </c>
      <c r="Z442" s="14" t="str">
        <f t="shared" si="8"/>
        <v/>
      </c>
      <c r="AA442" s="14" t="str">
        <f t="shared" si="9"/>
        <v>Fully Accessible</v>
      </c>
      <c r="AB442" s="14" t="str">
        <f t="shared" si="10"/>
        <v>Fully Accessible</v>
      </c>
      <c r="AC442" s="14" t="b">
        <f t="shared" si="11"/>
        <v>0</v>
      </c>
      <c r="AO442" s="21"/>
      <c r="AP442" s="24"/>
      <c r="AQ442" s="21"/>
      <c r="AS442" s="21"/>
      <c r="AT442" s="24"/>
      <c r="AU442" s="21"/>
      <c r="AX442" s="14">
        <f t="shared" si="22"/>
        <v>209.3729934</v>
      </c>
      <c r="AY442" s="14">
        <f t="shared" si="23"/>
        <v>191.2890015</v>
      </c>
      <c r="AZ442" s="14">
        <f t="shared" si="24"/>
        <v>18.08399194</v>
      </c>
      <c r="BA442" s="27"/>
    </row>
    <row r="443">
      <c r="A443" s="2" t="s">
        <v>283</v>
      </c>
      <c r="B443" s="2">
        <v>2020.0</v>
      </c>
      <c r="C443" s="2">
        <v>104.4229965</v>
      </c>
      <c r="D443" s="2">
        <v>95.93900299</v>
      </c>
      <c r="E443" s="2">
        <v>98.71826738</v>
      </c>
      <c r="F443" s="2">
        <v>0.0</v>
      </c>
      <c r="G443" s="2">
        <v>1.281732624</v>
      </c>
      <c r="H443" s="2">
        <v>0.0</v>
      </c>
      <c r="I443" s="2" t="s">
        <v>64</v>
      </c>
      <c r="J443" s="2" t="s">
        <v>64</v>
      </c>
      <c r="K443" s="2" t="s">
        <v>64</v>
      </c>
      <c r="L443" s="2" t="s">
        <v>64</v>
      </c>
      <c r="M443" s="2" t="s">
        <v>64</v>
      </c>
      <c r="N443" s="2" t="s">
        <v>64</v>
      </c>
      <c r="O443" s="2" t="s">
        <v>64</v>
      </c>
      <c r="P443" s="2" t="s">
        <v>64</v>
      </c>
      <c r="Q443" s="13" t="str">
        <f t="shared" si="1"/>
        <v>United States Virgin Islands|2020</v>
      </c>
      <c r="R443" s="14" t="str">
        <f t="shared" si="2"/>
        <v> </v>
      </c>
      <c r="T443" s="14" t="b">
        <f t="shared" si="3"/>
        <v>0</v>
      </c>
      <c r="U443" s="14" t="b">
        <f t="shared" si="29"/>
        <v>0</v>
      </c>
      <c r="V443" s="14" t="b">
        <f t="shared" si="4"/>
        <v>0</v>
      </c>
      <c r="W443" s="14">
        <f t="shared" si="5"/>
        <v>99</v>
      </c>
      <c r="X443" s="14" t="b">
        <f t="shared" si="6"/>
        <v>0</v>
      </c>
      <c r="Y443" s="14" t="b">
        <f t="shared" si="7"/>
        <v>0</v>
      </c>
      <c r="Z443" s="14" t="str">
        <f t="shared" si="8"/>
        <v/>
      </c>
      <c r="AA443" s="14" t="str">
        <f t="shared" si="9"/>
        <v/>
      </c>
      <c r="AB443" s="14" t="str">
        <f t="shared" si="10"/>
        <v/>
      </c>
      <c r="AC443" s="14">
        <f t="shared" si="11"/>
        <v>0</v>
      </c>
      <c r="AO443" s="21"/>
      <c r="AP443" s="24"/>
      <c r="AQ443" s="21"/>
      <c r="AS443" s="21"/>
      <c r="AT443" s="24"/>
      <c r="AU443" s="21"/>
      <c r="AX443" s="14" t="str">
        <f t="shared" si="22"/>
        <v>null</v>
      </c>
      <c r="AY443" s="14" t="str">
        <f t="shared" si="23"/>
        <v>null</v>
      </c>
      <c r="AZ443" s="14" t="str">
        <f t="shared" si="24"/>
        <v>null</v>
      </c>
      <c r="BA443" s="17"/>
    </row>
    <row r="444">
      <c r="A444" s="2" t="s">
        <v>284</v>
      </c>
      <c r="B444" s="2">
        <v>2015.0</v>
      </c>
      <c r="C444" s="2">
        <v>3412.012939</v>
      </c>
      <c r="D444" s="2">
        <v>95.04499817</v>
      </c>
      <c r="E444" s="2">
        <v>99.13139756</v>
      </c>
      <c r="F444" s="2">
        <v>0.5381047353</v>
      </c>
      <c r="G444" s="2">
        <v>0.307497473</v>
      </c>
      <c r="H444" s="2">
        <v>0.02300023019</v>
      </c>
      <c r="I444" s="2">
        <v>91.49584384</v>
      </c>
      <c r="J444" s="2">
        <v>4.511550681</v>
      </c>
      <c r="K444" s="2">
        <v>3.528423211</v>
      </c>
      <c r="L444" s="2">
        <v>0.464182271</v>
      </c>
      <c r="M444" s="2">
        <v>99.52946198</v>
      </c>
      <c r="N444" s="2">
        <v>0.3309562908</v>
      </c>
      <c r="O444" s="2">
        <v>0.139581727</v>
      </c>
      <c r="P444" s="2">
        <v>0.0</v>
      </c>
      <c r="Q444" s="13" t="str">
        <f t="shared" si="1"/>
        <v>Uruguay|2015</v>
      </c>
      <c r="R444" s="14">
        <f t="shared" si="2"/>
        <v>5</v>
      </c>
      <c r="T444" s="14">
        <f t="shared" si="3"/>
        <v>0.072872</v>
      </c>
      <c r="U444" s="14">
        <f t="shared" si="29"/>
        <v>0.760997232</v>
      </c>
      <c r="V444" s="14">
        <f t="shared" si="4"/>
        <v>0.032654492</v>
      </c>
      <c r="W444" s="14">
        <f t="shared" si="5"/>
        <v>99</v>
      </c>
      <c r="X444" s="14">
        <f t="shared" si="6"/>
        <v>91</v>
      </c>
      <c r="Y444" s="14">
        <f t="shared" si="7"/>
        <v>100</v>
      </c>
      <c r="Z444" s="14" t="str">
        <f t="shared" si="8"/>
        <v/>
      </c>
      <c r="AA444" s="14" t="str">
        <f t="shared" si="9"/>
        <v/>
      </c>
      <c r="AB444" s="14" t="str">
        <f t="shared" si="10"/>
        <v>Fully Accessible</v>
      </c>
      <c r="AC444" s="14">
        <f t="shared" si="11"/>
        <v>0.72834274</v>
      </c>
      <c r="AO444" s="21"/>
      <c r="AP444" s="24"/>
      <c r="AQ444" s="21"/>
      <c r="AS444" s="21"/>
      <c r="AT444" s="24"/>
      <c r="AU444" s="21"/>
      <c r="AX444" s="14">
        <f t="shared" si="22"/>
        <v>6885.73999</v>
      </c>
      <c r="AY444" s="14">
        <f t="shared" si="23"/>
        <v>190.5599976</v>
      </c>
      <c r="AZ444" s="14">
        <f t="shared" si="24"/>
        <v>6695.179992</v>
      </c>
      <c r="BA444" s="27"/>
    </row>
    <row r="445">
      <c r="A445" s="2" t="s">
        <v>284</v>
      </c>
      <c r="B445" s="2">
        <v>2020.0</v>
      </c>
      <c r="C445" s="2">
        <v>3473.727051</v>
      </c>
      <c r="D445" s="2">
        <v>95.51499939</v>
      </c>
      <c r="E445" s="2">
        <v>99.49575756</v>
      </c>
      <c r="F445" s="2">
        <v>0.5042424412</v>
      </c>
      <c r="G445" s="2">
        <v>0.0</v>
      </c>
      <c r="H445" s="2">
        <v>0.0</v>
      </c>
      <c r="I445" s="2">
        <v>95.30083</v>
      </c>
      <c r="J445" s="2">
        <v>4.69917</v>
      </c>
      <c r="K445" s="2">
        <v>0.0</v>
      </c>
      <c r="L445" s="2">
        <v>0.0</v>
      </c>
      <c r="M445" s="2">
        <v>99.69273444</v>
      </c>
      <c r="N445" s="2">
        <v>0.3072655617</v>
      </c>
      <c r="O445" s="2">
        <v>0.0</v>
      </c>
      <c r="P445" s="2">
        <v>0.0</v>
      </c>
      <c r="Q445" s="13" t="str">
        <f t="shared" si="1"/>
        <v>Uruguay|2020</v>
      </c>
      <c r="R445" s="14" t="str">
        <f t="shared" si="2"/>
        <v> </v>
      </c>
      <c r="T445" s="14" t="b">
        <f t="shared" si="3"/>
        <v>0</v>
      </c>
      <c r="U445" s="14" t="b">
        <f t="shared" si="29"/>
        <v>0</v>
      </c>
      <c r="V445" s="14" t="b">
        <f t="shared" si="4"/>
        <v>0</v>
      </c>
      <c r="W445" s="14">
        <f t="shared" si="5"/>
        <v>99</v>
      </c>
      <c r="X445" s="14">
        <f t="shared" si="6"/>
        <v>95</v>
      </c>
      <c r="Y445" s="14">
        <f t="shared" si="7"/>
        <v>100</v>
      </c>
      <c r="Z445" s="14" t="str">
        <f t="shared" si="8"/>
        <v/>
      </c>
      <c r="AA445" s="14" t="str">
        <f t="shared" si="9"/>
        <v/>
      </c>
      <c r="AB445" s="14" t="str">
        <f t="shared" si="10"/>
        <v/>
      </c>
      <c r="AC445" s="14">
        <f t="shared" si="11"/>
        <v>0</v>
      </c>
      <c r="AO445" s="21"/>
      <c r="AP445" s="24"/>
      <c r="AQ445" s="21"/>
      <c r="AS445" s="21"/>
      <c r="AT445" s="24"/>
      <c r="AU445" s="21"/>
      <c r="AX445" s="14" t="str">
        <f t="shared" si="22"/>
        <v>null</v>
      </c>
      <c r="AY445" s="14" t="str">
        <f t="shared" si="23"/>
        <v>null</v>
      </c>
      <c r="AZ445" s="14" t="str">
        <f t="shared" si="24"/>
        <v>null</v>
      </c>
      <c r="BA445" s="27"/>
    </row>
    <row r="446">
      <c r="A446" s="2" t="s">
        <v>285</v>
      </c>
      <c r="B446" s="2">
        <v>2015.0</v>
      </c>
      <c r="C446" s="2">
        <v>30929.55664</v>
      </c>
      <c r="D446" s="2">
        <v>50.75</v>
      </c>
      <c r="E446" s="2">
        <v>97.52857826</v>
      </c>
      <c r="F446" s="2">
        <v>0.0</v>
      </c>
      <c r="G446" s="2">
        <v>0.0</v>
      </c>
      <c r="H446" s="2">
        <v>2.471421736</v>
      </c>
      <c r="I446" s="2">
        <v>95.64239155</v>
      </c>
      <c r="J446" s="2">
        <v>0.0</v>
      </c>
      <c r="K446" s="2">
        <v>0.0</v>
      </c>
      <c r="L446" s="2">
        <v>4.357608451</v>
      </c>
      <c r="M446" s="2">
        <v>99.35901562</v>
      </c>
      <c r="N446" s="2">
        <v>0.0</v>
      </c>
      <c r="O446" s="2">
        <v>0.0</v>
      </c>
      <c r="P446" s="2">
        <v>0.6409843843</v>
      </c>
      <c r="Q446" s="13" t="str">
        <f t="shared" si="1"/>
        <v>Uzbekistan|2015</v>
      </c>
      <c r="R446" s="14">
        <f t="shared" si="2"/>
        <v>5</v>
      </c>
      <c r="T446" s="14">
        <f t="shared" si="3"/>
        <v>0.060041318</v>
      </c>
      <c r="U446" s="14">
        <f t="shared" si="29"/>
        <v>0.086038162</v>
      </c>
      <c r="V446" s="14">
        <f t="shared" si="4"/>
        <v>0.039397988</v>
      </c>
      <c r="W446" s="14">
        <f t="shared" si="5"/>
        <v>98</v>
      </c>
      <c r="X446" s="14">
        <f t="shared" si="6"/>
        <v>96</v>
      </c>
      <c r="Y446" s="14">
        <f t="shared" si="7"/>
        <v>99</v>
      </c>
      <c r="Z446" s="14" t="str">
        <f t="shared" si="8"/>
        <v/>
      </c>
      <c r="AA446" s="14" t="str">
        <f t="shared" si="9"/>
        <v/>
      </c>
      <c r="AB446" s="14" t="str">
        <f t="shared" si="10"/>
        <v>Fully Accessible</v>
      </c>
      <c r="AC446" s="14">
        <f t="shared" si="11"/>
        <v>0.046640174</v>
      </c>
      <c r="AO446" s="21"/>
      <c r="AP446" s="24"/>
      <c r="AQ446" s="21"/>
      <c r="AS446" s="21"/>
      <c r="AT446" s="24"/>
      <c r="AU446" s="21"/>
      <c r="AX446" s="14">
        <f t="shared" si="22"/>
        <v>64398.75586</v>
      </c>
      <c r="AY446" s="14">
        <f t="shared" si="23"/>
        <v>101.1659966</v>
      </c>
      <c r="AZ446" s="14">
        <f t="shared" si="24"/>
        <v>64297.58986</v>
      </c>
      <c r="BA446" s="17"/>
    </row>
    <row r="447">
      <c r="A447" s="2" t="s">
        <v>285</v>
      </c>
      <c r="B447" s="2">
        <v>2020.0</v>
      </c>
      <c r="C447" s="2">
        <v>33469.19922</v>
      </c>
      <c r="D447" s="2">
        <v>50.41599655</v>
      </c>
      <c r="E447" s="2">
        <v>97.82878485</v>
      </c>
      <c r="F447" s="2">
        <v>0.0</v>
      </c>
      <c r="G447" s="2">
        <v>0.22384422</v>
      </c>
      <c r="H447" s="2">
        <v>1.947370925</v>
      </c>
      <c r="I447" s="2">
        <v>96.07258236</v>
      </c>
      <c r="J447" s="2">
        <v>0.0</v>
      </c>
      <c r="K447" s="2">
        <v>0.0</v>
      </c>
      <c r="L447" s="2">
        <v>3.927417637</v>
      </c>
      <c r="M447" s="2">
        <v>99.55600556</v>
      </c>
      <c r="N447" s="2">
        <v>0.0</v>
      </c>
      <c r="O447" s="2">
        <v>0.4439944434</v>
      </c>
      <c r="P447" s="2">
        <v>0.0</v>
      </c>
      <c r="Q447" s="13" t="str">
        <f t="shared" si="1"/>
        <v>Uzbekistan|2020</v>
      </c>
      <c r="R447" s="14" t="str">
        <f t="shared" si="2"/>
        <v> </v>
      </c>
      <c r="T447" s="14" t="b">
        <f t="shared" si="3"/>
        <v>0</v>
      </c>
      <c r="U447" s="14" t="b">
        <f t="shared" si="29"/>
        <v>0</v>
      </c>
      <c r="V447" s="14" t="b">
        <f t="shared" si="4"/>
        <v>0</v>
      </c>
      <c r="W447" s="14">
        <f t="shared" si="5"/>
        <v>98</v>
      </c>
      <c r="X447" s="14">
        <f t="shared" si="6"/>
        <v>96</v>
      </c>
      <c r="Y447" s="14">
        <f t="shared" si="7"/>
        <v>100</v>
      </c>
      <c r="Z447" s="14" t="str">
        <f t="shared" si="8"/>
        <v/>
      </c>
      <c r="AA447" s="14" t="str">
        <f t="shared" si="9"/>
        <v/>
      </c>
      <c r="AB447" s="14" t="str">
        <f t="shared" si="10"/>
        <v/>
      </c>
      <c r="AC447" s="14">
        <f t="shared" si="11"/>
        <v>0</v>
      </c>
      <c r="AO447" s="21"/>
      <c r="AP447" s="24"/>
      <c r="AQ447" s="21"/>
      <c r="AS447" s="21"/>
      <c r="AT447" s="24"/>
      <c r="AU447" s="21"/>
      <c r="AX447" s="14" t="str">
        <f t="shared" si="22"/>
        <v>null</v>
      </c>
      <c r="AY447" s="14" t="str">
        <f t="shared" si="23"/>
        <v>null</v>
      </c>
      <c r="AZ447" s="14" t="str">
        <f t="shared" si="24"/>
        <v>null</v>
      </c>
      <c r="BA447" s="17"/>
    </row>
    <row r="448">
      <c r="A448" s="2" t="s">
        <v>286</v>
      </c>
      <c r="B448" s="2">
        <v>2015.0</v>
      </c>
      <c r="C448" s="2">
        <v>271.1279907</v>
      </c>
      <c r="D448" s="2">
        <v>24.96100235</v>
      </c>
      <c r="E448" s="2">
        <v>89.98817649</v>
      </c>
      <c r="F448" s="2">
        <v>1.05094321</v>
      </c>
      <c r="G448" s="2">
        <v>1.545004807</v>
      </c>
      <c r="H448" s="2">
        <v>7.415875488</v>
      </c>
      <c r="I448" s="2">
        <v>86.97805066</v>
      </c>
      <c r="J448" s="2">
        <v>1.234982464</v>
      </c>
      <c r="K448" s="2">
        <v>1.904272063</v>
      </c>
      <c r="L448" s="2">
        <v>9.882694813</v>
      </c>
      <c r="M448" s="2">
        <v>99.03735599</v>
      </c>
      <c r="N448" s="2">
        <v>0.4976751557</v>
      </c>
      <c r="O448" s="2">
        <v>0.4649688531</v>
      </c>
      <c r="P448" s="2">
        <v>0.0</v>
      </c>
      <c r="Q448" s="13" t="str">
        <f t="shared" si="1"/>
        <v>Vanuatu|2015</v>
      </c>
      <c r="R448" s="14">
        <f t="shared" si="2"/>
        <v>5</v>
      </c>
      <c r="T448" s="14">
        <f t="shared" si="3"/>
        <v>0.248602852</v>
      </c>
      <c r="U448" s="14">
        <f t="shared" si="29"/>
        <v>0.283830114</v>
      </c>
      <c r="V448" s="14">
        <f t="shared" si="4"/>
        <v>0.092528802</v>
      </c>
      <c r="W448" s="14">
        <f t="shared" si="5"/>
        <v>90</v>
      </c>
      <c r="X448" s="14">
        <f t="shared" si="6"/>
        <v>87</v>
      </c>
      <c r="Y448" s="14">
        <f t="shared" si="7"/>
        <v>99</v>
      </c>
      <c r="Z448" s="14" t="str">
        <f t="shared" si="8"/>
        <v/>
      </c>
      <c r="AA448" s="14" t="str">
        <f t="shared" si="9"/>
        <v/>
      </c>
      <c r="AB448" s="14" t="str">
        <f t="shared" si="10"/>
        <v>Fully Accessible</v>
      </c>
      <c r="AC448" s="14">
        <f t="shared" si="11"/>
        <v>0.191301312</v>
      </c>
      <c r="AO448" s="21"/>
      <c r="AP448" s="24"/>
      <c r="AQ448" s="21"/>
      <c r="AS448" s="21"/>
      <c r="AT448" s="24"/>
      <c r="AU448" s="21"/>
      <c r="AX448" s="14">
        <f t="shared" si="22"/>
        <v>578.2779846</v>
      </c>
      <c r="AY448" s="14">
        <f t="shared" si="23"/>
        <v>50.48600388</v>
      </c>
      <c r="AZ448" s="14">
        <f t="shared" si="24"/>
        <v>527.7919807</v>
      </c>
      <c r="BA448" s="17"/>
    </row>
    <row r="449">
      <c r="A449" s="2" t="s">
        <v>286</v>
      </c>
      <c r="B449" s="2">
        <v>2020.0</v>
      </c>
      <c r="C449" s="2">
        <v>307.1499939</v>
      </c>
      <c r="D449" s="2">
        <v>25.52500153</v>
      </c>
      <c r="E449" s="2">
        <v>91.23119075</v>
      </c>
      <c r="F449" s="2">
        <v>1.06238505</v>
      </c>
      <c r="G449" s="2">
        <v>0.0</v>
      </c>
      <c r="H449" s="2">
        <v>7.706424202</v>
      </c>
      <c r="I449" s="2">
        <v>88.39720123</v>
      </c>
      <c r="J449" s="2">
        <v>1.255132675</v>
      </c>
      <c r="K449" s="2">
        <v>0.0</v>
      </c>
      <c r="L449" s="2">
        <v>10.3476661</v>
      </c>
      <c r="M449" s="2">
        <v>99.5</v>
      </c>
      <c r="N449" s="2">
        <v>0.5</v>
      </c>
      <c r="O449" s="2">
        <v>0.0</v>
      </c>
      <c r="P449" s="2">
        <v>0.0</v>
      </c>
      <c r="Q449" s="13" t="str">
        <f t="shared" si="1"/>
        <v>Vanuatu|2020</v>
      </c>
      <c r="R449" s="14" t="str">
        <f t="shared" si="2"/>
        <v> </v>
      </c>
      <c r="T449" s="14" t="b">
        <f t="shared" si="3"/>
        <v>0</v>
      </c>
      <c r="U449" s="14" t="b">
        <f t="shared" si="29"/>
        <v>0</v>
      </c>
      <c r="V449" s="14" t="b">
        <f t="shared" si="4"/>
        <v>0</v>
      </c>
      <c r="W449" s="14">
        <f t="shared" si="5"/>
        <v>91</v>
      </c>
      <c r="X449" s="14">
        <f t="shared" si="6"/>
        <v>88</v>
      </c>
      <c r="Y449" s="14">
        <f t="shared" si="7"/>
        <v>100</v>
      </c>
      <c r="Z449" s="14" t="str">
        <f t="shared" si="8"/>
        <v/>
      </c>
      <c r="AA449" s="14" t="str">
        <f t="shared" si="9"/>
        <v/>
      </c>
      <c r="AB449" s="14" t="str">
        <f t="shared" si="10"/>
        <v/>
      </c>
      <c r="AC449" s="14">
        <f t="shared" si="11"/>
        <v>0</v>
      </c>
      <c r="AO449" s="21"/>
      <c r="AP449" s="24"/>
      <c r="AQ449" s="21"/>
      <c r="AS449" s="21"/>
      <c r="AT449" s="24"/>
      <c r="AU449" s="21"/>
      <c r="AX449" s="14" t="str">
        <f t="shared" si="22"/>
        <v>null</v>
      </c>
      <c r="AY449" s="14" t="str">
        <f t="shared" si="23"/>
        <v>null</v>
      </c>
      <c r="AZ449" s="14" t="str">
        <f t="shared" si="24"/>
        <v>null</v>
      </c>
      <c r="BA449" s="8"/>
    </row>
    <row r="450">
      <c r="A450" s="2" t="s">
        <v>287</v>
      </c>
      <c r="B450" s="2">
        <v>2015.0</v>
      </c>
      <c r="C450" s="2">
        <v>30081.82617</v>
      </c>
      <c r="D450" s="2">
        <v>88.15399933</v>
      </c>
      <c r="E450" s="2">
        <v>94.57127501</v>
      </c>
      <c r="F450" s="2">
        <v>0.4752325377</v>
      </c>
      <c r="G450" s="2">
        <v>3.575264261</v>
      </c>
      <c r="H450" s="2">
        <v>1.378228192</v>
      </c>
      <c r="I450" s="2" t="s">
        <v>64</v>
      </c>
      <c r="J450" s="2" t="s">
        <v>64</v>
      </c>
      <c r="K450" s="2" t="s">
        <v>64</v>
      </c>
      <c r="L450" s="2" t="s">
        <v>64</v>
      </c>
      <c r="M450" s="2" t="s">
        <v>64</v>
      </c>
      <c r="N450" s="2" t="s">
        <v>64</v>
      </c>
      <c r="O450" s="2" t="s">
        <v>64</v>
      </c>
      <c r="P450" s="2" t="s">
        <v>64</v>
      </c>
      <c r="Q450" s="13" t="str">
        <f t="shared" si="1"/>
        <v>Venezuela (Bolivarian Republic of)|2015</v>
      </c>
      <c r="R450" s="14">
        <f t="shared" si="2"/>
        <v>5</v>
      </c>
      <c r="T450" s="14">
        <f t="shared" si="3"/>
        <v>-0.17709486</v>
      </c>
      <c r="U450" s="14" t="str">
        <f t="shared" si="29"/>
        <v>null</v>
      </c>
      <c r="V450" s="14" t="str">
        <f t="shared" si="4"/>
        <v>null</v>
      </c>
      <c r="W450" s="14">
        <f t="shared" si="5"/>
        <v>95</v>
      </c>
      <c r="X450" s="14" t="b">
        <f t="shared" si="6"/>
        <v>0</v>
      </c>
      <c r="Y450" s="14" t="b">
        <f t="shared" si="7"/>
        <v>0</v>
      </c>
      <c r="Z450" s="14" t="str">
        <f t="shared" si="8"/>
        <v/>
      </c>
      <c r="AA450" s="14" t="str">
        <f t="shared" si="9"/>
        <v>Fully Accessible</v>
      </c>
      <c r="AB450" s="14" t="str">
        <f t="shared" si="10"/>
        <v>Fully Accessible</v>
      </c>
      <c r="AC450" s="14" t="b">
        <f t="shared" si="11"/>
        <v>0</v>
      </c>
      <c r="AO450" s="21"/>
      <c r="AP450" s="24"/>
      <c r="AQ450" s="21"/>
      <c r="AS450" s="21"/>
      <c r="AT450" s="24"/>
      <c r="AU450" s="21"/>
      <c r="AX450" s="14">
        <f t="shared" si="22"/>
        <v>58517.76953</v>
      </c>
      <c r="AY450" s="14">
        <f t="shared" si="23"/>
        <v>176.4329987</v>
      </c>
      <c r="AZ450" s="14">
        <f t="shared" si="24"/>
        <v>58341.33653</v>
      </c>
      <c r="BA450" s="27"/>
    </row>
    <row r="451">
      <c r="A451" s="2" t="s">
        <v>287</v>
      </c>
      <c r="B451" s="2">
        <v>2020.0</v>
      </c>
      <c r="C451" s="2">
        <v>28435.94336</v>
      </c>
      <c r="D451" s="2">
        <v>88.27899933</v>
      </c>
      <c r="E451" s="2">
        <v>93.68580071</v>
      </c>
      <c r="F451" s="2">
        <v>0.4707829181</v>
      </c>
      <c r="G451" s="2">
        <v>5.843416373</v>
      </c>
      <c r="H451" s="2" t="s">
        <v>64</v>
      </c>
      <c r="I451" s="2" t="s">
        <v>64</v>
      </c>
      <c r="J451" s="2" t="s">
        <v>64</v>
      </c>
      <c r="K451" s="2" t="s">
        <v>64</v>
      </c>
      <c r="L451" s="2" t="s">
        <v>64</v>
      </c>
      <c r="M451" s="2" t="s">
        <v>64</v>
      </c>
      <c r="N451" s="2" t="s">
        <v>64</v>
      </c>
      <c r="O451" s="2" t="s">
        <v>64</v>
      </c>
      <c r="P451" s="2" t="s">
        <v>64</v>
      </c>
      <c r="Q451" s="13" t="str">
        <f t="shared" si="1"/>
        <v>Venezuela (Bolivarian Republic of)|2020</v>
      </c>
      <c r="R451" s="14" t="str">
        <f t="shared" si="2"/>
        <v> </v>
      </c>
      <c r="T451" s="14" t="b">
        <f t="shared" si="3"/>
        <v>0</v>
      </c>
      <c r="U451" s="14" t="b">
        <f t="shared" si="29"/>
        <v>0</v>
      </c>
      <c r="V451" s="14" t="b">
        <f t="shared" si="4"/>
        <v>0</v>
      </c>
      <c r="W451" s="14">
        <f t="shared" si="5"/>
        <v>94</v>
      </c>
      <c r="X451" s="14" t="b">
        <f t="shared" si="6"/>
        <v>0</v>
      </c>
      <c r="Y451" s="14" t="b">
        <f t="shared" si="7"/>
        <v>0</v>
      </c>
      <c r="Z451" s="14" t="str">
        <f t="shared" si="8"/>
        <v/>
      </c>
      <c r="AA451" s="14" t="str">
        <f t="shared" si="9"/>
        <v/>
      </c>
      <c r="AB451" s="14" t="str">
        <f t="shared" si="10"/>
        <v/>
      </c>
      <c r="AC451" s="14">
        <f t="shared" si="11"/>
        <v>0</v>
      </c>
      <c r="AO451" s="21"/>
      <c r="AP451" s="24"/>
      <c r="AQ451" s="21"/>
      <c r="AS451" s="21"/>
      <c r="AT451" s="24"/>
      <c r="AU451" s="21"/>
      <c r="AX451" s="14" t="str">
        <f t="shared" si="22"/>
        <v>null</v>
      </c>
      <c r="AY451" s="14" t="str">
        <f t="shared" si="23"/>
        <v>null</v>
      </c>
      <c r="AZ451" s="14" t="str">
        <f t="shared" si="24"/>
        <v>null</v>
      </c>
      <c r="BA451" s="17"/>
    </row>
    <row r="452">
      <c r="A452" s="2" t="s">
        <v>288</v>
      </c>
      <c r="B452" s="2">
        <v>2015.0</v>
      </c>
      <c r="C452" s="2">
        <v>92677.07813</v>
      </c>
      <c r="D452" s="2">
        <v>33.80900192</v>
      </c>
      <c r="E452" s="2">
        <v>93.32806058</v>
      </c>
      <c r="F452" s="2">
        <v>0.05207183785</v>
      </c>
      <c r="G452" s="2">
        <v>6.163618036</v>
      </c>
      <c r="H452" s="2">
        <v>0.4562495463</v>
      </c>
      <c r="I452" s="2">
        <v>90.83306799</v>
      </c>
      <c r="J452" s="2">
        <v>0.0</v>
      </c>
      <c r="K452" s="2">
        <v>8.477639565</v>
      </c>
      <c r="L452" s="2">
        <v>0.6892924429</v>
      </c>
      <c r="M452" s="2">
        <v>98.21274352</v>
      </c>
      <c r="N452" s="2">
        <v>0.1540176812</v>
      </c>
      <c r="O452" s="2">
        <v>1.633238796</v>
      </c>
      <c r="P452" s="2">
        <v>0.0</v>
      </c>
      <c r="Q452" s="13" t="str">
        <f t="shared" si="1"/>
        <v>Viet Nam|2015</v>
      </c>
      <c r="R452" s="14">
        <f t="shared" si="2"/>
        <v>5</v>
      </c>
      <c r="T452" s="14">
        <f t="shared" si="3"/>
        <v>0.711259258</v>
      </c>
      <c r="U452" s="14">
        <f t="shared" si="29"/>
        <v>0.93629409</v>
      </c>
      <c r="V452" s="14">
        <f t="shared" si="4"/>
        <v>0.194059298</v>
      </c>
      <c r="W452" s="14">
        <f t="shared" si="5"/>
        <v>93</v>
      </c>
      <c r="X452" s="14">
        <f t="shared" si="6"/>
        <v>91</v>
      </c>
      <c r="Y452" s="14">
        <f t="shared" si="7"/>
        <v>98</v>
      </c>
      <c r="Z452" s="14" t="str">
        <f t="shared" si="8"/>
        <v/>
      </c>
      <c r="AA452" s="14" t="str">
        <f t="shared" si="9"/>
        <v/>
      </c>
      <c r="AB452" s="14" t="str">
        <f t="shared" si="10"/>
        <v>Fully Accessible</v>
      </c>
      <c r="AC452" s="14">
        <f t="shared" si="11"/>
        <v>0.742234792</v>
      </c>
      <c r="AO452" s="21"/>
      <c r="AP452" s="24"/>
      <c r="AQ452" s="21"/>
      <c r="AS452" s="21"/>
      <c r="AT452" s="24"/>
      <c r="AU452" s="21"/>
      <c r="AX452" s="14">
        <f t="shared" si="22"/>
        <v>190015.6641</v>
      </c>
      <c r="AY452" s="14">
        <f t="shared" si="23"/>
        <v>71.14900207</v>
      </c>
      <c r="AZ452" s="14">
        <f t="shared" si="24"/>
        <v>189944.5151</v>
      </c>
      <c r="BA452" s="27"/>
    </row>
    <row r="453">
      <c r="A453" s="2" t="s">
        <v>288</v>
      </c>
      <c r="B453" s="2">
        <v>2020.0</v>
      </c>
      <c r="C453" s="2">
        <v>97338.58594</v>
      </c>
      <c r="D453" s="2">
        <v>37.34000015</v>
      </c>
      <c r="E453" s="2">
        <v>96.88435687</v>
      </c>
      <c r="F453" s="2">
        <v>0.0</v>
      </c>
      <c r="G453" s="2">
        <v>3.115643126</v>
      </c>
      <c r="H453" s="2">
        <v>0.0</v>
      </c>
      <c r="I453" s="2">
        <v>95.51453844</v>
      </c>
      <c r="J453" s="2">
        <v>0.0</v>
      </c>
      <c r="K453" s="2">
        <v>4.48546156</v>
      </c>
      <c r="L453" s="2">
        <v>0.0</v>
      </c>
      <c r="M453" s="2">
        <v>99.18304001</v>
      </c>
      <c r="N453" s="2">
        <v>0.0</v>
      </c>
      <c r="O453" s="2">
        <v>0.816959987</v>
      </c>
      <c r="P453" s="2">
        <v>0.0</v>
      </c>
      <c r="Q453" s="13" t="str">
        <f t="shared" si="1"/>
        <v>Viet Nam|2020</v>
      </c>
      <c r="R453" s="14" t="str">
        <f t="shared" si="2"/>
        <v> </v>
      </c>
      <c r="T453" s="14" t="b">
        <f t="shared" si="3"/>
        <v>0</v>
      </c>
      <c r="U453" s="14" t="b">
        <f t="shared" si="29"/>
        <v>0</v>
      </c>
      <c r="V453" s="14" t="b">
        <f t="shared" si="4"/>
        <v>0</v>
      </c>
      <c r="W453" s="14">
        <f t="shared" si="5"/>
        <v>97</v>
      </c>
      <c r="X453" s="14">
        <f t="shared" si="6"/>
        <v>96</v>
      </c>
      <c r="Y453" s="14">
        <f t="shared" si="7"/>
        <v>99</v>
      </c>
      <c r="Z453" s="14" t="str">
        <f t="shared" si="8"/>
        <v/>
      </c>
      <c r="AA453" s="14" t="str">
        <f t="shared" si="9"/>
        <v/>
      </c>
      <c r="AB453" s="14" t="str">
        <f t="shared" si="10"/>
        <v/>
      </c>
      <c r="AC453" s="14">
        <f t="shared" si="11"/>
        <v>0</v>
      </c>
      <c r="AO453" s="21"/>
      <c r="AP453" s="24"/>
      <c r="AQ453" s="21"/>
      <c r="AS453" s="21"/>
      <c r="AT453" s="24"/>
      <c r="AU453" s="21"/>
      <c r="AX453" s="14" t="str">
        <f t="shared" si="22"/>
        <v>null</v>
      </c>
      <c r="AY453" s="14" t="str">
        <f t="shared" si="23"/>
        <v>null</v>
      </c>
      <c r="AZ453" s="14" t="str">
        <f t="shared" si="24"/>
        <v>null</v>
      </c>
      <c r="BA453" s="27"/>
    </row>
    <row r="454">
      <c r="A454" s="2" t="s">
        <v>289</v>
      </c>
      <c r="B454" s="2">
        <v>2015.0</v>
      </c>
      <c r="C454" s="2">
        <v>12.26200008</v>
      </c>
      <c r="D454" s="2">
        <v>0.0</v>
      </c>
      <c r="E454" s="2">
        <v>99.32138153</v>
      </c>
      <c r="F454" s="2">
        <v>0.0</v>
      </c>
      <c r="G454" s="2">
        <v>0.6786184741</v>
      </c>
      <c r="H454" s="2">
        <v>0.0</v>
      </c>
      <c r="I454" s="2">
        <v>99.32138153</v>
      </c>
      <c r="J454" s="2">
        <v>0.0</v>
      </c>
      <c r="K454" s="2">
        <v>0.6786184741</v>
      </c>
      <c r="L454" s="2">
        <v>0.0</v>
      </c>
      <c r="M454" s="2" t="s">
        <v>64</v>
      </c>
      <c r="N454" s="2" t="s">
        <v>64</v>
      </c>
      <c r="O454" s="2" t="s">
        <v>64</v>
      </c>
      <c r="P454" s="2" t="s">
        <v>64</v>
      </c>
      <c r="Q454" s="13" t="str">
        <f t="shared" si="1"/>
        <v>Wallis and Futuna Islands|2015</v>
      </c>
      <c r="R454" s="14">
        <f t="shared" si="2"/>
        <v>5</v>
      </c>
      <c r="T454" s="14">
        <f t="shared" si="3"/>
        <v>-0.035618834</v>
      </c>
      <c r="U454" s="14">
        <f t="shared" si="29"/>
        <v>-0.035618834</v>
      </c>
      <c r="V454" s="14" t="str">
        <f t="shared" si="4"/>
        <v>null</v>
      </c>
      <c r="W454" s="14">
        <f t="shared" si="5"/>
        <v>99</v>
      </c>
      <c r="X454" s="14">
        <f t="shared" si="6"/>
        <v>99</v>
      </c>
      <c r="Y454" s="14" t="b">
        <f t="shared" si="7"/>
        <v>0</v>
      </c>
      <c r="Z454" s="14" t="str">
        <f t="shared" si="8"/>
        <v/>
      </c>
      <c r="AA454" s="14" t="str">
        <f t="shared" si="9"/>
        <v/>
      </c>
      <c r="AB454" s="14" t="str">
        <f t="shared" si="10"/>
        <v>Fully Accessible</v>
      </c>
      <c r="AC454" s="14" t="b">
        <f t="shared" si="11"/>
        <v>0</v>
      </c>
      <c r="AO454" s="21"/>
      <c r="AP454" s="24"/>
      <c r="AQ454" s="21"/>
      <c r="AS454" s="21"/>
      <c r="AT454" s="24"/>
      <c r="AU454" s="21"/>
      <c r="AX454" s="14">
        <f t="shared" si="22"/>
        <v>23.50800037</v>
      </c>
      <c r="AY454" s="14">
        <f t="shared" si="23"/>
        <v>0</v>
      </c>
      <c r="AZ454" s="14">
        <f t="shared" si="24"/>
        <v>23.50800037</v>
      </c>
      <c r="BA454" s="17"/>
    </row>
    <row r="455">
      <c r="A455" s="2" t="s">
        <v>289</v>
      </c>
      <c r="B455" s="2">
        <v>2020.0</v>
      </c>
      <c r="C455" s="2">
        <v>11.24600029</v>
      </c>
      <c r="D455" s="2">
        <v>0.0</v>
      </c>
      <c r="E455" s="2">
        <v>99.14328736</v>
      </c>
      <c r="F455" s="2">
        <v>0.0</v>
      </c>
      <c r="G455" s="2">
        <v>0.856712639</v>
      </c>
      <c r="H455" s="2">
        <v>0.0</v>
      </c>
      <c r="I455" s="2">
        <v>99.14328736</v>
      </c>
      <c r="J455" s="2">
        <v>0.0</v>
      </c>
      <c r="K455" s="2">
        <v>0.856712639</v>
      </c>
      <c r="L455" s="2">
        <v>0.0</v>
      </c>
      <c r="M455" s="2" t="s">
        <v>64</v>
      </c>
      <c r="N455" s="2" t="s">
        <v>64</v>
      </c>
      <c r="O455" s="2" t="s">
        <v>64</v>
      </c>
      <c r="P455" s="2" t="s">
        <v>64</v>
      </c>
      <c r="Q455" s="13" t="str">
        <f t="shared" si="1"/>
        <v>Wallis and Futuna Islands|2020</v>
      </c>
      <c r="R455" s="14" t="str">
        <f t="shared" si="2"/>
        <v> </v>
      </c>
      <c r="T455" s="14" t="b">
        <f t="shared" si="3"/>
        <v>0</v>
      </c>
      <c r="U455" s="14" t="b">
        <f t="shared" si="29"/>
        <v>0</v>
      </c>
      <c r="V455" s="14" t="b">
        <f t="shared" si="4"/>
        <v>0</v>
      </c>
      <c r="W455" s="14">
        <f t="shared" si="5"/>
        <v>99</v>
      </c>
      <c r="X455" s="14">
        <f t="shared" si="6"/>
        <v>99</v>
      </c>
      <c r="Y455" s="14" t="b">
        <f t="shared" si="7"/>
        <v>0</v>
      </c>
      <c r="Z455" s="14" t="str">
        <f t="shared" si="8"/>
        <v/>
      </c>
      <c r="AA455" s="14" t="str">
        <f t="shared" si="9"/>
        <v/>
      </c>
      <c r="AB455" s="14" t="str">
        <f t="shared" si="10"/>
        <v/>
      </c>
      <c r="AC455" s="14">
        <f t="shared" si="11"/>
        <v>0</v>
      </c>
      <c r="AO455" s="21"/>
      <c r="AP455" s="24"/>
      <c r="AQ455" s="21"/>
      <c r="AS455" s="21"/>
      <c r="AT455" s="24"/>
      <c r="AU455" s="21"/>
      <c r="AX455" s="14" t="str">
        <f t="shared" si="22"/>
        <v>null</v>
      </c>
      <c r="AY455" s="14" t="str">
        <f t="shared" si="23"/>
        <v>null</v>
      </c>
      <c r="AZ455" s="14" t="str">
        <f t="shared" si="24"/>
        <v>null</v>
      </c>
      <c r="BA455" s="17"/>
    </row>
    <row r="456">
      <c r="A456" s="2" t="s">
        <v>290</v>
      </c>
      <c r="B456" s="2">
        <v>2015.0</v>
      </c>
      <c r="C456" s="2">
        <v>4529.160156</v>
      </c>
      <c r="D456" s="2">
        <v>75.36799622</v>
      </c>
      <c r="E456" s="2">
        <v>96.37985671</v>
      </c>
      <c r="F456" s="2">
        <v>0.5875346644</v>
      </c>
      <c r="G456" s="2">
        <v>3.032608622</v>
      </c>
      <c r="H456" s="2" t="s">
        <v>64</v>
      </c>
      <c r="I456" s="2">
        <v>95.38114235</v>
      </c>
      <c r="J456" s="2">
        <v>0.9927312092</v>
      </c>
      <c r="K456" s="2">
        <v>3.626126441</v>
      </c>
      <c r="L456" s="2" t="s">
        <v>64</v>
      </c>
      <c r="M456" s="2">
        <v>96.70625962</v>
      </c>
      <c r="N456" s="2">
        <v>0.4551070803</v>
      </c>
      <c r="O456" s="2">
        <v>2.838633298</v>
      </c>
      <c r="P456" s="2" t="s">
        <v>64</v>
      </c>
      <c r="Q456" s="13" t="str">
        <f t="shared" si="1"/>
        <v>West Bank and Gaza Strip|2015</v>
      </c>
      <c r="R456" s="14">
        <f t="shared" si="2"/>
        <v>5</v>
      </c>
      <c r="T456" s="14">
        <f t="shared" si="3"/>
        <v>0.300108102</v>
      </c>
      <c r="U456" s="14">
        <f t="shared" si="29"/>
        <v>0.666882814</v>
      </c>
      <c r="V456" s="14">
        <f t="shared" si="4"/>
        <v>0.184140962</v>
      </c>
      <c r="W456" s="14">
        <f t="shared" si="5"/>
        <v>96</v>
      </c>
      <c r="X456" s="14">
        <f t="shared" si="6"/>
        <v>95</v>
      </c>
      <c r="Y456" s="14">
        <f t="shared" si="7"/>
        <v>97</v>
      </c>
      <c r="Z456" s="14" t="str">
        <f t="shared" si="8"/>
        <v/>
      </c>
      <c r="AA456" s="14" t="str">
        <f t="shared" si="9"/>
        <v/>
      </c>
      <c r="AB456" s="14" t="str">
        <f t="shared" si="10"/>
        <v>Fully Accessible</v>
      </c>
      <c r="AC456" s="14">
        <f t="shared" si="11"/>
        <v>0.482741852</v>
      </c>
      <c r="AO456" s="21"/>
      <c r="AP456" s="24"/>
      <c r="AQ456" s="21"/>
      <c r="AS456" s="21"/>
      <c r="AT456" s="24"/>
      <c r="AU456" s="21"/>
      <c r="AX456" s="14">
        <f t="shared" si="22"/>
        <v>9630.576172</v>
      </c>
      <c r="AY456" s="14">
        <f t="shared" si="23"/>
        <v>152.0869904</v>
      </c>
      <c r="AZ456" s="14">
        <f t="shared" si="24"/>
        <v>9478.489182</v>
      </c>
      <c r="BA456" s="17"/>
    </row>
    <row r="457">
      <c r="A457" s="2" t="s">
        <v>290</v>
      </c>
      <c r="B457" s="2">
        <v>2020.0</v>
      </c>
      <c r="C457" s="2">
        <v>5101.416016</v>
      </c>
      <c r="D457" s="2">
        <v>76.71899414</v>
      </c>
      <c r="E457" s="2">
        <v>97.88039722</v>
      </c>
      <c r="F457" s="2">
        <v>1.029979486</v>
      </c>
      <c r="G457" s="2">
        <v>1.089623295</v>
      </c>
      <c r="H457" s="2" t="s">
        <v>64</v>
      </c>
      <c r="I457" s="2">
        <v>98.71555642</v>
      </c>
      <c r="J457" s="2">
        <v>0.3174006273</v>
      </c>
      <c r="K457" s="2">
        <v>0.9670429576</v>
      </c>
      <c r="L457" s="2" t="s">
        <v>64</v>
      </c>
      <c r="M457" s="2">
        <v>97.62696443</v>
      </c>
      <c r="N457" s="2">
        <v>1.246217358</v>
      </c>
      <c r="O457" s="2">
        <v>1.126818208</v>
      </c>
      <c r="P457" s="2" t="s">
        <v>64</v>
      </c>
      <c r="Q457" s="13" t="str">
        <f t="shared" si="1"/>
        <v>West Bank and Gaza Strip|2020</v>
      </c>
      <c r="R457" s="14" t="str">
        <f t="shared" si="2"/>
        <v> </v>
      </c>
      <c r="T457" s="14" t="b">
        <f t="shared" si="3"/>
        <v>0</v>
      </c>
      <c r="U457" s="14" t="b">
        <f t="shared" si="29"/>
        <v>0</v>
      </c>
      <c r="V457" s="14" t="b">
        <f t="shared" si="4"/>
        <v>0</v>
      </c>
      <c r="W457" s="14">
        <f t="shared" si="5"/>
        <v>98</v>
      </c>
      <c r="X457" s="14">
        <f t="shared" si="6"/>
        <v>99</v>
      </c>
      <c r="Y457" s="14">
        <f t="shared" si="7"/>
        <v>98</v>
      </c>
      <c r="Z457" s="14" t="str">
        <f t="shared" si="8"/>
        <v/>
      </c>
      <c r="AA457" s="14" t="str">
        <f t="shared" si="9"/>
        <v/>
      </c>
      <c r="AB457" s="14" t="str">
        <f t="shared" si="10"/>
        <v/>
      </c>
      <c r="AC457" s="14">
        <f t="shared" si="11"/>
        <v>0</v>
      </c>
      <c r="AO457" s="21"/>
      <c r="AP457" s="24"/>
      <c r="AQ457" s="21"/>
      <c r="AS457" s="21"/>
      <c r="AT457" s="24"/>
      <c r="AU457" s="21"/>
      <c r="AX457" s="14" t="str">
        <f t="shared" si="22"/>
        <v>null</v>
      </c>
      <c r="AY457" s="14" t="str">
        <f t="shared" si="23"/>
        <v>null</v>
      </c>
      <c r="AZ457" s="14" t="str">
        <f t="shared" si="24"/>
        <v>null</v>
      </c>
      <c r="BA457" s="8"/>
    </row>
    <row r="458">
      <c r="A458" s="2" t="s">
        <v>291</v>
      </c>
      <c r="B458" s="2">
        <v>2015.0</v>
      </c>
      <c r="C458" s="2">
        <v>26497.88086</v>
      </c>
      <c r="D458" s="2">
        <v>34.77700043</v>
      </c>
      <c r="E458" s="2">
        <v>55.77886863</v>
      </c>
      <c r="F458" s="2">
        <v>26.0356066</v>
      </c>
      <c r="G458" s="2">
        <v>14.70974567</v>
      </c>
      <c r="H458" s="2">
        <v>3.475779098</v>
      </c>
      <c r="I458" s="2">
        <v>44.95826816</v>
      </c>
      <c r="J458" s="2">
        <v>28.79461102</v>
      </c>
      <c r="K458" s="2">
        <v>21.10381293</v>
      </c>
      <c r="L458" s="2">
        <v>5.143307896</v>
      </c>
      <c r="M458" s="2">
        <v>76.0725119</v>
      </c>
      <c r="N458" s="2">
        <v>20.86119401</v>
      </c>
      <c r="O458" s="2">
        <v>2.717904704</v>
      </c>
      <c r="P458" s="2">
        <v>0.3483893924</v>
      </c>
      <c r="Q458" s="13" t="str">
        <f t="shared" si="1"/>
        <v>Yemen|2015</v>
      </c>
      <c r="R458" s="14">
        <f t="shared" si="2"/>
        <v>5</v>
      </c>
      <c r="T458" s="14">
        <f t="shared" si="3"/>
        <v>0.976940242</v>
      </c>
      <c r="U458" s="14">
        <f t="shared" si="29"/>
        <v>1.144613242</v>
      </c>
      <c r="V458" s="14">
        <f t="shared" si="4"/>
        <v>0.188323488</v>
      </c>
      <c r="W458" s="14">
        <f t="shared" si="5"/>
        <v>56</v>
      </c>
      <c r="X458" s="14">
        <f t="shared" si="6"/>
        <v>45</v>
      </c>
      <c r="Y458" s="14">
        <f t="shared" si="7"/>
        <v>76</v>
      </c>
      <c r="Z458" s="14" t="str">
        <f t="shared" si="8"/>
        <v/>
      </c>
      <c r="AA458" s="14" t="str">
        <f t="shared" si="9"/>
        <v/>
      </c>
      <c r="AB458" s="14" t="str">
        <f t="shared" si="10"/>
        <v>Fully Accessible</v>
      </c>
      <c r="AC458" s="14">
        <f t="shared" si="11"/>
        <v>0.956289754</v>
      </c>
      <c r="AO458" s="21"/>
      <c r="AP458" s="24"/>
      <c r="AQ458" s="21"/>
      <c r="AS458" s="21"/>
      <c r="AT458" s="24"/>
      <c r="AU458" s="21"/>
      <c r="AX458" s="14">
        <f t="shared" si="22"/>
        <v>56323.84961</v>
      </c>
      <c r="AY458" s="14">
        <f t="shared" si="23"/>
        <v>72.68499756</v>
      </c>
      <c r="AZ458" s="14">
        <f t="shared" si="24"/>
        <v>56251.16461</v>
      </c>
      <c r="BA458" s="27"/>
    </row>
    <row r="459">
      <c r="A459" s="2" t="s">
        <v>291</v>
      </c>
      <c r="B459" s="2">
        <v>2020.0</v>
      </c>
      <c r="C459" s="2">
        <v>29825.96875</v>
      </c>
      <c r="D459" s="2">
        <v>37.90799713</v>
      </c>
      <c r="E459" s="2">
        <v>60.66356984</v>
      </c>
      <c r="F459" s="2">
        <v>28.9627418</v>
      </c>
      <c r="G459" s="2">
        <v>7.77785276</v>
      </c>
      <c r="H459" s="2">
        <v>2.595835594</v>
      </c>
      <c r="I459" s="2">
        <v>50.68133437</v>
      </c>
      <c r="J459" s="2">
        <v>33.53021373</v>
      </c>
      <c r="K459" s="2">
        <v>11.60782393</v>
      </c>
      <c r="L459" s="2">
        <v>4.180627978</v>
      </c>
      <c r="M459" s="2">
        <v>77.01412934</v>
      </c>
      <c r="N459" s="2">
        <v>21.48137937</v>
      </c>
      <c r="O459" s="2">
        <v>1.504491286</v>
      </c>
      <c r="P459" s="2">
        <v>0.0</v>
      </c>
      <c r="Q459" s="13" t="str">
        <f t="shared" si="1"/>
        <v>Yemen|2020</v>
      </c>
      <c r="R459" s="14" t="str">
        <f t="shared" si="2"/>
        <v> </v>
      </c>
      <c r="T459" s="14" t="b">
        <f t="shared" si="3"/>
        <v>0</v>
      </c>
      <c r="U459" s="14" t="b">
        <f t="shared" si="29"/>
        <v>0</v>
      </c>
      <c r="V459" s="14" t="b">
        <f t="shared" si="4"/>
        <v>0</v>
      </c>
      <c r="W459" s="14">
        <f t="shared" si="5"/>
        <v>61</v>
      </c>
      <c r="X459" s="14">
        <f t="shared" si="6"/>
        <v>51</v>
      </c>
      <c r="Y459" s="14">
        <f t="shared" si="7"/>
        <v>77</v>
      </c>
      <c r="Z459" s="14" t="str">
        <f t="shared" si="8"/>
        <v/>
      </c>
      <c r="AA459" s="14" t="str">
        <f t="shared" si="9"/>
        <v/>
      </c>
      <c r="AB459" s="14" t="str">
        <f t="shared" si="10"/>
        <v/>
      </c>
      <c r="AC459" s="14">
        <f t="shared" si="11"/>
        <v>0</v>
      </c>
      <c r="AO459" s="21"/>
      <c r="AP459" s="24"/>
      <c r="AQ459" s="21"/>
      <c r="AS459" s="21"/>
      <c r="AT459" s="24"/>
      <c r="AU459" s="21"/>
      <c r="AX459" s="14" t="str">
        <f t="shared" si="22"/>
        <v>null</v>
      </c>
      <c r="AY459" s="14" t="str">
        <f t="shared" si="23"/>
        <v>null</v>
      </c>
      <c r="AZ459" s="14" t="str">
        <f t="shared" si="24"/>
        <v>null</v>
      </c>
      <c r="BA459" s="17"/>
    </row>
    <row r="460">
      <c r="A460" s="2" t="s">
        <v>292</v>
      </c>
      <c r="B460" s="2">
        <v>2015.0</v>
      </c>
      <c r="C460" s="2">
        <v>15879.37012</v>
      </c>
      <c r="D460" s="2">
        <v>41.9070015</v>
      </c>
      <c r="E460" s="2">
        <v>61.33874628</v>
      </c>
      <c r="F460" s="2">
        <v>5.65391723</v>
      </c>
      <c r="G460" s="2">
        <v>23.3359001</v>
      </c>
      <c r="H460" s="2">
        <v>9.671436392</v>
      </c>
      <c r="I460" s="2">
        <v>43.61683432</v>
      </c>
      <c r="J460" s="2">
        <v>7.210864868</v>
      </c>
      <c r="K460" s="2">
        <v>33.25721949</v>
      </c>
      <c r="L460" s="2">
        <v>15.91508132</v>
      </c>
      <c r="M460" s="2">
        <v>85.90549729</v>
      </c>
      <c r="N460" s="2">
        <v>3.495619671</v>
      </c>
      <c r="O460" s="2">
        <v>9.582613847</v>
      </c>
      <c r="P460" s="2">
        <v>1.016269193</v>
      </c>
      <c r="Q460" s="13" t="str">
        <f t="shared" si="1"/>
        <v>Zambia|2015</v>
      </c>
      <c r="R460" s="14">
        <f t="shared" si="2"/>
        <v>5</v>
      </c>
      <c r="T460" s="14">
        <f t="shared" si="3"/>
        <v>0.814727458</v>
      </c>
      <c r="U460" s="14">
        <f t="shared" si="29"/>
        <v>0.922090802</v>
      </c>
      <c r="V460" s="14">
        <f t="shared" si="4"/>
        <v>0.165671474</v>
      </c>
      <c r="W460" s="14">
        <f t="shared" si="5"/>
        <v>61</v>
      </c>
      <c r="X460" s="14">
        <f t="shared" si="6"/>
        <v>44</v>
      </c>
      <c r="Y460" s="14">
        <f t="shared" si="7"/>
        <v>86</v>
      </c>
      <c r="Z460" s="14" t="str">
        <f t="shared" si="8"/>
        <v/>
      </c>
      <c r="AA460" s="14" t="str">
        <f t="shared" si="9"/>
        <v/>
      </c>
      <c r="AB460" s="14" t="str">
        <f t="shared" si="10"/>
        <v>Fully Accessible</v>
      </c>
      <c r="AC460" s="14">
        <f t="shared" si="11"/>
        <v>0.756419328</v>
      </c>
      <c r="AO460" s="21"/>
      <c r="AP460" s="24"/>
      <c r="AQ460" s="21"/>
      <c r="AS460" s="21"/>
      <c r="AT460" s="24"/>
      <c r="AU460" s="21"/>
      <c r="AX460" s="14">
        <f t="shared" si="22"/>
        <v>34263.3252</v>
      </c>
      <c r="AY460" s="14">
        <f t="shared" si="23"/>
        <v>86.5359993</v>
      </c>
      <c r="AZ460" s="14">
        <f t="shared" si="24"/>
        <v>34176.7892</v>
      </c>
      <c r="BA460" s="27"/>
    </row>
    <row r="461">
      <c r="A461" s="2" t="s">
        <v>292</v>
      </c>
      <c r="B461" s="2">
        <v>2020.0</v>
      </c>
      <c r="C461" s="2">
        <v>18383.95508</v>
      </c>
      <c r="D461" s="2">
        <v>44.6289978</v>
      </c>
      <c r="E461" s="2">
        <v>65.41238357</v>
      </c>
      <c r="F461" s="2">
        <v>6.15393902</v>
      </c>
      <c r="G461" s="2">
        <v>21.57684071</v>
      </c>
      <c r="H461" s="2">
        <v>6.856836706</v>
      </c>
      <c r="I461" s="2">
        <v>48.22728833</v>
      </c>
      <c r="J461" s="2">
        <v>8.331703613</v>
      </c>
      <c r="K461" s="2">
        <v>31.60865444</v>
      </c>
      <c r="L461" s="2">
        <v>11.83235362</v>
      </c>
      <c r="M461" s="2">
        <v>86.73385466</v>
      </c>
      <c r="N461" s="2">
        <v>3.451996194</v>
      </c>
      <c r="O461" s="2">
        <v>9.130414105</v>
      </c>
      <c r="P461" s="2">
        <v>0.6837350463</v>
      </c>
      <c r="Q461" s="13" t="str">
        <f t="shared" si="1"/>
        <v>Zambia|2020</v>
      </c>
      <c r="R461" s="14" t="str">
        <f t="shared" si="2"/>
        <v> </v>
      </c>
      <c r="T461" s="14" t="b">
        <f t="shared" si="3"/>
        <v>0</v>
      </c>
      <c r="U461" s="14" t="b">
        <f t="shared" si="29"/>
        <v>0</v>
      </c>
      <c r="V461" s="14" t="b">
        <f t="shared" si="4"/>
        <v>0</v>
      </c>
      <c r="W461" s="14">
        <f t="shared" si="5"/>
        <v>65</v>
      </c>
      <c r="X461" s="14">
        <f t="shared" si="6"/>
        <v>48</v>
      </c>
      <c r="Y461" s="14">
        <f t="shared" si="7"/>
        <v>87</v>
      </c>
      <c r="Z461" s="14" t="str">
        <f t="shared" si="8"/>
        <v/>
      </c>
      <c r="AA461" s="14" t="str">
        <f t="shared" si="9"/>
        <v/>
      </c>
      <c r="AB461" s="14" t="str">
        <f t="shared" si="10"/>
        <v/>
      </c>
      <c r="AC461" s="14">
        <f t="shared" si="11"/>
        <v>0</v>
      </c>
      <c r="AO461" s="21"/>
      <c r="AP461" s="24"/>
      <c r="AQ461" s="21"/>
      <c r="AS461" s="21"/>
      <c r="AT461" s="24"/>
      <c r="AU461" s="21"/>
      <c r="AX461" s="14" t="str">
        <f t="shared" si="22"/>
        <v>null</v>
      </c>
      <c r="AY461" s="14" t="str">
        <f t="shared" si="23"/>
        <v>null</v>
      </c>
      <c r="AZ461" s="14" t="str">
        <f t="shared" si="24"/>
        <v>null</v>
      </c>
      <c r="BA461" s="27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3"/>
      <c r="T462" s="14" t="b">
        <f t="shared" si="3"/>
        <v>0</v>
      </c>
      <c r="U462" s="14" t="b">
        <f t="shared" si="29"/>
        <v>0</v>
      </c>
      <c r="V462" s="14" t="b">
        <f t="shared" si="4"/>
        <v>0</v>
      </c>
      <c r="W462" s="14">
        <f t="shared" si="5"/>
        <v>0</v>
      </c>
      <c r="X462" s="14">
        <f t="shared" si="6"/>
        <v>0</v>
      </c>
      <c r="Y462" s="14">
        <f t="shared" si="7"/>
        <v>0</v>
      </c>
      <c r="Z462" s="14" t="str">
        <f t="shared" si="8"/>
        <v/>
      </c>
      <c r="AA462" s="14" t="str">
        <f t="shared" si="9"/>
        <v/>
      </c>
      <c r="AB462" s="14" t="str">
        <f t="shared" si="10"/>
        <v/>
      </c>
      <c r="AC462" s="14">
        <f t="shared" si="11"/>
        <v>0</v>
      </c>
      <c r="AO462" s="21"/>
      <c r="AP462" s="24"/>
      <c r="AQ462" s="21"/>
      <c r="AS462" s="21"/>
      <c r="AT462" s="24"/>
      <c r="AU462" s="21"/>
      <c r="AX462" s="14" t="str">
        <f t="shared" si="22"/>
        <v>null</v>
      </c>
      <c r="AY462" s="14" t="str">
        <f t="shared" si="23"/>
        <v>null</v>
      </c>
      <c r="AZ462" s="14" t="str">
        <f t="shared" si="24"/>
        <v>null</v>
      </c>
      <c r="BA462" s="17"/>
    </row>
    <row r="463">
      <c r="A463" s="2" t="s">
        <v>293</v>
      </c>
      <c r="B463" s="2">
        <v>2015.0</v>
      </c>
      <c r="C463" s="2">
        <v>13814.6416</v>
      </c>
      <c r="D463" s="2">
        <v>32.38499832</v>
      </c>
      <c r="E463" s="2">
        <v>64.95492911</v>
      </c>
      <c r="F463" s="2">
        <v>12.45676477</v>
      </c>
      <c r="G463" s="2">
        <v>15.89884206</v>
      </c>
      <c r="H463" s="2">
        <v>6.689464055</v>
      </c>
      <c r="I463" s="2">
        <v>51.25006071</v>
      </c>
      <c r="J463" s="2">
        <v>16.39672658</v>
      </c>
      <c r="K463" s="2">
        <v>22.51446862</v>
      </c>
      <c r="L463" s="2">
        <v>9.838744088</v>
      </c>
      <c r="M463" s="2">
        <v>93.56863574</v>
      </c>
      <c r="N463" s="2">
        <v>4.23071973</v>
      </c>
      <c r="O463" s="2">
        <v>2.086401773</v>
      </c>
      <c r="P463" s="2">
        <v>0.1142427564</v>
      </c>
      <c r="Q463" s="13" t="str">
        <f t="shared" ref="Q463:Q464" si="33">A463 &amp; "|" &amp; B463</f>
        <v>Zimbabwe|2015</v>
      </c>
      <c r="R463" s="14">
        <f t="shared" ref="R463:R464" si="34">IF(A464=A463, B464-B463," ")</f>
        <v>5</v>
      </c>
      <c r="T463" s="14">
        <f t="shared" si="3"/>
        <v>-0.4576943</v>
      </c>
      <c r="U463" s="14">
        <f t="shared" si="29"/>
        <v>-0.593526372</v>
      </c>
      <c r="V463" s="14">
        <f t="shared" si="4"/>
        <v>-0.134701358</v>
      </c>
      <c r="W463" s="14">
        <f t="shared" si="5"/>
        <v>65</v>
      </c>
      <c r="X463" s="14">
        <f t="shared" si="6"/>
        <v>51</v>
      </c>
      <c r="Y463" s="14">
        <f t="shared" si="7"/>
        <v>94</v>
      </c>
      <c r="Z463" s="14" t="str">
        <f t="shared" si="8"/>
        <v/>
      </c>
      <c r="AA463" s="14" t="str">
        <f t="shared" si="9"/>
        <v/>
      </c>
      <c r="AB463" s="14" t="str">
        <f t="shared" si="10"/>
        <v>Fully Accessible</v>
      </c>
      <c r="AC463" s="14">
        <f t="shared" si="11"/>
        <v>-0.458825014</v>
      </c>
      <c r="AO463" s="21"/>
      <c r="AP463" s="24"/>
      <c r="AQ463" s="21"/>
      <c r="AS463" s="21"/>
      <c r="AT463" s="24"/>
      <c r="AU463" s="21"/>
      <c r="AX463" s="14">
        <f t="shared" si="22"/>
        <v>28677.56836</v>
      </c>
      <c r="AY463" s="14">
        <f t="shared" si="23"/>
        <v>64.6269989</v>
      </c>
      <c r="AZ463" s="14">
        <f t="shared" si="24"/>
        <v>28612.94136</v>
      </c>
      <c r="BA463" s="17"/>
    </row>
    <row r="464">
      <c r="A464" s="2" t="s">
        <v>293</v>
      </c>
      <c r="B464" s="2">
        <v>2020.0</v>
      </c>
      <c r="C464" s="2">
        <v>14862.92676</v>
      </c>
      <c r="D464" s="2">
        <v>32.24200058</v>
      </c>
      <c r="E464" s="2">
        <v>62.66645761</v>
      </c>
      <c r="F464" s="2">
        <v>14.1975397</v>
      </c>
      <c r="G464" s="2">
        <v>16.27785545</v>
      </c>
      <c r="H464" s="2">
        <v>6.858147242</v>
      </c>
      <c r="I464" s="2">
        <v>48.28242885</v>
      </c>
      <c r="J464" s="2">
        <v>18.59098467</v>
      </c>
      <c r="K464" s="2">
        <v>23.01364655</v>
      </c>
      <c r="L464" s="2">
        <v>10.11293992</v>
      </c>
      <c r="M464" s="2">
        <v>92.89512895</v>
      </c>
      <c r="N464" s="2">
        <v>4.964517757</v>
      </c>
      <c r="O464" s="2">
        <v>2.122298674</v>
      </c>
      <c r="P464" s="2">
        <v>0.01805461538</v>
      </c>
      <c r="Q464" s="13" t="str">
        <f t="shared" si="33"/>
        <v>Zimbabwe|2020</v>
      </c>
      <c r="R464" s="14" t="str">
        <f t="shared" si="34"/>
        <v> </v>
      </c>
      <c r="T464" s="14" t="b">
        <f t="shared" si="3"/>
        <v>0</v>
      </c>
      <c r="U464" s="14" t="b">
        <f t="shared" si="29"/>
        <v>0</v>
      </c>
      <c r="V464" s="14" t="b">
        <f t="shared" si="4"/>
        <v>0</v>
      </c>
      <c r="W464" s="14">
        <f t="shared" si="5"/>
        <v>63</v>
      </c>
      <c r="X464" s="14">
        <f t="shared" si="6"/>
        <v>48</v>
      </c>
      <c r="Y464" s="14">
        <f t="shared" si="7"/>
        <v>93</v>
      </c>
      <c r="Z464" s="14" t="str">
        <f t="shared" si="8"/>
        <v/>
      </c>
      <c r="AA464" s="14" t="str">
        <f t="shared" si="9"/>
        <v/>
      </c>
      <c r="AB464" s="14" t="str">
        <f t="shared" si="10"/>
        <v/>
      </c>
      <c r="AC464" s="14">
        <f t="shared" si="11"/>
        <v>0</v>
      </c>
      <c r="AO464" s="21"/>
      <c r="AP464" s="24"/>
      <c r="AQ464" s="21"/>
      <c r="AS464" s="21"/>
      <c r="AT464" s="24"/>
      <c r="AU464" s="21"/>
      <c r="AX464" s="14" t="str">
        <f t="shared" si="22"/>
        <v>null</v>
      </c>
      <c r="AY464" s="14" t="str">
        <f t="shared" si="23"/>
        <v>null</v>
      </c>
      <c r="AZ464" s="14" t="str">
        <f t="shared" si="24"/>
        <v>null</v>
      </c>
      <c r="BA464" s="17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3"/>
      <c r="T465" s="14" t="str">
        <f t="shared" si="3"/>
        <v>null</v>
      </c>
      <c r="U465" s="14" t="str">
        <f t="shared" si="29"/>
        <v>null</v>
      </c>
      <c r="V465" s="14" t="str">
        <f t="shared" si="4"/>
        <v>null</v>
      </c>
      <c r="W465" s="14">
        <f t="shared" si="5"/>
        <v>0</v>
      </c>
      <c r="X465" s="14">
        <f t="shared" si="6"/>
        <v>0</v>
      </c>
      <c r="Y465" s="14">
        <f t="shared" si="7"/>
        <v>0</v>
      </c>
      <c r="Z465" s="14" t="str">
        <f t="shared" si="8"/>
        <v/>
      </c>
      <c r="AA465" s="14" t="str">
        <f t="shared" si="9"/>
        <v/>
      </c>
      <c r="AB465" s="14" t="str">
        <f t="shared" si="10"/>
        <v>Fully Accessible</v>
      </c>
      <c r="AC465" s="14" t="b">
        <f t="shared" si="11"/>
        <v>0</v>
      </c>
      <c r="AO465" s="21"/>
      <c r="AP465" s="24"/>
      <c r="AQ465" s="21"/>
      <c r="AS465" s="21"/>
      <c r="AT465" s="24"/>
      <c r="AU465" s="21"/>
      <c r="AX465" s="14">
        <f t="shared" si="22"/>
        <v>0</v>
      </c>
      <c r="AY465" s="14">
        <f t="shared" si="23"/>
        <v>0</v>
      </c>
      <c r="AZ465" s="14">
        <f t="shared" si="24"/>
        <v>0</v>
      </c>
      <c r="BA465" s="8"/>
    </row>
    <row r="466">
      <c r="S466" s="3" t="s">
        <v>294</v>
      </c>
      <c r="T466" s="14">
        <f t="shared" ref="T466:V466" si="35">AVERAGE(T2:T465)</f>
        <v>0.2767441419</v>
      </c>
      <c r="U466" s="28">
        <f t="shared" si="35"/>
        <v>0.484493696</v>
      </c>
      <c r="V466" s="14">
        <f t="shared" si="35"/>
        <v>0.1548234028</v>
      </c>
      <c r="Y466" s="3" t="s">
        <v>295</v>
      </c>
      <c r="Z466" s="14">
        <f t="shared" ref="Z466:AB466" si="36">COUNTIF(Z2:Z465,"Fully Accessible")</f>
        <v>1</v>
      </c>
      <c r="AA466" s="14">
        <f t="shared" si="36"/>
        <v>61</v>
      </c>
      <c r="AB466" s="14">
        <f t="shared" si="36"/>
        <v>232</v>
      </c>
      <c r="AC466" s="29">
        <f>AVERAGE(AC2:AC465)</f>
        <v>0.1333338567</v>
      </c>
      <c r="AD466" s="4" t="s">
        <v>296</v>
      </c>
      <c r="AE466" s="4" t="s">
        <v>297</v>
      </c>
      <c r="AO466" s="21"/>
      <c r="AP466" s="24"/>
      <c r="AQ466" s="21"/>
      <c r="AS466" s="21"/>
      <c r="AT466" s="24"/>
      <c r="AU466" s="21"/>
      <c r="AW466" s="3" t="s">
        <v>298</v>
      </c>
      <c r="AX466" s="14">
        <f t="shared" ref="AX466:AZ466" si="37">SUM(AX2:AX465)</f>
        <v>15173062.78</v>
      </c>
      <c r="AY466" s="14">
        <f t="shared" si="37"/>
        <v>28189.0597</v>
      </c>
      <c r="AZ466" s="14">
        <f t="shared" si="37"/>
        <v>15144873.72</v>
      </c>
    </row>
    <row r="467">
      <c r="A467" s="30"/>
      <c r="B467" s="3" t="s">
        <v>299</v>
      </c>
      <c r="C467" s="31" t="s">
        <v>300</v>
      </c>
      <c r="D467" s="1" t="s">
        <v>301</v>
      </c>
      <c r="E467" s="30" t="s">
        <v>302</v>
      </c>
      <c r="S467" s="3" t="s">
        <v>303</v>
      </c>
      <c r="T467" s="14">
        <f t="shared" ref="T467:V467" si="38">MIN(T2:T465)</f>
        <v>-1.021788674</v>
      </c>
      <c r="U467" s="14">
        <f t="shared" si="38"/>
        <v>-1.22738096</v>
      </c>
      <c r="V467" s="14">
        <f t="shared" si="38"/>
        <v>-1.620086812</v>
      </c>
      <c r="Y467" s="3" t="s">
        <v>304</v>
      </c>
      <c r="Z467" s="14">
        <f>COUNTIFS(Z2:Z465, "Fully Accessible", E2:E465, "=0")</f>
        <v>0</v>
      </c>
      <c r="AA467" s="14">
        <f>COUNTIFS(AA2:AA465, "Fully Accessible", I2:I465, "=0")</f>
        <v>0</v>
      </c>
      <c r="AB467" s="14">
        <f>COUNTIFS(AB2:AB465, "*Fully Accessible*", M2:M465, "=0")</f>
        <v>0</v>
      </c>
      <c r="AC467" s="29">
        <f>MEDIAN(AC2:AC465)</f>
        <v>0</v>
      </c>
      <c r="AD467" s="4" t="s">
        <v>305</v>
      </c>
      <c r="AO467" s="21"/>
      <c r="AP467" s="24"/>
      <c r="AQ467" s="21"/>
      <c r="AS467" s="21"/>
      <c r="AT467" s="24"/>
      <c r="AU467" s="21"/>
      <c r="BA467" s="17"/>
    </row>
    <row r="468">
      <c r="B468" s="32" t="s">
        <v>306</v>
      </c>
      <c r="E468" s="14">
        <f>80</f>
        <v>80</v>
      </c>
      <c r="S468" s="3" t="s">
        <v>307</v>
      </c>
      <c r="T468" s="14">
        <f t="shared" ref="T468:V468" si="39">MAX(T2:T465)</f>
        <v>2.750326488</v>
      </c>
      <c r="U468" s="14">
        <f t="shared" si="39"/>
        <v>2.667882638</v>
      </c>
      <c r="V468" s="14">
        <f t="shared" si="39"/>
        <v>2.668211856</v>
      </c>
      <c r="Y468" s="3" t="s">
        <v>308</v>
      </c>
      <c r="Z468" s="14">
        <f>COUNTIFS(Z2:Z465, "Fully Accessible", E2:E465, "&lt;0")</f>
        <v>0</v>
      </c>
      <c r="AA468" s="14">
        <f>COUNTIFS(AA2:AA465, "Fully Accessible", I2:I465, "&lt;0")</f>
        <v>0</v>
      </c>
      <c r="AB468" s="14">
        <f>COUNTIFS(AB2:AB465, "Fully Accessible", M2:M465, "&lt;0")</f>
        <v>0</v>
      </c>
      <c r="AO468" s="21"/>
      <c r="AP468" s="24"/>
      <c r="AQ468" s="21"/>
      <c r="AS468" s="21"/>
      <c r="AT468" s="24"/>
      <c r="AU468" s="21"/>
      <c r="BA468" s="27"/>
    </row>
    <row r="469">
      <c r="B469" s="32" t="s">
        <v>18</v>
      </c>
      <c r="S469" s="3" t="s">
        <v>309</v>
      </c>
      <c r="T469" s="14">
        <f t="shared" ref="T469:V469" si="40">COUNTIF(T2:T465, "null")</f>
        <v>3</v>
      </c>
      <c r="U469" s="14">
        <f t="shared" si="40"/>
        <v>65</v>
      </c>
      <c r="V469" s="14">
        <f t="shared" si="40"/>
        <v>51</v>
      </c>
      <c r="Y469" s="3" t="s">
        <v>310</v>
      </c>
      <c r="Z469" s="14">
        <f>COUNTIFS(Z2:Z465, "Fully Accessible", E2:E465, "&gt;0")</f>
        <v>0</v>
      </c>
      <c r="AA469" s="14">
        <f>COUNTIFS(AA2:AA465, "Fully Accessible", I2:I465, "&gt;0")</f>
        <v>0</v>
      </c>
      <c r="AB469" s="14">
        <f>COUNTIFS(AB2:AB465, "*Fully Accessible*", M2:M465, "&gt;0")</f>
        <v>181</v>
      </c>
      <c r="AO469" s="21"/>
      <c r="AP469" s="24"/>
      <c r="AQ469" s="21"/>
      <c r="AS469" s="21"/>
      <c r="AT469" s="24"/>
      <c r="AU469" s="21"/>
      <c r="BA469" s="27"/>
    </row>
    <row r="470">
      <c r="A470" s="1"/>
      <c r="B470" s="32" t="s">
        <v>311</v>
      </c>
      <c r="S470" s="3" t="s">
        <v>312</v>
      </c>
      <c r="T470" s="14">
        <f>countif(E2:E465, 100)</f>
        <v>42</v>
      </c>
      <c r="U470" s="14">
        <f>countif(I2:I465, 100)</f>
        <v>51</v>
      </c>
      <c r="V470" s="28">
        <f>countif(M2:M465, 100)</f>
        <v>71</v>
      </c>
      <c r="Y470" s="33" t="s">
        <v>313</v>
      </c>
      <c r="Z470" s="34">
        <v>1.0</v>
      </c>
      <c r="AA470" s="35"/>
      <c r="AO470" s="21"/>
      <c r="AP470" s="24"/>
      <c r="AQ470" s="21"/>
      <c r="AS470" s="21"/>
      <c r="AT470" s="24"/>
      <c r="AU470" s="21"/>
      <c r="BA470" s="17"/>
    </row>
    <row r="471">
      <c r="A471" s="1"/>
      <c r="B471" s="32" t="s">
        <v>314</v>
      </c>
      <c r="U471" s="5" t="s">
        <v>315</v>
      </c>
      <c r="AO471" s="21"/>
      <c r="AP471" s="24"/>
      <c r="AQ471" s="21"/>
      <c r="AS471" s="21"/>
      <c r="AT471" s="24"/>
      <c r="AU471" s="21"/>
      <c r="BA471" s="17"/>
    </row>
    <row r="472">
      <c r="A472" s="1"/>
      <c r="B472" s="32" t="s">
        <v>316</v>
      </c>
      <c r="S472" s="3" t="s">
        <v>317</v>
      </c>
      <c r="T472" s="14">
        <f t="shared" ref="T472:V472" si="41">If($A3=$A2, COUNTIFS($E2:$E465, 100,$T2:$T465, 0))</f>
        <v>15</v>
      </c>
      <c r="U472" s="14">
        <f t="shared" si="41"/>
        <v>15</v>
      </c>
      <c r="V472" s="14">
        <f t="shared" si="41"/>
        <v>15</v>
      </c>
      <c r="AO472" s="21"/>
      <c r="AP472" s="24"/>
      <c r="AQ472" s="21"/>
      <c r="AS472" s="21"/>
      <c r="AT472" s="24"/>
      <c r="AU472" s="21"/>
      <c r="BA472" s="17"/>
    </row>
    <row r="473">
      <c r="A473" s="1"/>
      <c r="B473" s="32" t="s">
        <v>315</v>
      </c>
      <c r="R473" s="36" t="s">
        <v>318</v>
      </c>
      <c r="S473" s="37" t="s">
        <v>319</v>
      </c>
      <c r="T473" s="14">
        <f t="shared" ref="T473:V473" si="42">If($A3=$A2, COUNTIFS($E2:$E465, "&lt;100", $T2:$T465, 0))</f>
        <v>21</v>
      </c>
      <c r="U473" s="14">
        <f t="shared" si="42"/>
        <v>21</v>
      </c>
      <c r="V473" s="14">
        <f t="shared" si="42"/>
        <v>21</v>
      </c>
      <c r="AO473" s="21"/>
      <c r="AP473" s="24"/>
      <c r="AQ473" s="21"/>
      <c r="AS473" s="21"/>
      <c r="AT473" s="24"/>
      <c r="AU473" s="21"/>
      <c r="BA473" s="8"/>
    </row>
    <row r="474">
      <c r="A474" s="1"/>
      <c r="B474" s="32" t="s">
        <v>320</v>
      </c>
      <c r="S474" s="1"/>
      <c r="AO474" s="21"/>
      <c r="AP474" s="24"/>
      <c r="AQ474" s="21"/>
      <c r="AS474" s="21"/>
      <c r="AT474" s="24"/>
      <c r="AU474" s="21"/>
      <c r="BA474" s="27"/>
    </row>
    <row r="475">
      <c r="A475" s="1"/>
      <c r="B475" s="32" t="s">
        <v>321</v>
      </c>
      <c r="AO475" s="21"/>
      <c r="AP475" s="24"/>
      <c r="AQ475" s="21"/>
      <c r="AS475" s="21"/>
      <c r="AT475" s="24"/>
      <c r="AU475" s="21"/>
      <c r="BA475" s="17"/>
    </row>
    <row r="476">
      <c r="A476" s="1"/>
      <c r="B476" s="32" t="s">
        <v>322</v>
      </c>
      <c r="AO476" s="21"/>
      <c r="AP476" s="24"/>
      <c r="AQ476" s="21"/>
      <c r="AS476" s="21"/>
      <c r="AT476" s="24"/>
      <c r="AU476" s="21"/>
      <c r="BA476" s="27"/>
    </row>
    <row r="477">
      <c r="A477" s="1"/>
      <c r="B477" s="38" t="s">
        <v>323</v>
      </c>
      <c r="C477" s="39" t="s">
        <v>324</v>
      </c>
      <c r="AO477" s="21"/>
      <c r="AP477" s="24"/>
      <c r="AQ477" s="21"/>
      <c r="AS477" s="21"/>
      <c r="AT477" s="24"/>
      <c r="AU477" s="21"/>
      <c r="BA477" s="27"/>
    </row>
    <row r="478">
      <c r="A478" s="1"/>
      <c r="B478" s="13"/>
      <c r="AO478" s="21"/>
      <c r="AP478" s="24"/>
      <c r="AQ478" s="21"/>
      <c r="AS478" s="21"/>
      <c r="AT478" s="24"/>
      <c r="AU478" s="21"/>
      <c r="BA478" s="17"/>
    </row>
    <row r="479">
      <c r="B479" s="13"/>
      <c r="AO479" s="21"/>
      <c r="AP479" s="24"/>
      <c r="AQ479" s="21"/>
      <c r="AS479" s="21"/>
      <c r="AT479" s="24"/>
      <c r="AU479" s="21"/>
      <c r="BA479" s="17"/>
    </row>
    <row r="480">
      <c r="AO480" s="21"/>
      <c r="AP480" s="24"/>
      <c r="AQ480" s="21"/>
      <c r="AS480" s="21"/>
      <c r="AT480" s="24"/>
      <c r="AU480" s="21"/>
      <c r="BA480" s="17"/>
    </row>
    <row r="481">
      <c r="AO481" s="21"/>
      <c r="AP481" s="24"/>
      <c r="AQ481" s="21"/>
      <c r="AS481" s="21"/>
      <c r="AT481" s="24"/>
      <c r="AU481" s="21"/>
      <c r="BA481" s="8"/>
    </row>
    <row r="482">
      <c r="AO482" s="21"/>
      <c r="AP482" s="24"/>
      <c r="AQ482" s="21"/>
      <c r="AS482" s="21"/>
      <c r="AT482" s="24"/>
      <c r="AU482" s="21"/>
      <c r="BA482" s="27"/>
    </row>
    <row r="483">
      <c r="AO483" s="21"/>
      <c r="AP483" s="24"/>
      <c r="AQ483" s="21"/>
      <c r="AS483" s="21"/>
      <c r="AT483" s="24"/>
      <c r="AU483" s="21"/>
      <c r="BA483" s="17"/>
    </row>
    <row r="484">
      <c r="AO484" s="21"/>
      <c r="AP484" s="24"/>
      <c r="AQ484" s="21"/>
      <c r="AS484" s="21"/>
      <c r="AT484" s="24"/>
      <c r="AU484" s="21"/>
      <c r="BA484" s="27"/>
    </row>
    <row r="485">
      <c r="AO485" s="21"/>
      <c r="AP485" s="24"/>
      <c r="AQ485" s="21"/>
      <c r="AS485" s="21"/>
      <c r="AT485" s="24"/>
      <c r="AU485" s="21"/>
      <c r="BA485" s="27"/>
    </row>
    <row r="486">
      <c r="AO486" s="21"/>
      <c r="AP486" s="24"/>
      <c r="AQ486" s="21"/>
      <c r="AS486" s="21"/>
      <c r="AT486" s="24"/>
      <c r="AU486" s="21"/>
      <c r="BA486" s="17"/>
    </row>
    <row r="487">
      <c r="AO487" s="21"/>
      <c r="AP487" s="24"/>
      <c r="AQ487" s="21"/>
      <c r="AS487" s="21"/>
      <c r="AT487" s="24"/>
      <c r="AU487" s="21"/>
      <c r="BA487" s="17"/>
    </row>
    <row r="488">
      <c r="AO488" s="21"/>
      <c r="AP488" s="24"/>
      <c r="AQ488" s="21"/>
      <c r="AS488" s="21"/>
      <c r="AT488" s="24"/>
      <c r="AU488" s="21"/>
      <c r="BA488" s="17"/>
    </row>
    <row r="489">
      <c r="AO489" s="21"/>
      <c r="AP489" s="24"/>
      <c r="AQ489" s="21"/>
      <c r="AS489" s="21"/>
      <c r="AT489" s="24"/>
      <c r="AU489" s="21"/>
      <c r="BA489" s="8"/>
    </row>
    <row r="490">
      <c r="AO490" s="21"/>
      <c r="AP490" s="24"/>
      <c r="AQ490" s="21"/>
      <c r="AS490" s="21"/>
      <c r="AT490" s="24"/>
      <c r="AU490" s="21"/>
      <c r="BA490" s="27"/>
    </row>
    <row r="491">
      <c r="AO491" s="21"/>
      <c r="AP491" s="24"/>
      <c r="AQ491" s="21"/>
      <c r="AS491" s="21"/>
      <c r="AT491" s="24"/>
      <c r="AU491" s="21"/>
      <c r="BA491" s="17"/>
    </row>
    <row r="492">
      <c r="AO492" s="21"/>
      <c r="AP492" s="24"/>
      <c r="AQ492" s="21"/>
      <c r="AS492" s="21"/>
      <c r="AT492" s="24"/>
      <c r="AU492" s="21"/>
      <c r="BA492" s="27"/>
    </row>
    <row r="493">
      <c r="AO493" s="21"/>
      <c r="AP493" s="24"/>
      <c r="AQ493" s="21"/>
      <c r="AS493" s="21"/>
      <c r="AT493" s="24"/>
      <c r="AU493" s="21"/>
      <c r="BA493" s="27"/>
    </row>
    <row r="494">
      <c r="AO494" s="21"/>
      <c r="AP494" s="24"/>
      <c r="AQ494" s="21"/>
      <c r="AS494" s="21"/>
      <c r="AT494" s="24"/>
      <c r="AU494" s="21"/>
      <c r="BA494" s="17"/>
    </row>
    <row r="495">
      <c r="AO495" s="21"/>
      <c r="AP495" s="24"/>
      <c r="AQ495" s="21"/>
      <c r="AS495" s="21"/>
      <c r="AT495" s="24"/>
      <c r="AU495" s="21"/>
      <c r="BA495" s="17"/>
    </row>
    <row r="496">
      <c r="AO496" s="21"/>
      <c r="AP496" s="24"/>
      <c r="AQ496" s="21"/>
      <c r="AS496" s="21"/>
      <c r="AT496" s="24"/>
      <c r="AU496" s="21"/>
      <c r="BA496" s="17"/>
    </row>
    <row r="497">
      <c r="AO497" s="21"/>
      <c r="AP497" s="24"/>
      <c r="AQ497" s="21"/>
      <c r="AS497" s="21"/>
      <c r="AT497" s="24"/>
      <c r="AU497" s="21"/>
      <c r="BA497" s="8"/>
    </row>
    <row r="498">
      <c r="AO498" s="21"/>
      <c r="AP498" s="24"/>
      <c r="AQ498" s="21"/>
      <c r="AS498" s="21"/>
      <c r="AT498" s="24"/>
      <c r="AU498" s="21"/>
      <c r="BA498" s="27"/>
    </row>
    <row r="499">
      <c r="AO499" s="21"/>
      <c r="AP499" s="24"/>
      <c r="AQ499" s="21"/>
      <c r="AS499" s="21"/>
      <c r="AT499" s="24"/>
      <c r="AU499" s="21"/>
      <c r="BA499" s="17"/>
    </row>
    <row r="500">
      <c r="AO500" s="21"/>
      <c r="AP500" s="24"/>
      <c r="AQ500" s="21"/>
      <c r="AS500" s="21"/>
      <c r="AT500" s="24"/>
      <c r="AU500" s="21"/>
      <c r="BA500" s="27"/>
    </row>
    <row r="501">
      <c r="AO501" s="21"/>
      <c r="AP501" s="24"/>
      <c r="AQ501" s="21"/>
      <c r="AS501" s="21"/>
      <c r="AT501" s="24"/>
      <c r="AU501" s="21"/>
      <c r="BA501" s="27"/>
    </row>
    <row r="502">
      <c r="AO502" s="21"/>
      <c r="AP502" s="24"/>
      <c r="AQ502" s="21"/>
      <c r="AS502" s="21"/>
      <c r="AT502" s="24"/>
      <c r="AU502" s="21"/>
      <c r="BA502" s="17"/>
    </row>
    <row r="503">
      <c r="AO503" s="21"/>
      <c r="AP503" s="24"/>
      <c r="AQ503" s="21"/>
      <c r="AS503" s="21"/>
      <c r="AT503" s="24"/>
      <c r="AU503" s="21"/>
      <c r="BA503" s="17"/>
    </row>
    <row r="504">
      <c r="AO504" s="21"/>
      <c r="AP504" s="24"/>
      <c r="AQ504" s="21"/>
      <c r="AS504" s="21"/>
      <c r="AT504" s="24"/>
      <c r="AU504" s="21"/>
      <c r="BA504" s="17"/>
    </row>
    <row r="505">
      <c r="AO505" s="21"/>
      <c r="AP505" s="24"/>
      <c r="AQ505" s="21"/>
      <c r="AS505" s="21"/>
      <c r="AT505" s="24"/>
      <c r="AU505" s="21"/>
      <c r="BA505" s="8"/>
    </row>
    <row r="506">
      <c r="AO506" s="21"/>
      <c r="AP506" s="24"/>
      <c r="AQ506" s="21"/>
      <c r="AS506" s="21"/>
      <c r="AT506" s="24"/>
      <c r="AU506" s="21"/>
      <c r="BA506" s="27"/>
    </row>
    <row r="507">
      <c r="AO507" s="21"/>
      <c r="AP507" s="24"/>
      <c r="AQ507" s="21"/>
      <c r="AS507" s="21"/>
      <c r="AT507" s="24"/>
      <c r="AU507" s="21"/>
      <c r="BA507" s="17"/>
    </row>
    <row r="508">
      <c r="AO508" s="21"/>
      <c r="AP508" s="24"/>
      <c r="AQ508" s="21"/>
      <c r="AS508" s="21"/>
      <c r="AT508" s="24"/>
      <c r="AU508" s="21"/>
      <c r="BA508" s="27"/>
    </row>
    <row r="509">
      <c r="AO509" s="21"/>
      <c r="AP509" s="24"/>
      <c r="AQ509" s="21"/>
      <c r="AS509" s="21"/>
      <c r="AT509" s="24"/>
      <c r="AU509" s="21"/>
      <c r="BA509" s="27"/>
    </row>
    <row r="510">
      <c r="AO510" s="21"/>
      <c r="AP510" s="24"/>
      <c r="AQ510" s="21"/>
      <c r="AS510" s="21"/>
      <c r="AT510" s="24"/>
      <c r="AU510" s="21"/>
      <c r="BA510" s="17"/>
    </row>
    <row r="511">
      <c r="AO511" s="21"/>
      <c r="AP511" s="24"/>
      <c r="AQ511" s="21"/>
      <c r="AS511" s="21"/>
      <c r="AT511" s="24"/>
      <c r="AU511" s="21"/>
      <c r="BA511" s="17"/>
    </row>
    <row r="512">
      <c r="AO512" s="21"/>
      <c r="AP512" s="24"/>
      <c r="AQ512" s="21"/>
      <c r="AS512" s="21"/>
      <c r="AT512" s="24"/>
      <c r="AU512" s="21"/>
      <c r="BA512" s="17"/>
    </row>
    <row r="513">
      <c r="AO513" s="21"/>
      <c r="AP513" s="24"/>
      <c r="AQ513" s="21"/>
      <c r="AS513" s="21"/>
      <c r="AT513" s="24"/>
      <c r="AU513" s="21"/>
      <c r="BA513" s="8"/>
    </row>
    <row r="514">
      <c r="AO514" s="21"/>
      <c r="AP514" s="24"/>
      <c r="AQ514" s="21"/>
      <c r="AS514" s="21"/>
      <c r="AT514" s="24"/>
      <c r="AU514" s="21"/>
      <c r="BA514" s="27"/>
    </row>
    <row r="515">
      <c r="AO515" s="21"/>
      <c r="AP515" s="24"/>
      <c r="AQ515" s="21"/>
      <c r="AS515" s="21"/>
      <c r="AT515" s="24"/>
      <c r="AU515" s="21"/>
      <c r="BA515" s="17"/>
    </row>
    <row r="516">
      <c r="AO516" s="21"/>
      <c r="AP516" s="24"/>
      <c r="AQ516" s="21"/>
      <c r="AS516" s="21"/>
      <c r="AT516" s="24"/>
      <c r="AU516" s="21"/>
      <c r="BA516" s="27"/>
    </row>
    <row r="517">
      <c r="AO517" s="21"/>
      <c r="AP517" s="24"/>
      <c r="AQ517" s="21"/>
      <c r="AS517" s="21"/>
      <c r="AT517" s="24"/>
      <c r="AU517" s="21"/>
      <c r="BA517" s="27"/>
    </row>
    <row r="518">
      <c r="AO518" s="21"/>
      <c r="AP518" s="24"/>
      <c r="AQ518" s="21"/>
      <c r="AS518" s="21"/>
      <c r="AT518" s="24"/>
      <c r="AU518" s="21"/>
      <c r="BA518" s="17"/>
    </row>
    <row r="519">
      <c r="AO519" s="21"/>
      <c r="AP519" s="24"/>
      <c r="AQ519" s="21"/>
      <c r="AS519" s="21"/>
      <c r="AT519" s="24"/>
      <c r="AU519" s="21"/>
      <c r="BA519" s="17"/>
    </row>
    <row r="520">
      <c r="AO520" s="21"/>
      <c r="AP520" s="24"/>
      <c r="AQ520" s="21"/>
      <c r="AS520" s="21"/>
      <c r="AT520" s="24"/>
      <c r="AU520" s="21"/>
      <c r="BA520" s="17"/>
    </row>
    <row r="521">
      <c r="AO521" s="21"/>
      <c r="AP521" s="24"/>
      <c r="AQ521" s="21"/>
      <c r="AS521" s="21"/>
      <c r="AT521" s="24"/>
      <c r="AU521" s="21"/>
      <c r="BA521" s="8"/>
    </row>
    <row r="522">
      <c r="AO522" s="21"/>
      <c r="AP522" s="24"/>
      <c r="AQ522" s="21"/>
      <c r="AS522" s="21"/>
      <c r="AT522" s="24"/>
      <c r="AU522" s="21"/>
      <c r="BA522" s="27"/>
    </row>
    <row r="523">
      <c r="AO523" s="21"/>
      <c r="AP523" s="24"/>
      <c r="AQ523" s="21"/>
      <c r="AS523" s="21"/>
      <c r="AT523" s="24"/>
      <c r="AU523" s="21"/>
      <c r="BA523" s="17"/>
    </row>
    <row r="524">
      <c r="AO524" s="21"/>
      <c r="AP524" s="24"/>
      <c r="AQ524" s="21"/>
      <c r="AS524" s="21"/>
      <c r="AT524" s="24"/>
      <c r="AU524" s="21"/>
      <c r="BA524" s="27"/>
    </row>
    <row r="525">
      <c r="AO525" s="21"/>
      <c r="AP525" s="24"/>
      <c r="AQ525" s="21"/>
      <c r="AS525" s="21"/>
      <c r="AT525" s="24"/>
      <c r="AU525" s="21"/>
      <c r="BA525" s="27"/>
    </row>
    <row r="526">
      <c r="AO526" s="21"/>
      <c r="AP526" s="24"/>
      <c r="AQ526" s="21"/>
      <c r="AS526" s="21"/>
      <c r="AT526" s="24"/>
      <c r="AU526" s="21"/>
      <c r="BA526" s="17"/>
    </row>
    <row r="527">
      <c r="AO527" s="21"/>
      <c r="AP527" s="24"/>
      <c r="AQ527" s="21"/>
      <c r="AS527" s="21"/>
      <c r="AT527" s="24"/>
      <c r="AU527" s="21"/>
      <c r="BA527" s="17"/>
    </row>
    <row r="528">
      <c r="AO528" s="21"/>
      <c r="AP528" s="24"/>
      <c r="AQ528" s="21"/>
      <c r="AS528" s="21"/>
      <c r="AT528" s="24"/>
      <c r="AU528" s="21"/>
      <c r="BA528" s="17"/>
    </row>
    <row r="529">
      <c r="AO529" s="21"/>
      <c r="AP529" s="24"/>
      <c r="AQ529" s="21"/>
      <c r="AS529" s="21"/>
      <c r="AT529" s="24"/>
      <c r="AU529" s="21"/>
      <c r="BA529" s="8"/>
    </row>
    <row r="530">
      <c r="AO530" s="21"/>
      <c r="AP530" s="24"/>
      <c r="AQ530" s="21"/>
      <c r="AS530" s="21"/>
      <c r="AT530" s="24"/>
      <c r="AU530" s="21"/>
      <c r="BA530" s="27"/>
    </row>
    <row r="531">
      <c r="AO531" s="21"/>
      <c r="AP531" s="24"/>
      <c r="AQ531" s="21"/>
      <c r="AS531" s="21"/>
      <c r="AT531" s="24"/>
      <c r="AU531" s="21"/>
      <c r="BA531" s="17"/>
    </row>
    <row r="532">
      <c r="AO532" s="21"/>
      <c r="AP532" s="24"/>
      <c r="AQ532" s="21"/>
      <c r="AS532" s="21"/>
      <c r="AT532" s="24"/>
      <c r="AU532" s="21"/>
      <c r="BA532" s="27"/>
    </row>
    <row r="533">
      <c r="AO533" s="21"/>
      <c r="AP533" s="24"/>
      <c r="AQ533" s="21"/>
      <c r="AS533" s="21"/>
      <c r="AT533" s="24"/>
      <c r="AU533" s="21"/>
      <c r="BA533" s="27"/>
    </row>
    <row r="534">
      <c r="AO534" s="21"/>
      <c r="AP534" s="24"/>
      <c r="AQ534" s="21"/>
      <c r="AS534" s="21"/>
      <c r="AT534" s="24"/>
      <c r="AU534" s="21"/>
      <c r="BA534" s="17"/>
    </row>
    <row r="535">
      <c r="AO535" s="21"/>
      <c r="AP535" s="24"/>
      <c r="AQ535" s="21"/>
      <c r="AS535" s="21"/>
      <c r="AT535" s="24"/>
      <c r="AU535" s="21"/>
      <c r="BA535" s="17"/>
    </row>
    <row r="536">
      <c r="AO536" s="21"/>
      <c r="AP536" s="24"/>
      <c r="AQ536" s="21"/>
      <c r="AS536" s="21"/>
      <c r="AT536" s="24"/>
      <c r="AU536" s="21"/>
      <c r="BA536" s="17"/>
    </row>
    <row r="537">
      <c r="AO537" s="21"/>
      <c r="AP537" s="24"/>
      <c r="AQ537" s="21"/>
      <c r="AS537" s="21"/>
      <c r="AT537" s="24"/>
      <c r="AU537" s="21"/>
      <c r="BA537" s="8"/>
    </row>
    <row r="538">
      <c r="AO538" s="21"/>
      <c r="AP538" s="24"/>
      <c r="AQ538" s="21"/>
      <c r="AS538" s="21"/>
      <c r="AT538" s="24"/>
      <c r="AU538" s="21"/>
      <c r="BA538" s="27"/>
    </row>
    <row r="539">
      <c r="AO539" s="21"/>
      <c r="AP539" s="24"/>
      <c r="AQ539" s="21"/>
      <c r="AS539" s="21"/>
      <c r="AT539" s="24"/>
      <c r="AU539" s="21"/>
      <c r="BA539" s="17"/>
    </row>
    <row r="540">
      <c r="AO540" s="21"/>
      <c r="AP540" s="24"/>
      <c r="AQ540" s="21"/>
      <c r="AS540" s="21"/>
      <c r="AT540" s="24"/>
      <c r="AU540" s="21"/>
      <c r="BA540" s="27"/>
    </row>
    <row r="541">
      <c r="AO541" s="21"/>
      <c r="AP541" s="24"/>
      <c r="AQ541" s="21"/>
      <c r="AS541" s="21"/>
      <c r="AT541" s="24"/>
      <c r="AU541" s="21"/>
      <c r="BA541" s="27"/>
    </row>
    <row r="542">
      <c r="AO542" s="21"/>
      <c r="AP542" s="24"/>
      <c r="AQ542" s="21"/>
      <c r="AS542" s="21"/>
      <c r="AT542" s="24"/>
      <c r="AU542" s="21"/>
      <c r="BA542" s="17"/>
    </row>
    <row r="543">
      <c r="AO543" s="21"/>
      <c r="AP543" s="24"/>
      <c r="AQ543" s="21"/>
      <c r="AS543" s="21"/>
      <c r="AT543" s="24"/>
      <c r="AU543" s="21"/>
      <c r="BA543" s="17"/>
    </row>
    <row r="544">
      <c r="AO544" s="21"/>
      <c r="AP544" s="24"/>
      <c r="AQ544" s="21"/>
      <c r="AS544" s="21"/>
      <c r="AT544" s="24"/>
      <c r="AU544" s="21"/>
      <c r="BA544" s="17"/>
    </row>
    <row r="545">
      <c r="AO545" s="21"/>
      <c r="AP545" s="24"/>
      <c r="AQ545" s="21"/>
      <c r="AS545" s="21"/>
      <c r="AT545" s="24"/>
      <c r="AU545" s="21"/>
      <c r="BA545" s="8"/>
    </row>
    <row r="546">
      <c r="AO546" s="21"/>
      <c r="AP546" s="24"/>
      <c r="AQ546" s="21"/>
      <c r="AS546" s="21"/>
      <c r="AT546" s="24"/>
      <c r="AU546" s="21"/>
      <c r="BA546" s="27"/>
    </row>
    <row r="547">
      <c r="AO547" s="21"/>
      <c r="AP547" s="24"/>
      <c r="AQ547" s="21"/>
      <c r="AS547" s="21"/>
      <c r="AT547" s="24"/>
      <c r="AU547" s="21"/>
      <c r="BA547" s="17"/>
    </row>
    <row r="548">
      <c r="AO548" s="21"/>
      <c r="AP548" s="24"/>
      <c r="AQ548" s="21"/>
      <c r="AS548" s="21"/>
      <c r="AT548" s="24"/>
      <c r="AU548" s="21"/>
      <c r="BA548" s="27"/>
    </row>
    <row r="549">
      <c r="AO549" s="21"/>
      <c r="AP549" s="24"/>
      <c r="AQ549" s="21"/>
      <c r="AS549" s="21"/>
      <c r="AT549" s="24"/>
      <c r="AU549" s="21"/>
      <c r="BA549" s="27"/>
    </row>
    <row r="550">
      <c r="AO550" s="21"/>
      <c r="AP550" s="24"/>
      <c r="AQ550" s="21"/>
      <c r="AS550" s="21"/>
      <c r="AT550" s="24"/>
      <c r="AU550" s="21"/>
      <c r="BA550" s="17"/>
    </row>
    <row r="551">
      <c r="AO551" s="21"/>
      <c r="AP551" s="24"/>
      <c r="AQ551" s="21"/>
      <c r="AS551" s="21"/>
      <c r="AT551" s="24"/>
      <c r="AU551" s="21"/>
      <c r="BA551" s="17"/>
    </row>
    <row r="552">
      <c r="AO552" s="21"/>
      <c r="AP552" s="24"/>
      <c r="AQ552" s="21"/>
      <c r="AS552" s="21"/>
      <c r="AT552" s="24"/>
      <c r="AU552" s="21"/>
      <c r="BA552" s="17"/>
    </row>
    <row r="553">
      <c r="AO553" s="21"/>
      <c r="AP553" s="24"/>
      <c r="AQ553" s="21"/>
      <c r="AS553" s="21"/>
      <c r="AT553" s="24"/>
      <c r="AU553" s="21"/>
      <c r="BA553" s="8"/>
    </row>
    <row r="554">
      <c r="AO554" s="21"/>
      <c r="AP554" s="24"/>
      <c r="AQ554" s="21"/>
      <c r="AS554" s="21"/>
      <c r="AT554" s="24"/>
      <c r="AU554" s="21"/>
      <c r="BA554" s="27"/>
    </row>
    <row r="555">
      <c r="AO555" s="21"/>
      <c r="AP555" s="24"/>
      <c r="AQ555" s="21"/>
      <c r="AS555" s="21"/>
      <c r="AT555" s="24"/>
      <c r="AU555" s="21"/>
      <c r="BA555" s="17"/>
    </row>
    <row r="556">
      <c r="AO556" s="21"/>
      <c r="AP556" s="24"/>
      <c r="AQ556" s="21"/>
      <c r="AS556" s="21"/>
      <c r="AT556" s="24"/>
      <c r="AU556" s="21"/>
      <c r="BA556" s="27"/>
    </row>
    <row r="557">
      <c r="AO557" s="21"/>
      <c r="AP557" s="24"/>
      <c r="AQ557" s="21"/>
      <c r="AS557" s="21"/>
      <c r="AT557" s="24"/>
      <c r="AU557" s="21"/>
      <c r="BA557" s="27"/>
    </row>
    <row r="558">
      <c r="AO558" s="21"/>
      <c r="AP558" s="24"/>
      <c r="AQ558" s="21"/>
      <c r="AS558" s="21"/>
      <c r="AT558" s="24"/>
      <c r="AU558" s="21"/>
      <c r="BA558" s="17"/>
    </row>
    <row r="559">
      <c r="AO559" s="21"/>
      <c r="AP559" s="24"/>
      <c r="AQ559" s="21"/>
      <c r="AS559" s="21"/>
      <c r="AT559" s="24"/>
      <c r="AU559" s="21"/>
      <c r="BA559" s="17"/>
    </row>
    <row r="560">
      <c r="AO560" s="21"/>
      <c r="AP560" s="24"/>
      <c r="AQ560" s="21"/>
      <c r="AS560" s="21"/>
      <c r="AT560" s="24"/>
      <c r="AU560" s="21"/>
      <c r="BA560" s="17"/>
    </row>
    <row r="561">
      <c r="AO561" s="21"/>
      <c r="AP561" s="24"/>
      <c r="AQ561" s="21"/>
      <c r="AS561" s="21"/>
      <c r="AT561" s="24"/>
      <c r="AU561" s="21"/>
      <c r="BA561" s="8"/>
    </row>
    <row r="562">
      <c r="AO562" s="21"/>
      <c r="AP562" s="24"/>
      <c r="AQ562" s="21"/>
      <c r="AS562" s="21"/>
      <c r="AT562" s="24"/>
      <c r="AU562" s="21"/>
      <c r="BA562" s="27"/>
    </row>
    <row r="563">
      <c r="AO563" s="21"/>
      <c r="AP563" s="24"/>
      <c r="AQ563" s="21"/>
      <c r="AS563" s="21"/>
      <c r="AT563" s="24"/>
      <c r="AU563" s="21"/>
      <c r="BA563" s="17"/>
    </row>
    <row r="564">
      <c r="AO564" s="21"/>
      <c r="AP564" s="24"/>
      <c r="AQ564" s="21"/>
      <c r="AS564" s="21"/>
      <c r="AT564" s="24"/>
      <c r="AU564" s="21"/>
      <c r="BA564" s="27"/>
    </row>
    <row r="565">
      <c r="AO565" s="21"/>
      <c r="AP565" s="24"/>
      <c r="AQ565" s="21"/>
      <c r="AS565" s="21"/>
      <c r="AT565" s="24"/>
      <c r="AU565" s="21"/>
      <c r="BA565" s="27"/>
    </row>
    <row r="566">
      <c r="AO566" s="21"/>
      <c r="AP566" s="24"/>
      <c r="AQ566" s="21"/>
      <c r="AS566" s="21"/>
      <c r="AT566" s="24"/>
      <c r="AU566" s="21"/>
      <c r="BA566" s="17"/>
    </row>
    <row r="567">
      <c r="AO567" s="21"/>
      <c r="AP567" s="24"/>
      <c r="AQ567" s="21"/>
      <c r="AS567" s="21"/>
      <c r="AT567" s="24"/>
      <c r="AU567" s="21"/>
      <c r="BA567" s="17"/>
    </row>
    <row r="568">
      <c r="AO568" s="21"/>
      <c r="AP568" s="24"/>
      <c r="AQ568" s="21"/>
      <c r="AS568" s="21"/>
      <c r="AT568" s="24"/>
      <c r="AU568" s="21"/>
      <c r="BA568" s="17"/>
    </row>
    <row r="569">
      <c r="AO569" s="21"/>
      <c r="AP569" s="24"/>
      <c r="AQ569" s="21"/>
      <c r="AS569" s="21"/>
      <c r="AT569" s="24"/>
      <c r="AU569" s="21"/>
      <c r="BA569" s="8"/>
    </row>
    <row r="570">
      <c r="AO570" s="21"/>
      <c r="AP570" s="24"/>
      <c r="AQ570" s="21"/>
      <c r="AS570" s="21"/>
      <c r="AT570" s="24"/>
      <c r="AU570" s="21"/>
      <c r="BA570" s="27"/>
    </row>
    <row r="571">
      <c r="AO571" s="21"/>
      <c r="AP571" s="24"/>
      <c r="AQ571" s="21"/>
      <c r="AS571" s="21"/>
      <c r="AT571" s="24"/>
      <c r="AU571" s="21"/>
      <c r="BA571" s="17"/>
    </row>
    <row r="572">
      <c r="AO572" s="21"/>
      <c r="AP572" s="24"/>
      <c r="AQ572" s="21"/>
      <c r="AS572" s="21"/>
      <c r="AT572" s="24"/>
      <c r="AU572" s="21"/>
      <c r="BA572" s="27"/>
    </row>
    <row r="573">
      <c r="AO573" s="21"/>
      <c r="AP573" s="24"/>
      <c r="AQ573" s="21"/>
      <c r="AS573" s="21"/>
      <c r="AT573" s="24"/>
      <c r="AU573" s="21"/>
      <c r="BA573" s="27"/>
    </row>
    <row r="574">
      <c r="AO574" s="21"/>
      <c r="AP574" s="24"/>
      <c r="AQ574" s="21"/>
      <c r="AS574" s="21"/>
      <c r="AT574" s="24"/>
      <c r="AU574" s="21"/>
      <c r="BA574" s="17"/>
    </row>
    <row r="575">
      <c r="AO575" s="21"/>
      <c r="AP575" s="24"/>
      <c r="AQ575" s="21"/>
      <c r="AS575" s="21"/>
      <c r="AT575" s="24"/>
      <c r="AU575" s="21"/>
      <c r="BA575" s="17"/>
    </row>
    <row r="576">
      <c r="AO576" s="21"/>
      <c r="AP576" s="24"/>
      <c r="AQ576" s="21"/>
      <c r="AS576" s="21"/>
      <c r="AT576" s="24"/>
      <c r="AU576" s="21"/>
      <c r="BA576" s="17"/>
    </row>
    <row r="577">
      <c r="AO577" s="21"/>
      <c r="AP577" s="24"/>
      <c r="AQ577" s="21"/>
      <c r="AS577" s="21"/>
      <c r="AT577" s="24"/>
      <c r="AU577" s="21"/>
      <c r="BA577" s="8"/>
    </row>
    <row r="578">
      <c r="AO578" s="21"/>
      <c r="AP578" s="24"/>
      <c r="AQ578" s="21"/>
      <c r="AS578" s="21"/>
      <c r="AT578" s="24"/>
      <c r="AU578" s="21"/>
      <c r="BA578" s="27"/>
    </row>
    <row r="579">
      <c r="AO579" s="21"/>
      <c r="AP579" s="24"/>
      <c r="AQ579" s="21"/>
      <c r="AS579" s="21"/>
      <c r="AT579" s="24"/>
      <c r="AU579" s="21"/>
      <c r="BA579" s="17"/>
    </row>
    <row r="580">
      <c r="AO580" s="21"/>
      <c r="AP580" s="24"/>
      <c r="AQ580" s="21"/>
      <c r="AS580" s="21"/>
      <c r="AT580" s="24"/>
      <c r="AU580" s="21"/>
      <c r="BA580" s="27"/>
    </row>
    <row r="581">
      <c r="AO581" s="21"/>
      <c r="AP581" s="24"/>
      <c r="AQ581" s="21"/>
      <c r="AS581" s="21"/>
      <c r="AT581" s="24"/>
      <c r="AU581" s="21"/>
      <c r="BA581" s="27"/>
    </row>
    <row r="582">
      <c r="AO582" s="21"/>
      <c r="AP582" s="24"/>
      <c r="AQ582" s="21"/>
      <c r="AS582" s="21"/>
      <c r="AT582" s="24"/>
      <c r="AU582" s="21"/>
      <c r="BA582" s="17"/>
    </row>
    <row r="583">
      <c r="AO583" s="21"/>
      <c r="AP583" s="24"/>
      <c r="AQ583" s="21"/>
      <c r="AS583" s="21"/>
      <c r="AT583" s="24"/>
      <c r="AU583" s="21"/>
      <c r="BA583" s="17"/>
    </row>
    <row r="584">
      <c r="AO584" s="21"/>
      <c r="AP584" s="24"/>
      <c r="AQ584" s="21"/>
      <c r="AS584" s="21"/>
      <c r="AT584" s="24"/>
      <c r="AU584" s="21"/>
      <c r="BA584" s="17"/>
    </row>
    <row r="585">
      <c r="AO585" s="21"/>
      <c r="AP585" s="24"/>
      <c r="AQ585" s="21"/>
      <c r="AS585" s="21"/>
      <c r="AT585" s="24"/>
      <c r="AU585" s="21"/>
      <c r="BA585" s="8"/>
    </row>
    <row r="586">
      <c r="AO586" s="21"/>
      <c r="AP586" s="24"/>
      <c r="AQ586" s="21"/>
      <c r="AS586" s="21"/>
      <c r="AT586" s="24"/>
      <c r="AU586" s="21"/>
      <c r="BA586" s="27"/>
    </row>
    <row r="587">
      <c r="AO587" s="21"/>
      <c r="AP587" s="24"/>
      <c r="AQ587" s="21"/>
      <c r="AS587" s="21"/>
      <c r="AT587" s="24"/>
      <c r="AU587" s="21"/>
      <c r="BA587" s="17"/>
    </row>
    <row r="588">
      <c r="AO588" s="21"/>
      <c r="AP588" s="24"/>
      <c r="AQ588" s="21"/>
      <c r="AS588" s="21"/>
      <c r="AT588" s="24"/>
      <c r="AU588" s="21"/>
      <c r="BA588" s="27"/>
    </row>
    <row r="589">
      <c r="AO589" s="21"/>
      <c r="AP589" s="24"/>
      <c r="AQ589" s="21"/>
      <c r="AS589" s="21"/>
      <c r="AT589" s="24"/>
      <c r="AU589" s="21"/>
      <c r="BA589" s="27"/>
    </row>
    <row r="590">
      <c r="AO590" s="21"/>
      <c r="AP590" s="24"/>
      <c r="AQ590" s="21"/>
      <c r="AS590" s="21"/>
      <c r="AT590" s="24"/>
      <c r="AU590" s="21"/>
      <c r="BA590" s="17"/>
    </row>
    <row r="591">
      <c r="AO591" s="21"/>
      <c r="AP591" s="24"/>
      <c r="AQ591" s="21"/>
      <c r="AS591" s="21"/>
      <c r="AT591" s="24"/>
      <c r="AU591" s="21"/>
      <c r="BA591" s="17"/>
    </row>
    <row r="592">
      <c r="AO592" s="21"/>
      <c r="AP592" s="24"/>
      <c r="AQ592" s="21"/>
      <c r="AS592" s="21"/>
      <c r="AT592" s="24"/>
      <c r="AU592" s="21"/>
      <c r="BA592" s="17"/>
    </row>
    <row r="593">
      <c r="AO593" s="21"/>
      <c r="AP593" s="24"/>
      <c r="AQ593" s="21"/>
      <c r="AS593" s="21"/>
      <c r="AT593" s="24"/>
      <c r="AU593" s="21"/>
      <c r="BA593" s="8"/>
    </row>
    <row r="594">
      <c r="AO594" s="21"/>
      <c r="AP594" s="24"/>
      <c r="AQ594" s="21"/>
      <c r="AS594" s="21"/>
      <c r="AT594" s="24"/>
      <c r="AU594" s="21"/>
      <c r="BA594" s="27"/>
    </row>
    <row r="595">
      <c r="AO595" s="21"/>
      <c r="AP595" s="24"/>
      <c r="AQ595" s="21"/>
      <c r="AS595" s="21"/>
      <c r="AT595" s="24"/>
      <c r="AU595" s="21"/>
      <c r="BA595" s="17"/>
    </row>
    <row r="596">
      <c r="AO596" s="21"/>
      <c r="AP596" s="24"/>
      <c r="AQ596" s="21"/>
      <c r="AS596" s="21"/>
      <c r="AT596" s="24"/>
      <c r="AU596" s="21"/>
      <c r="BA596" s="27"/>
    </row>
    <row r="597">
      <c r="AO597" s="21"/>
      <c r="AP597" s="24"/>
      <c r="AQ597" s="21"/>
      <c r="AS597" s="21"/>
      <c r="AT597" s="24"/>
      <c r="AU597" s="21"/>
      <c r="BA597" s="27"/>
    </row>
    <row r="598">
      <c r="AO598" s="21"/>
      <c r="AP598" s="24"/>
      <c r="AQ598" s="21"/>
      <c r="AS598" s="21"/>
      <c r="AT598" s="24"/>
      <c r="AU598" s="21"/>
      <c r="BA598" s="17"/>
    </row>
    <row r="599">
      <c r="AO599" s="21"/>
      <c r="AP599" s="24"/>
      <c r="AQ599" s="21"/>
      <c r="AS599" s="21"/>
      <c r="AT599" s="24"/>
      <c r="AU599" s="21"/>
      <c r="BA599" s="17"/>
    </row>
    <row r="600">
      <c r="AO600" s="21"/>
      <c r="AP600" s="24"/>
      <c r="AQ600" s="21"/>
      <c r="AS600" s="21"/>
      <c r="AT600" s="24"/>
      <c r="AU600" s="21"/>
      <c r="BA600" s="17"/>
    </row>
    <row r="601">
      <c r="AO601" s="21"/>
      <c r="AP601" s="24"/>
      <c r="AQ601" s="21"/>
      <c r="AS601" s="21"/>
      <c r="AT601" s="24"/>
      <c r="AU601" s="21"/>
      <c r="BA601" s="8"/>
    </row>
    <row r="602">
      <c r="AO602" s="21"/>
      <c r="AP602" s="24"/>
      <c r="AQ602" s="21"/>
      <c r="AS602" s="21"/>
      <c r="AT602" s="24"/>
      <c r="AU602" s="21"/>
      <c r="BA602" s="27"/>
    </row>
    <row r="603">
      <c r="AO603" s="21"/>
      <c r="AP603" s="24"/>
      <c r="AQ603" s="21"/>
      <c r="AS603" s="21"/>
      <c r="AT603" s="24"/>
      <c r="AU603" s="21"/>
      <c r="BA603" s="17"/>
    </row>
    <row r="604">
      <c r="AO604" s="21"/>
      <c r="AP604" s="24"/>
      <c r="AQ604" s="21"/>
      <c r="AS604" s="21"/>
      <c r="AT604" s="24"/>
      <c r="AU604" s="21"/>
      <c r="BA604" s="27"/>
    </row>
    <row r="605">
      <c r="AO605" s="21"/>
      <c r="AP605" s="24"/>
      <c r="AQ605" s="21"/>
      <c r="AS605" s="21"/>
      <c r="AT605" s="24"/>
      <c r="AU605" s="21"/>
      <c r="BA605" s="27"/>
    </row>
    <row r="606">
      <c r="AO606" s="21"/>
      <c r="AP606" s="24"/>
      <c r="AQ606" s="21"/>
      <c r="AS606" s="21"/>
      <c r="AT606" s="24"/>
      <c r="AU606" s="21"/>
      <c r="BA606" s="17"/>
    </row>
    <row r="607">
      <c r="AO607" s="21"/>
      <c r="AP607" s="24"/>
      <c r="AQ607" s="21"/>
      <c r="AS607" s="21"/>
      <c r="AT607" s="24"/>
      <c r="AU607" s="21"/>
      <c r="BA607" s="17"/>
    </row>
    <row r="608">
      <c r="AO608" s="21"/>
      <c r="AP608" s="24"/>
      <c r="AQ608" s="21"/>
      <c r="AS608" s="21"/>
      <c r="AT608" s="24"/>
      <c r="AU608" s="21"/>
      <c r="BA608" s="17"/>
    </row>
    <row r="609">
      <c r="AO609" s="21"/>
      <c r="AP609" s="24"/>
      <c r="AQ609" s="21"/>
      <c r="AS609" s="21"/>
      <c r="AT609" s="24"/>
      <c r="AU609" s="21"/>
      <c r="BA609" s="8"/>
    </row>
    <row r="610">
      <c r="AO610" s="21"/>
      <c r="AP610" s="24"/>
      <c r="AQ610" s="21"/>
      <c r="AS610" s="21"/>
      <c r="AT610" s="24"/>
      <c r="AU610" s="21"/>
      <c r="BA610" s="27"/>
    </row>
    <row r="611">
      <c r="AO611" s="21"/>
      <c r="AP611" s="24"/>
      <c r="AQ611" s="21"/>
      <c r="AS611" s="21"/>
      <c r="AT611" s="24"/>
      <c r="AU611" s="21"/>
      <c r="BA611" s="17"/>
    </row>
    <row r="612">
      <c r="AO612" s="21"/>
      <c r="AP612" s="24"/>
      <c r="AQ612" s="21"/>
      <c r="AS612" s="21"/>
      <c r="AT612" s="24"/>
      <c r="AU612" s="21"/>
      <c r="BA612" s="27"/>
    </row>
    <row r="613">
      <c r="AO613" s="21"/>
      <c r="AP613" s="24"/>
      <c r="AQ613" s="21"/>
      <c r="AS613" s="21"/>
      <c r="AT613" s="24"/>
      <c r="AU613" s="21"/>
      <c r="BA613" s="27"/>
    </row>
    <row r="614">
      <c r="AO614" s="21"/>
      <c r="AP614" s="24"/>
      <c r="AQ614" s="21"/>
      <c r="AS614" s="21"/>
      <c r="AT614" s="24"/>
      <c r="AU614" s="21"/>
      <c r="BA614" s="17"/>
    </row>
    <row r="615">
      <c r="AO615" s="21"/>
      <c r="AP615" s="24"/>
      <c r="AQ615" s="21"/>
      <c r="AS615" s="21"/>
      <c r="AT615" s="24"/>
      <c r="AU615" s="21"/>
      <c r="BA615" s="17"/>
    </row>
    <row r="616">
      <c r="AO616" s="21"/>
      <c r="AP616" s="24"/>
      <c r="AQ616" s="21"/>
      <c r="AS616" s="21"/>
      <c r="AT616" s="24"/>
      <c r="AU616" s="21"/>
      <c r="BA616" s="17"/>
    </row>
    <row r="617">
      <c r="AO617" s="21"/>
      <c r="AP617" s="24"/>
      <c r="AQ617" s="21"/>
      <c r="AS617" s="21"/>
      <c r="AT617" s="24"/>
      <c r="AU617" s="21"/>
      <c r="BA617" s="8"/>
    </row>
    <row r="618">
      <c r="AO618" s="21"/>
      <c r="AP618" s="24"/>
      <c r="AQ618" s="21"/>
      <c r="AS618" s="21"/>
      <c r="AT618" s="24"/>
      <c r="AU618" s="21"/>
      <c r="BA618" s="27"/>
    </row>
    <row r="619">
      <c r="AO619" s="21"/>
      <c r="AP619" s="24"/>
      <c r="AQ619" s="21"/>
      <c r="AS619" s="21"/>
      <c r="AT619" s="24"/>
      <c r="AU619" s="21"/>
      <c r="BA619" s="17"/>
    </row>
    <row r="620">
      <c r="AO620" s="21"/>
      <c r="AP620" s="24"/>
      <c r="AQ620" s="21"/>
      <c r="AS620" s="21"/>
      <c r="AT620" s="24"/>
      <c r="AU620" s="21"/>
      <c r="BA620" s="27"/>
    </row>
    <row r="621">
      <c r="AO621" s="21"/>
      <c r="AP621" s="24"/>
      <c r="AQ621" s="21"/>
      <c r="AS621" s="21"/>
      <c r="AT621" s="24"/>
      <c r="AU621" s="21"/>
      <c r="BA621" s="27"/>
    </row>
    <row r="622">
      <c r="AO622" s="21"/>
      <c r="AP622" s="24"/>
      <c r="AQ622" s="21"/>
      <c r="AS622" s="21"/>
      <c r="AT622" s="24"/>
      <c r="AU622" s="21"/>
      <c r="BA622" s="17"/>
    </row>
    <row r="623">
      <c r="AO623" s="21"/>
      <c r="AP623" s="24"/>
      <c r="AQ623" s="21"/>
      <c r="AS623" s="21"/>
      <c r="AT623" s="24"/>
      <c r="AU623" s="21"/>
      <c r="BA623" s="17"/>
    </row>
    <row r="624">
      <c r="AO624" s="21"/>
      <c r="AP624" s="24"/>
      <c r="AQ624" s="21"/>
      <c r="AS624" s="21"/>
      <c r="AT624" s="24"/>
      <c r="AU624" s="21"/>
      <c r="BA624" s="17"/>
    </row>
    <row r="625">
      <c r="AO625" s="21"/>
      <c r="AP625" s="24"/>
      <c r="AQ625" s="21"/>
      <c r="AS625" s="21"/>
      <c r="AT625" s="24"/>
      <c r="AU625" s="21"/>
      <c r="BA625" s="8"/>
    </row>
    <row r="626">
      <c r="AO626" s="21"/>
      <c r="AP626" s="24"/>
      <c r="AQ626" s="21"/>
      <c r="AS626" s="21"/>
      <c r="AT626" s="24"/>
      <c r="AU626" s="21"/>
      <c r="BA626" s="27"/>
    </row>
    <row r="627">
      <c r="AO627" s="21"/>
      <c r="AP627" s="24"/>
      <c r="AQ627" s="21"/>
      <c r="AS627" s="21"/>
      <c r="AT627" s="24"/>
      <c r="AU627" s="21"/>
      <c r="BA627" s="17"/>
    </row>
    <row r="628">
      <c r="AO628" s="21"/>
      <c r="AP628" s="24"/>
      <c r="AQ628" s="21"/>
      <c r="AS628" s="21"/>
      <c r="AT628" s="24"/>
      <c r="AU628" s="21"/>
      <c r="BA628" s="27"/>
    </row>
    <row r="629">
      <c r="AO629" s="21"/>
      <c r="AP629" s="24"/>
      <c r="AQ629" s="21"/>
      <c r="AS629" s="21"/>
      <c r="AT629" s="24"/>
      <c r="AU629" s="21"/>
      <c r="BA629" s="27"/>
    </row>
    <row r="630">
      <c r="AO630" s="21"/>
      <c r="AP630" s="24"/>
      <c r="AQ630" s="21"/>
      <c r="AS630" s="21"/>
      <c r="AT630" s="24"/>
      <c r="AU630" s="21"/>
      <c r="BA630" s="17"/>
    </row>
    <row r="631">
      <c r="AO631" s="21"/>
      <c r="AP631" s="24"/>
      <c r="AQ631" s="21"/>
      <c r="AS631" s="21"/>
      <c r="AT631" s="24"/>
      <c r="AU631" s="21"/>
      <c r="BA631" s="17"/>
    </row>
    <row r="632">
      <c r="AO632" s="21"/>
      <c r="AP632" s="24"/>
      <c r="AQ632" s="21"/>
      <c r="AS632" s="21"/>
      <c r="AT632" s="24"/>
      <c r="AU632" s="21"/>
      <c r="BA632" s="17"/>
    </row>
    <row r="633">
      <c r="AO633" s="21"/>
      <c r="AP633" s="24"/>
      <c r="AQ633" s="21"/>
      <c r="AS633" s="21"/>
      <c r="AT633" s="24"/>
      <c r="AU633" s="21"/>
      <c r="BA633" s="8"/>
    </row>
    <row r="634">
      <c r="AO634" s="21"/>
      <c r="AP634" s="24"/>
      <c r="AQ634" s="21"/>
      <c r="AS634" s="21"/>
      <c r="AT634" s="24"/>
      <c r="AU634" s="21"/>
      <c r="BA634" s="27"/>
    </row>
    <row r="635">
      <c r="AO635" s="21"/>
      <c r="AP635" s="24"/>
      <c r="AQ635" s="21"/>
      <c r="AS635" s="21"/>
      <c r="AT635" s="24"/>
      <c r="AU635" s="21"/>
      <c r="BA635" s="17"/>
    </row>
    <row r="636">
      <c r="AO636" s="21"/>
      <c r="AP636" s="24"/>
      <c r="AQ636" s="21"/>
      <c r="AS636" s="21"/>
      <c r="AT636" s="24"/>
      <c r="AU636" s="21"/>
      <c r="BA636" s="27"/>
    </row>
    <row r="637">
      <c r="AO637" s="21"/>
      <c r="AP637" s="24"/>
      <c r="AQ637" s="21"/>
      <c r="AS637" s="21"/>
      <c r="AT637" s="24"/>
      <c r="AU637" s="21"/>
      <c r="BA637" s="27"/>
    </row>
    <row r="638">
      <c r="AO638" s="21"/>
      <c r="AP638" s="24"/>
      <c r="AQ638" s="21"/>
      <c r="AS638" s="21"/>
      <c r="AT638" s="24"/>
      <c r="AU638" s="21"/>
      <c r="BA638" s="17"/>
    </row>
    <row r="639">
      <c r="AO639" s="21"/>
      <c r="AP639" s="24"/>
      <c r="AQ639" s="21"/>
      <c r="AS639" s="21"/>
      <c r="AT639" s="24"/>
      <c r="AU639" s="21"/>
      <c r="BA639" s="17"/>
    </row>
    <row r="640">
      <c r="AO640" s="21"/>
      <c r="AP640" s="24"/>
      <c r="AQ640" s="21"/>
      <c r="AS640" s="21"/>
      <c r="AT640" s="24"/>
      <c r="AU640" s="21"/>
      <c r="BA640" s="17"/>
    </row>
    <row r="641">
      <c r="AO641" s="21"/>
      <c r="AP641" s="24"/>
      <c r="AQ641" s="21"/>
      <c r="AS641" s="21"/>
      <c r="AT641" s="24"/>
      <c r="AU641" s="21"/>
      <c r="BA641" s="8"/>
    </row>
    <row r="642">
      <c r="AO642" s="21"/>
      <c r="AP642" s="24"/>
      <c r="AQ642" s="21"/>
      <c r="AS642" s="21"/>
      <c r="AT642" s="24"/>
      <c r="AU642" s="21"/>
      <c r="BA642" s="27"/>
    </row>
    <row r="643">
      <c r="AO643" s="21"/>
      <c r="AP643" s="24"/>
      <c r="AQ643" s="21"/>
      <c r="AS643" s="21"/>
      <c r="AT643" s="24"/>
      <c r="AU643" s="21"/>
      <c r="BA643" s="17"/>
    </row>
    <row r="644">
      <c r="AO644" s="21"/>
      <c r="AP644" s="24"/>
      <c r="AQ644" s="21"/>
      <c r="AS644" s="21"/>
      <c r="AT644" s="24"/>
      <c r="AU644" s="21"/>
      <c r="BA644" s="27"/>
    </row>
    <row r="645">
      <c r="AO645" s="21"/>
      <c r="AP645" s="24"/>
      <c r="AQ645" s="21"/>
      <c r="AS645" s="21"/>
      <c r="AT645" s="24"/>
      <c r="AU645" s="21"/>
      <c r="BA645" s="27"/>
    </row>
    <row r="646">
      <c r="AO646" s="21"/>
      <c r="AP646" s="24"/>
      <c r="AQ646" s="21"/>
      <c r="AS646" s="21"/>
      <c r="AT646" s="24"/>
      <c r="AU646" s="21"/>
      <c r="BA646" s="17"/>
    </row>
    <row r="647">
      <c r="AO647" s="21"/>
      <c r="AP647" s="24"/>
      <c r="AQ647" s="21"/>
      <c r="AS647" s="21"/>
      <c r="AT647" s="24"/>
      <c r="AU647" s="21"/>
      <c r="BA647" s="17"/>
    </row>
    <row r="648">
      <c r="AO648" s="21"/>
      <c r="AP648" s="24"/>
      <c r="AQ648" s="21"/>
      <c r="AS648" s="21"/>
      <c r="AT648" s="24"/>
      <c r="AU648" s="21"/>
      <c r="BA648" s="17"/>
    </row>
    <row r="649">
      <c r="AO649" s="21"/>
      <c r="AP649" s="24"/>
      <c r="AQ649" s="21"/>
      <c r="AS649" s="21"/>
      <c r="AT649" s="24"/>
      <c r="AU649" s="21"/>
      <c r="BA649" s="8"/>
    </row>
    <row r="650">
      <c r="AO650" s="21"/>
      <c r="AP650" s="24"/>
      <c r="AQ650" s="21"/>
      <c r="AS650" s="21"/>
      <c r="AT650" s="24"/>
      <c r="AU650" s="21"/>
      <c r="BA650" s="27"/>
    </row>
    <row r="651">
      <c r="AO651" s="21"/>
      <c r="AP651" s="24"/>
      <c r="AQ651" s="21"/>
      <c r="AS651" s="21"/>
      <c r="AT651" s="24"/>
      <c r="AU651" s="21"/>
      <c r="BA651" s="17"/>
    </row>
    <row r="652">
      <c r="AO652" s="21"/>
      <c r="AP652" s="24"/>
      <c r="AQ652" s="21"/>
      <c r="AS652" s="21"/>
      <c r="AT652" s="24"/>
      <c r="AU652" s="21"/>
      <c r="BA652" s="27"/>
    </row>
    <row r="653">
      <c r="AO653" s="21"/>
      <c r="AP653" s="24"/>
      <c r="AQ653" s="21"/>
      <c r="AS653" s="21"/>
      <c r="AT653" s="24"/>
      <c r="AU653" s="21"/>
      <c r="BA653" s="27"/>
    </row>
    <row r="654">
      <c r="AO654" s="21"/>
      <c r="AP654" s="24"/>
      <c r="AQ654" s="21"/>
      <c r="AS654" s="21"/>
      <c r="AT654" s="24"/>
      <c r="AU654" s="21"/>
      <c r="BA654" s="17"/>
    </row>
    <row r="655">
      <c r="AO655" s="21"/>
      <c r="AP655" s="24"/>
      <c r="AQ655" s="21"/>
      <c r="AS655" s="21"/>
      <c r="AT655" s="24"/>
      <c r="AU655" s="21"/>
      <c r="BA655" s="17"/>
    </row>
    <row r="656">
      <c r="AO656" s="21"/>
      <c r="AP656" s="24"/>
      <c r="AQ656" s="21"/>
      <c r="AS656" s="21"/>
      <c r="AT656" s="24"/>
      <c r="AU656" s="21"/>
      <c r="BA656" s="17"/>
    </row>
    <row r="657">
      <c r="AO657" s="21"/>
      <c r="AP657" s="24"/>
      <c r="AQ657" s="21"/>
      <c r="AS657" s="21"/>
      <c r="AT657" s="24"/>
      <c r="AU657" s="21"/>
      <c r="BA657" s="8"/>
    </row>
    <row r="658">
      <c r="AO658" s="21"/>
      <c r="AP658" s="24"/>
      <c r="AQ658" s="21"/>
      <c r="AS658" s="21"/>
      <c r="AT658" s="24"/>
      <c r="AU658" s="21"/>
      <c r="BA658" s="27"/>
    </row>
    <row r="659">
      <c r="AO659" s="21"/>
      <c r="AP659" s="24"/>
      <c r="AQ659" s="21"/>
      <c r="AS659" s="21"/>
      <c r="AT659" s="24"/>
      <c r="AU659" s="21"/>
      <c r="BA659" s="17"/>
    </row>
    <row r="660">
      <c r="AO660" s="21"/>
      <c r="AP660" s="24"/>
      <c r="AQ660" s="21"/>
      <c r="AS660" s="21"/>
      <c r="AT660" s="24"/>
      <c r="AU660" s="21"/>
      <c r="BA660" s="27"/>
    </row>
    <row r="661">
      <c r="AO661" s="21"/>
      <c r="AP661" s="24"/>
      <c r="AQ661" s="21"/>
      <c r="AS661" s="21"/>
      <c r="AT661" s="24"/>
      <c r="AU661" s="21"/>
      <c r="BA661" s="27"/>
    </row>
    <row r="662">
      <c r="AO662" s="21"/>
      <c r="AP662" s="24"/>
      <c r="AQ662" s="21"/>
      <c r="AS662" s="21"/>
      <c r="AT662" s="24"/>
      <c r="AU662" s="21"/>
      <c r="BA662" s="17"/>
    </row>
    <row r="663">
      <c r="AO663" s="21"/>
      <c r="AP663" s="24"/>
      <c r="AQ663" s="21"/>
      <c r="AS663" s="21"/>
      <c r="AT663" s="24"/>
      <c r="AU663" s="21"/>
      <c r="BA663" s="17"/>
    </row>
    <row r="664">
      <c r="AO664" s="21"/>
      <c r="AP664" s="24"/>
      <c r="AQ664" s="21"/>
      <c r="AS664" s="21"/>
      <c r="AT664" s="24"/>
      <c r="AU664" s="21"/>
      <c r="BA664" s="17"/>
    </row>
    <row r="665">
      <c r="AO665" s="21"/>
      <c r="AP665" s="24"/>
      <c r="AQ665" s="21"/>
      <c r="AS665" s="21"/>
      <c r="AT665" s="24"/>
      <c r="AU665" s="21"/>
      <c r="BA665" s="8"/>
    </row>
    <row r="666">
      <c r="AO666" s="21"/>
      <c r="AP666" s="24"/>
      <c r="AQ666" s="21"/>
      <c r="AS666" s="21"/>
      <c r="AT666" s="24"/>
      <c r="AU666" s="21"/>
      <c r="BA666" s="27"/>
    </row>
    <row r="667">
      <c r="AO667" s="21"/>
      <c r="AP667" s="24"/>
      <c r="AQ667" s="21"/>
      <c r="AS667" s="21"/>
      <c r="AT667" s="24"/>
      <c r="AU667" s="21"/>
      <c r="BA667" s="17"/>
    </row>
    <row r="668">
      <c r="AO668" s="21"/>
      <c r="AP668" s="24"/>
      <c r="AQ668" s="21"/>
      <c r="AS668" s="21"/>
      <c r="AT668" s="24"/>
      <c r="AU668" s="21"/>
      <c r="BA668" s="27"/>
    </row>
    <row r="669">
      <c r="AO669" s="21"/>
      <c r="AP669" s="24"/>
      <c r="AQ669" s="21"/>
      <c r="AS669" s="21"/>
      <c r="AT669" s="24"/>
      <c r="AU669" s="21"/>
      <c r="BA669" s="27"/>
    </row>
    <row r="670">
      <c r="AO670" s="21"/>
      <c r="AP670" s="24"/>
      <c r="AQ670" s="21"/>
      <c r="AS670" s="21"/>
      <c r="AT670" s="24"/>
      <c r="AU670" s="21"/>
      <c r="BA670" s="17"/>
    </row>
    <row r="671">
      <c r="AO671" s="21"/>
      <c r="AP671" s="24"/>
      <c r="AQ671" s="21"/>
      <c r="AS671" s="21"/>
      <c r="AT671" s="24"/>
      <c r="AU671" s="21"/>
      <c r="BA671" s="17"/>
    </row>
    <row r="672">
      <c r="AO672" s="21"/>
      <c r="AP672" s="24"/>
      <c r="AQ672" s="21"/>
      <c r="AS672" s="21"/>
      <c r="AT672" s="24"/>
      <c r="AU672" s="21"/>
      <c r="BA672" s="17"/>
    </row>
    <row r="673">
      <c r="AO673" s="21"/>
      <c r="AP673" s="24"/>
      <c r="AQ673" s="21"/>
      <c r="AS673" s="21"/>
      <c r="AT673" s="24"/>
      <c r="AU673" s="21"/>
      <c r="BA673" s="8"/>
    </row>
    <row r="674">
      <c r="AO674" s="21"/>
      <c r="AP674" s="24"/>
      <c r="AQ674" s="21"/>
      <c r="AS674" s="21"/>
      <c r="AT674" s="24"/>
      <c r="AU674" s="21"/>
      <c r="BA674" s="27"/>
    </row>
    <row r="675">
      <c r="AO675" s="21"/>
      <c r="AP675" s="24"/>
      <c r="AQ675" s="21"/>
      <c r="AS675" s="21"/>
      <c r="AT675" s="24"/>
      <c r="AU675" s="21"/>
      <c r="BA675" s="17"/>
    </row>
    <row r="676">
      <c r="AO676" s="21"/>
      <c r="AP676" s="24"/>
      <c r="AQ676" s="21"/>
      <c r="AS676" s="21"/>
      <c r="AT676" s="24"/>
      <c r="AU676" s="21"/>
      <c r="BA676" s="27"/>
    </row>
    <row r="677">
      <c r="AO677" s="21"/>
      <c r="AP677" s="24"/>
      <c r="AQ677" s="21"/>
      <c r="AS677" s="21"/>
      <c r="AT677" s="24"/>
      <c r="AU677" s="21"/>
      <c r="BA677" s="27"/>
    </row>
    <row r="678">
      <c r="AO678" s="21"/>
      <c r="AP678" s="24"/>
      <c r="AQ678" s="21"/>
      <c r="AS678" s="21"/>
      <c r="AT678" s="24"/>
      <c r="AU678" s="21"/>
      <c r="BA678" s="17"/>
    </row>
    <row r="679">
      <c r="AO679" s="21"/>
      <c r="AP679" s="24"/>
      <c r="AQ679" s="21"/>
      <c r="AS679" s="21"/>
      <c r="AT679" s="24"/>
      <c r="AU679" s="21"/>
      <c r="BA679" s="17"/>
    </row>
    <row r="680">
      <c r="AO680" s="21"/>
      <c r="AP680" s="24"/>
      <c r="AQ680" s="21"/>
      <c r="AS680" s="21"/>
      <c r="AT680" s="24"/>
      <c r="AU680" s="21"/>
      <c r="BA680" s="17"/>
    </row>
    <row r="681">
      <c r="AO681" s="21"/>
      <c r="AP681" s="24"/>
      <c r="AQ681" s="21"/>
      <c r="AS681" s="21"/>
      <c r="AT681" s="24"/>
      <c r="AU681" s="21"/>
      <c r="BA681" s="8"/>
    </row>
    <row r="682">
      <c r="AO682" s="21"/>
      <c r="AP682" s="24"/>
      <c r="AQ682" s="21"/>
      <c r="AS682" s="21"/>
      <c r="AT682" s="24"/>
      <c r="AU682" s="21"/>
      <c r="BA682" s="27"/>
    </row>
    <row r="683">
      <c r="AO683" s="21"/>
      <c r="AP683" s="24"/>
      <c r="AQ683" s="21"/>
      <c r="AS683" s="21"/>
      <c r="AT683" s="24"/>
      <c r="AU683" s="21"/>
      <c r="BA683" s="17"/>
    </row>
    <row r="684">
      <c r="AO684" s="21"/>
      <c r="AP684" s="24"/>
      <c r="AQ684" s="21"/>
      <c r="AS684" s="21"/>
      <c r="AT684" s="24"/>
      <c r="AU684" s="21"/>
      <c r="BA684" s="27"/>
    </row>
    <row r="685">
      <c r="AO685" s="21"/>
      <c r="AP685" s="24"/>
      <c r="AQ685" s="21"/>
      <c r="AS685" s="21"/>
      <c r="AT685" s="24"/>
      <c r="AU685" s="21"/>
      <c r="BA685" s="27"/>
    </row>
    <row r="686">
      <c r="AO686" s="21"/>
      <c r="AP686" s="24"/>
      <c r="AQ686" s="21"/>
      <c r="AS686" s="21"/>
      <c r="AT686" s="24"/>
      <c r="AU686" s="21"/>
      <c r="BA686" s="17"/>
    </row>
    <row r="687">
      <c r="AO687" s="21"/>
      <c r="AP687" s="24"/>
      <c r="AQ687" s="21"/>
      <c r="AS687" s="21"/>
      <c r="AT687" s="24"/>
      <c r="AU687" s="21"/>
      <c r="BA687" s="17"/>
    </row>
    <row r="688">
      <c r="AO688" s="21"/>
      <c r="AP688" s="24"/>
      <c r="AQ688" s="21"/>
      <c r="AS688" s="21"/>
      <c r="AT688" s="24"/>
      <c r="AU688" s="21"/>
      <c r="BA688" s="17"/>
    </row>
    <row r="689">
      <c r="AO689" s="21"/>
      <c r="AP689" s="24"/>
      <c r="AQ689" s="21"/>
      <c r="AS689" s="21"/>
      <c r="AT689" s="24"/>
      <c r="AU689" s="21"/>
      <c r="BA689" s="8"/>
    </row>
    <row r="690">
      <c r="AO690" s="21"/>
      <c r="AP690" s="24"/>
      <c r="AQ690" s="21"/>
      <c r="AS690" s="21"/>
      <c r="AT690" s="24"/>
      <c r="AU690" s="21"/>
      <c r="BA690" s="27"/>
    </row>
    <row r="691">
      <c r="AO691" s="21"/>
      <c r="AP691" s="24"/>
      <c r="AQ691" s="21"/>
      <c r="AS691" s="21"/>
      <c r="AT691" s="24"/>
      <c r="AU691" s="21"/>
      <c r="BA691" s="17"/>
    </row>
    <row r="692">
      <c r="AO692" s="21"/>
      <c r="AP692" s="24"/>
      <c r="AQ692" s="21"/>
      <c r="AS692" s="21"/>
      <c r="AT692" s="24"/>
      <c r="AU692" s="21"/>
      <c r="BA692" s="27"/>
    </row>
    <row r="693">
      <c r="AO693" s="21"/>
      <c r="AP693" s="24"/>
      <c r="AQ693" s="21"/>
      <c r="AS693" s="21"/>
      <c r="AT693" s="24"/>
      <c r="AU693" s="21"/>
      <c r="BA693" s="27"/>
    </row>
    <row r="694">
      <c r="AO694" s="21"/>
      <c r="AP694" s="24"/>
      <c r="AQ694" s="21"/>
      <c r="AS694" s="21"/>
      <c r="AT694" s="24"/>
      <c r="AU694" s="21"/>
      <c r="BA694" s="17"/>
    </row>
    <row r="695">
      <c r="AO695" s="21"/>
      <c r="AP695" s="24"/>
      <c r="AQ695" s="21"/>
      <c r="AS695" s="21"/>
      <c r="AT695" s="24"/>
      <c r="AU695" s="21"/>
      <c r="BA695" s="17"/>
    </row>
    <row r="696">
      <c r="AO696" s="21"/>
      <c r="AP696" s="24"/>
      <c r="AQ696" s="21"/>
      <c r="AS696" s="21"/>
      <c r="AT696" s="24"/>
      <c r="AU696" s="21"/>
      <c r="BA696" s="17"/>
    </row>
    <row r="697">
      <c r="AO697" s="21"/>
      <c r="AP697" s="24"/>
      <c r="AQ697" s="21"/>
      <c r="AS697" s="21"/>
      <c r="AT697" s="24"/>
      <c r="AU697" s="21"/>
      <c r="BA697" s="8"/>
    </row>
    <row r="698">
      <c r="AO698" s="21"/>
      <c r="AP698" s="24"/>
      <c r="AQ698" s="21"/>
      <c r="AS698" s="21"/>
      <c r="AT698" s="24"/>
      <c r="AU698" s="21"/>
      <c r="BA698" s="27"/>
    </row>
    <row r="699">
      <c r="AO699" s="21"/>
      <c r="AP699" s="24"/>
      <c r="AQ699" s="21"/>
      <c r="AS699" s="21"/>
      <c r="AT699" s="24"/>
      <c r="AU699" s="21"/>
      <c r="BA699" s="17"/>
    </row>
    <row r="700">
      <c r="AO700" s="21"/>
      <c r="AP700" s="24"/>
      <c r="AQ700" s="21"/>
      <c r="AS700" s="21"/>
      <c r="AT700" s="24"/>
      <c r="AU700" s="21"/>
      <c r="BA700" s="27"/>
    </row>
    <row r="701">
      <c r="AO701" s="21"/>
      <c r="AP701" s="24"/>
      <c r="AQ701" s="21"/>
      <c r="AS701" s="21"/>
      <c r="AT701" s="24"/>
      <c r="AU701" s="21"/>
      <c r="BA701" s="27"/>
    </row>
    <row r="702">
      <c r="AO702" s="21"/>
      <c r="AP702" s="24"/>
      <c r="AQ702" s="21"/>
      <c r="AS702" s="21"/>
      <c r="AT702" s="24"/>
      <c r="AU702" s="21"/>
      <c r="BA702" s="17"/>
    </row>
    <row r="703">
      <c r="AO703" s="21"/>
      <c r="AP703" s="24"/>
      <c r="AQ703" s="21"/>
      <c r="AS703" s="21"/>
      <c r="AT703" s="24"/>
      <c r="AU703" s="21"/>
      <c r="BA703" s="17"/>
    </row>
    <row r="704">
      <c r="AO704" s="21"/>
      <c r="AP704" s="24"/>
      <c r="AQ704" s="21"/>
      <c r="AS704" s="21"/>
      <c r="AT704" s="24"/>
      <c r="AU704" s="21"/>
      <c r="BA704" s="17"/>
    </row>
    <row r="705">
      <c r="AO705" s="21"/>
      <c r="AP705" s="24"/>
      <c r="AQ705" s="21"/>
      <c r="AS705" s="21"/>
      <c r="AT705" s="24"/>
      <c r="AU705" s="21"/>
      <c r="BA705" s="8"/>
    </row>
    <row r="706">
      <c r="AO706" s="21"/>
      <c r="AP706" s="24"/>
      <c r="AQ706" s="21"/>
      <c r="AS706" s="21"/>
      <c r="AT706" s="24"/>
      <c r="AU706" s="21"/>
      <c r="BA706" s="27"/>
    </row>
    <row r="707">
      <c r="AO707" s="21"/>
      <c r="AP707" s="24"/>
      <c r="AQ707" s="21"/>
      <c r="AS707" s="21"/>
      <c r="AT707" s="24"/>
      <c r="AU707" s="21"/>
      <c r="BA707" s="17"/>
    </row>
    <row r="708">
      <c r="AO708" s="21"/>
      <c r="AP708" s="24"/>
      <c r="AQ708" s="21"/>
      <c r="AS708" s="21"/>
      <c r="AT708" s="24"/>
      <c r="AU708" s="21"/>
      <c r="BA708" s="27"/>
    </row>
    <row r="709">
      <c r="AO709" s="21"/>
      <c r="AP709" s="24"/>
      <c r="AQ709" s="21"/>
      <c r="AS709" s="21"/>
      <c r="AT709" s="24"/>
      <c r="AU709" s="21"/>
      <c r="BA709" s="27"/>
    </row>
    <row r="710">
      <c r="AO710" s="21"/>
      <c r="AP710" s="24"/>
      <c r="AQ710" s="21"/>
      <c r="AS710" s="21"/>
      <c r="AT710" s="24"/>
      <c r="AU710" s="21"/>
      <c r="BA710" s="17"/>
    </row>
    <row r="711">
      <c r="AO711" s="21"/>
      <c r="AP711" s="24"/>
      <c r="AQ711" s="21"/>
      <c r="AS711" s="21"/>
      <c r="AT711" s="24"/>
      <c r="AU711" s="21"/>
      <c r="BA711" s="17"/>
    </row>
    <row r="712">
      <c r="AO712" s="21"/>
      <c r="AP712" s="24"/>
      <c r="AQ712" s="21"/>
      <c r="AS712" s="21"/>
      <c r="AT712" s="24"/>
      <c r="AU712" s="21"/>
      <c r="BA712" s="17"/>
    </row>
    <row r="713">
      <c r="AO713" s="21"/>
      <c r="AP713" s="24"/>
      <c r="AQ713" s="21"/>
      <c r="AS713" s="21"/>
      <c r="AT713" s="24"/>
      <c r="AU713" s="21"/>
      <c r="BA713" s="8"/>
    </row>
    <row r="714">
      <c r="AO714" s="21"/>
      <c r="AP714" s="24"/>
      <c r="AQ714" s="21"/>
      <c r="AS714" s="21"/>
      <c r="AT714" s="24"/>
      <c r="AU714" s="21"/>
      <c r="BA714" s="27"/>
    </row>
    <row r="715">
      <c r="AO715" s="21"/>
      <c r="AP715" s="24"/>
      <c r="AQ715" s="21"/>
      <c r="AS715" s="21"/>
      <c r="AT715" s="24"/>
      <c r="AU715" s="21"/>
      <c r="BA715" s="17"/>
    </row>
    <row r="716">
      <c r="AO716" s="21"/>
      <c r="AP716" s="24"/>
      <c r="AQ716" s="21"/>
      <c r="AS716" s="21"/>
      <c r="AT716" s="24"/>
      <c r="AU716" s="21"/>
      <c r="BA716" s="27"/>
    </row>
    <row r="717">
      <c r="AO717" s="21"/>
      <c r="AP717" s="24"/>
      <c r="AQ717" s="21"/>
      <c r="AS717" s="21"/>
      <c r="AT717" s="24"/>
      <c r="AU717" s="21"/>
      <c r="BA717" s="27"/>
    </row>
    <row r="718">
      <c r="AO718" s="21"/>
      <c r="AP718" s="24"/>
      <c r="AQ718" s="21"/>
      <c r="AS718" s="21"/>
      <c r="AT718" s="24"/>
      <c r="AU718" s="21"/>
      <c r="BA718" s="17"/>
    </row>
    <row r="719">
      <c r="AO719" s="21"/>
      <c r="AP719" s="24"/>
      <c r="AQ719" s="21"/>
      <c r="AS719" s="21"/>
      <c r="AT719" s="24"/>
      <c r="AU719" s="21"/>
      <c r="BA719" s="17"/>
    </row>
    <row r="720">
      <c r="AO720" s="21"/>
      <c r="AP720" s="24"/>
      <c r="AQ720" s="21"/>
      <c r="AS720" s="21"/>
      <c r="AT720" s="24"/>
      <c r="AU720" s="21"/>
      <c r="BA720" s="17"/>
    </row>
    <row r="721">
      <c r="AO721" s="21"/>
      <c r="AP721" s="24"/>
      <c r="AQ721" s="21"/>
      <c r="AS721" s="21"/>
      <c r="AT721" s="24"/>
      <c r="AU721" s="21"/>
      <c r="BA721" s="8"/>
    </row>
    <row r="722">
      <c r="AO722" s="21"/>
      <c r="AP722" s="24"/>
      <c r="AQ722" s="21"/>
      <c r="AS722" s="21"/>
      <c r="AT722" s="24"/>
      <c r="AU722" s="21"/>
      <c r="BA722" s="27"/>
    </row>
    <row r="723">
      <c r="AO723" s="21"/>
      <c r="AP723" s="24"/>
      <c r="AQ723" s="21"/>
      <c r="AS723" s="21"/>
      <c r="AT723" s="24"/>
      <c r="AU723" s="21"/>
      <c r="BA723" s="17"/>
    </row>
    <row r="724">
      <c r="AO724" s="21"/>
      <c r="AP724" s="24"/>
      <c r="AQ724" s="21"/>
      <c r="AS724" s="21"/>
      <c r="AT724" s="24"/>
      <c r="AU724" s="21"/>
      <c r="BA724" s="27"/>
    </row>
    <row r="725">
      <c r="AO725" s="21"/>
      <c r="AP725" s="24"/>
      <c r="AQ725" s="21"/>
      <c r="AS725" s="21"/>
      <c r="AT725" s="24"/>
      <c r="AU725" s="21"/>
      <c r="BA725" s="27"/>
    </row>
    <row r="726">
      <c r="AO726" s="21"/>
      <c r="AP726" s="24"/>
      <c r="AQ726" s="21"/>
      <c r="AS726" s="21"/>
      <c r="AT726" s="24"/>
      <c r="AU726" s="21"/>
      <c r="BA726" s="17"/>
    </row>
    <row r="727">
      <c r="AO727" s="21"/>
      <c r="AP727" s="24"/>
      <c r="AQ727" s="21"/>
      <c r="AS727" s="21"/>
      <c r="AT727" s="24"/>
      <c r="AU727" s="21"/>
      <c r="BA727" s="17"/>
    </row>
    <row r="728">
      <c r="AO728" s="21"/>
      <c r="AP728" s="24"/>
      <c r="AQ728" s="21"/>
      <c r="AS728" s="21"/>
      <c r="AT728" s="24"/>
      <c r="AU728" s="21"/>
      <c r="BA728" s="17"/>
    </row>
    <row r="729">
      <c r="AO729" s="21"/>
      <c r="AP729" s="24"/>
      <c r="AQ729" s="21"/>
      <c r="AS729" s="21"/>
      <c r="AT729" s="24"/>
      <c r="AU729" s="21"/>
      <c r="BA729" s="8"/>
    </row>
    <row r="730">
      <c r="AO730" s="21"/>
      <c r="AP730" s="24"/>
      <c r="AQ730" s="21"/>
      <c r="AS730" s="21"/>
      <c r="AT730" s="24"/>
      <c r="AU730" s="21"/>
      <c r="BA730" s="27"/>
    </row>
    <row r="731">
      <c r="AO731" s="21"/>
      <c r="AP731" s="24"/>
      <c r="AQ731" s="21"/>
      <c r="AS731" s="21"/>
      <c r="AT731" s="24"/>
      <c r="AU731" s="21"/>
      <c r="BA731" s="17"/>
    </row>
    <row r="732">
      <c r="AO732" s="21"/>
      <c r="AP732" s="24"/>
      <c r="AQ732" s="21"/>
      <c r="AS732" s="21"/>
      <c r="AT732" s="24"/>
      <c r="AU732" s="21"/>
      <c r="BA732" s="27"/>
    </row>
    <row r="733">
      <c r="AO733" s="21"/>
      <c r="AP733" s="24"/>
      <c r="AQ733" s="21"/>
      <c r="AS733" s="21"/>
      <c r="AT733" s="24"/>
      <c r="AU733" s="21"/>
      <c r="BA733" s="27"/>
    </row>
    <row r="734">
      <c r="AO734" s="21"/>
      <c r="AP734" s="24"/>
      <c r="AQ734" s="21"/>
      <c r="AS734" s="21"/>
      <c r="AT734" s="24"/>
      <c r="AU734" s="21"/>
      <c r="BA734" s="17"/>
    </row>
    <row r="735">
      <c r="AO735" s="21"/>
      <c r="AP735" s="24"/>
      <c r="AQ735" s="21"/>
      <c r="AS735" s="21"/>
      <c r="AT735" s="24"/>
      <c r="AU735" s="21"/>
      <c r="BA735" s="17"/>
    </row>
    <row r="736">
      <c r="AO736" s="21"/>
      <c r="AP736" s="24"/>
      <c r="AQ736" s="21"/>
      <c r="AS736" s="21"/>
      <c r="AT736" s="24"/>
      <c r="AU736" s="21"/>
      <c r="BA736" s="17"/>
    </row>
    <row r="737">
      <c r="AO737" s="21"/>
      <c r="AP737" s="24"/>
      <c r="AQ737" s="21"/>
      <c r="AS737" s="21"/>
      <c r="AT737" s="24"/>
      <c r="AU737" s="21"/>
      <c r="BA737" s="8"/>
    </row>
    <row r="738">
      <c r="AO738" s="21"/>
      <c r="AP738" s="24"/>
      <c r="AQ738" s="21"/>
      <c r="AS738" s="21"/>
      <c r="AT738" s="24"/>
      <c r="AU738" s="21"/>
      <c r="BA738" s="27"/>
    </row>
    <row r="739">
      <c r="AO739" s="21"/>
      <c r="AP739" s="24"/>
      <c r="AQ739" s="21"/>
      <c r="AS739" s="21"/>
      <c r="AT739" s="24"/>
      <c r="AU739" s="21"/>
      <c r="BA739" s="17"/>
    </row>
    <row r="740">
      <c r="AO740" s="21"/>
      <c r="AP740" s="24"/>
      <c r="AQ740" s="21"/>
      <c r="AS740" s="21"/>
      <c r="AT740" s="24"/>
      <c r="AU740" s="21"/>
      <c r="BA740" s="27"/>
    </row>
    <row r="741">
      <c r="AO741" s="21"/>
      <c r="AP741" s="24"/>
      <c r="AQ741" s="21"/>
      <c r="AS741" s="21"/>
      <c r="AT741" s="24"/>
      <c r="AU741" s="21"/>
      <c r="BA741" s="27"/>
    </row>
    <row r="742">
      <c r="AO742" s="21"/>
      <c r="AP742" s="24"/>
      <c r="AQ742" s="21"/>
      <c r="AS742" s="21"/>
      <c r="AT742" s="24"/>
      <c r="AU742" s="21"/>
      <c r="BA742" s="17"/>
    </row>
    <row r="743">
      <c r="AO743" s="21"/>
      <c r="AP743" s="24"/>
      <c r="AQ743" s="21"/>
      <c r="AS743" s="21"/>
      <c r="AT743" s="24"/>
      <c r="AU743" s="21"/>
      <c r="BA743" s="17"/>
    </row>
    <row r="744">
      <c r="AO744" s="21"/>
      <c r="AP744" s="24"/>
      <c r="AQ744" s="21"/>
      <c r="AS744" s="21"/>
      <c r="AT744" s="24"/>
      <c r="AU744" s="21"/>
      <c r="BA744" s="17"/>
    </row>
    <row r="745">
      <c r="AO745" s="21"/>
      <c r="AP745" s="24"/>
      <c r="AQ745" s="21"/>
      <c r="AS745" s="21"/>
      <c r="AT745" s="24"/>
      <c r="AU745" s="21"/>
      <c r="BA745" s="8"/>
    </row>
    <row r="746">
      <c r="AO746" s="21"/>
      <c r="AP746" s="24"/>
      <c r="AQ746" s="21"/>
      <c r="AS746" s="21"/>
      <c r="AT746" s="24"/>
      <c r="AU746" s="21"/>
      <c r="BA746" s="27"/>
    </row>
    <row r="747">
      <c r="AO747" s="21"/>
      <c r="AP747" s="24"/>
      <c r="AQ747" s="21"/>
      <c r="AS747" s="21"/>
      <c r="AT747" s="24"/>
      <c r="AU747" s="21"/>
      <c r="BA747" s="17"/>
    </row>
    <row r="748">
      <c r="AO748" s="21"/>
      <c r="AP748" s="24"/>
      <c r="AQ748" s="21"/>
      <c r="AS748" s="21"/>
      <c r="AT748" s="24"/>
      <c r="AU748" s="21"/>
      <c r="BA748" s="27"/>
    </row>
    <row r="749">
      <c r="AO749" s="21"/>
      <c r="AP749" s="24"/>
      <c r="AQ749" s="21"/>
      <c r="AS749" s="21"/>
      <c r="AT749" s="24"/>
      <c r="AU749" s="21"/>
      <c r="BA749" s="27"/>
    </row>
    <row r="750">
      <c r="AO750" s="21"/>
      <c r="AP750" s="24"/>
      <c r="AQ750" s="21"/>
      <c r="AS750" s="21"/>
      <c r="AT750" s="24"/>
      <c r="AU750" s="21"/>
      <c r="BA750" s="17"/>
    </row>
    <row r="751">
      <c r="AO751" s="21"/>
      <c r="AP751" s="24"/>
      <c r="AQ751" s="21"/>
      <c r="AS751" s="21"/>
      <c r="AT751" s="24"/>
      <c r="AU751" s="21"/>
      <c r="BA751" s="17"/>
    </row>
    <row r="752">
      <c r="AO752" s="21"/>
      <c r="AP752" s="24"/>
      <c r="AQ752" s="21"/>
      <c r="AS752" s="21"/>
      <c r="AT752" s="24"/>
      <c r="AU752" s="21"/>
      <c r="BA752" s="17"/>
    </row>
    <row r="753">
      <c r="AO753" s="21"/>
      <c r="AP753" s="24"/>
      <c r="AQ753" s="21"/>
      <c r="AS753" s="21"/>
      <c r="AT753" s="24"/>
      <c r="AU753" s="21"/>
      <c r="BA753" s="8"/>
    </row>
    <row r="754">
      <c r="AO754" s="21"/>
      <c r="AP754" s="24"/>
      <c r="AQ754" s="21"/>
      <c r="AS754" s="21"/>
      <c r="AT754" s="24"/>
      <c r="AU754" s="21"/>
      <c r="BA754" s="27"/>
    </row>
    <row r="755">
      <c r="AO755" s="21"/>
      <c r="AP755" s="24"/>
      <c r="AQ755" s="21"/>
      <c r="AS755" s="21"/>
      <c r="AT755" s="24"/>
      <c r="AU755" s="21"/>
      <c r="BA755" s="17"/>
    </row>
    <row r="756">
      <c r="AO756" s="21"/>
      <c r="AP756" s="24"/>
      <c r="AQ756" s="21"/>
      <c r="AS756" s="21"/>
      <c r="AT756" s="24"/>
      <c r="AU756" s="21"/>
      <c r="BA756" s="27"/>
    </row>
    <row r="757">
      <c r="AO757" s="21"/>
      <c r="AP757" s="24"/>
      <c r="AQ757" s="21"/>
      <c r="AS757" s="21"/>
      <c r="AT757" s="24"/>
      <c r="AU757" s="21"/>
      <c r="BA757" s="27"/>
    </row>
    <row r="758">
      <c r="AO758" s="21"/>
      <c r="AP758" s="24"/>
      <c r="AQ758" s="21"/>
      <c r="AS758" s="21"/>
      <c r="AT758" s="24"/>
      <c r="AU758" s="21"/>
      <c r="BA758" s="17"/>
    </row>
    <row r="759">
      <c r="AO759" s="21"/>
      <c r="AP759" s="24"/>
      <c r="AQ759" s="21"/>
      <c r="AS759" s="21"/>
      <c r="AT759" s="24"/>
      <c r="AU759" s="21"/>
      <c r="BA759" s="17"/>
    </row>
    <row r="760">
      <c r="AO760" s="21"/>
      <c r="AP760" s="24"/>
      <c r="AQ760" s="21"/>
      <c r="AS760" s="21"/>
      <c r="AT760" s="24"/>
      <c r="AU760" s="21"/>
      <c r="BA760" s="17"/>
    </row>
    <row r="761">
      <c r="AO761" s="21"/>
      <c r="AP761" s="24"/>
      <c r="AQ761" s="21"/>
      <c r="AS761" s="21"/>
      <c r="AT761" s="24"/>
      <c r="AU761" s="21"/>
      <c r="BA761" s="8"/>
    </row>
    <row r="762">
      <c r="AO762" s="21"/>
      <c r="AP762" s="24"/>
      <c r="AQ762" s="21"/>
      <c r="AS762" s="21"/>
      <c r="AT762" s="24"/>
      <c r="AU762" s="21"/>
      <c r="BA762" s="27"/>
    </row>
    <row r="763">
      <c r="AO763" s="21"/>
      <c r="AP763" s="24"/>
      <c r="AQ763" s="21"/>
      <c r="AS763" s="21"/>
      <c r="AT763" s="24"/>
      <c r="AU763" s="21"/>
      <c r="BA763" s="17"/>
    </row>
    <row r="764">
      <c r="AO764" s="21"/>
      <c r="AP764" s="24"/>
      <c r="AQ764" s="21"/>
      <c r="AS764" s="21"/>
      <c r="AT764" s="24"/>
      <c r="AU764" s="21"/>
      <c r="BA764" s="27"/>
    </row>
    <row r="765">
      <c r="AO765" s="21"/>
      <c r="AP765" s="24"/>
      <c r="AQ765" s="21"/>
      <c r="AS765" s="21"/>
      <c r="AT765" s="24"/>
      <c r="AU765" s="21"/>
      <c r="BA765" s="27"/>
    </row>
    <row r="766">
      <c r="AO766" s="21"/>
      <c r="AP766" s="24"/>
      <c r="AQ766" s="21"/>
      <c r="AS766" s="21"/>
      <c r="AT766" s="24"/>
      <c r="AU766" s="21"/>
      <c r="BA766" s="17"/>
    </row>
    <row r="767">
      <c r="AO767" s="21"/>
      <c r="AP767" s="24"/>
      <c r="AQ767" s="21"/>
      <c r="AS767" s="21"/>
      <c r="AT767" s="24"/>
      <c r="AU767" s="21"/>
      <c r="BA767" s="17"/>
    </row>
    <row r="768">
      <c r="AO768" s="21"/>
      <c r="AP768" s="24"/>
      <c r="AQ768" s="21"/>
      <c r="AS768" s="21"/>
      <c r="AT768" s="24"/>
      <c r="AU768" s="21"/>
      <c r="BA768" s="17"/>
    </row>
    <row r="769">
      <c r="AO769" s="21"/>
      <c r="AP769" s="24"/>
      <c r="AQ769" s="21"/>
      <c r="AS769" s="21"/>
      <c r="AT769" s="24"/>
      <c r="AU769" s="21"/>
      <c r="BA769" s="8"/>
    </row>
    <row r="770">
      <c r="AO770" s="21"/>
      <c r="AP770" s="24"/>
      <c r="AQ770" s="21"/>
      <c r="AS770" s="21"/>
      <c r="AT770" s="24"/>
      <c r="AU770" s="21"/>
      <c r="BA770" s="27"/>
    </row>
    <row r="771">
      <c r="AO771" s="21"/>
      <c r="AP771" s="24"/>
      <c r="AQ771" s="21"/>
      <c r="AS771" s="21"/>
      <c r="AT771" s="24"/>
      <c r="AU771" s="21"/>
      <c r="BA771" s="17"/>
    </row>
    <row r="772">
      <c r="AO772" s="21"/>
      <c r="AP772" s="24"/>
      <c r="AQ772" s="21"/>
      <c r="AS772" s="21"/>
      <c r="AT772" s="24"/>
      <c r="AU772" s="21"/>
      <c r="BA772" s="27"/>
    </row>
    <row r="773">
      <c r="AO773" s="21"/>
      <c r="AP773" s="24"/>
      <c r="AQ773" s="21"/>
      <c r="AS773" s="21"/>
      <c r="AT773" s="24"/>
      <c r="AU773" s="21"/>
      <c r="BA773" s="27"/>
    </row>
    <row r="774">
      <c r="AO774" s="21"/>
      <c r="AP774" s="24"/>
      <c r="AQ774" s="21"/>
      <c r="AS774" s="21"/>
      <c r="AT774" s="24"/>
      <c r="AU774" s="21"/>
      <c r="BA774" s="17"/>
    </row>
    <row r="775">
      <c r="AO775" s="21"/>
      <c r="AP775" s="24"/>
      <c r="AQ775" s="21"/>
      <c r="AS775" s="21"/>
      <c r="AT775" s="24"/>
      <c r="AU775" s="21"/>
      <c r="BA775" s="17"/>
    </row>
    <row r="776">
      <c r="AO776" s="21"/>
      <c r="AP776" s="24"/>
      <c r="AQ776" s="21"/>
      <c r="AS776" s="21"/>
      <c r="AT776" s="24"/>
      <c r="AU776" s="21"/>
      <c r="BA776" s="17"/>
    </row>
    <row r="777">
      <c r="AO777" s="21"/>
      <c r="AP777" s="24"/>
      <c r="AQ777" s="21"/>
      <c r="AS777" s="21"/>
      <c r="AT777" s="24"/>
      <c r="AU777" s="21"/>
      <c r="BA777" s="8"/>
    </row>
    <row r="778">
      <c r="AO778" s="21"/>
      <c r="AP778" s="24"/>
      <c r="AQ778" s="21"/>
      <c r="AS778" s="21"/>
      <c r="AT778" s="24"/>
      <c r="AU778" s="21"/>
      <c r="BA778" s="27"/>
    </row>
    <row r="779">
      <c r="AO779" s="21"/>
      <c r="AP779" s="24"/>
      <c r="AQ779" s="21"/>
      <c r="AS779" s="21"/>
      <c r="AT779" s="24"/>
      <c r="AU779" s="21"/>
      <c r="BA779" s="17"/>
    </row>
    <row r="780">
      <c r="AO780" s="21"/>
      <c r="AP780" s="24"/>
      <c r="AQ780" s="21"/>
      <c r="AS780" s="21"/>
      <c r="AT780" s="24"/>
      <c r="AU780" s="21"/>
      <c r="BA780" s="27"/>
    </row>
    <row r="781">
      <c r="AO781" s="21"/>
      <c r="AP781" s="24"/>
      <c r="AQ781" s="21"/>
      <c r="AS781" s="21"/>
      <c r="AT781" s="24"/>
      <c r="AU781" s="21"/>
      <c r="BA781" s="27"/>
    </row>
    <row r="782">
      <c r="AO782" s="21"/>
      <c r="AP782" s="24"/>
      <c r="AQ782" s="21"/>
      <c r="AS782" s="21"/>
      <c r="AT782" s="24"/>
      <c r="AU782" s="21"/>
      <c r="BA782" s="17"/>
    </row>
    <row r="783">
      <c r="AO783" s="21"/>
      <c r="AP783" s="24"/>
      <c r="AQ783" s="21"/>
      <c r="AS783" s="21"/>
      <c r="AT783" s="24"/>
      <c r="AU783" s="21"/>
      <c r="BA783" s="17"/>
    </row>
    <row r="784">
      <c r="AO784" s="21"/>
      <c r="AP784" s="24"/>
      <c r="AQ784" s="21"/>
      <c r="AS784" s="21"/>
      <c r="AT784" s="24"/>
      <c r="AU784" s="21"/>
      <c r="BA784" s="17"/>
    </row>
    <row r="785">
      <c r="AO785" s="21"/>
      <c r="AP785" s="24"/>
      <c r="AQ785" s="21"/>
      <c r="AS785" s="21"/>
      <c r="AT785" s="24"/>
      <c r="AU785" s="21"/>
      <c r="BA785" s="8"/>
    </row>
    <row r="786">
      <c r="AO786" s="21"/>
      <c r="AP786" s="24"/>
      <c r="AQ786" s="21"/>
      <c r="AS786" s="21"/>
      <c r="AT786" s="24"/>
      <c r="AU786" s="21"/>
      <c r="BA786" s="27"/>
    </row>
    <row r="787">
      <c r="AO787" s="21"/>
      <c r="AP787" s="24"/>
      <c r="AQ787" s="21"/>
      <c r="AS787" s="21"/>
      <c r="AT787" s="24"/>
      <c r="AU787" s="21"/>
      <c r="BA787" s="17"/>
    </row>
    <row r="788">
      <c r="AO788" s="21"/>
      <c r="AP788" s="24"/>
      <c r="AQ788" s="21"/>
      <c r="AS788" s="21"/>
      <c r="AT788" s="24"/>
      <c r="AU788" s="21"/>
      <c r="BA788" s="27"/>
    </row>
    <row r="789">
      <c r="AO789" s="21"/>
      <c r="AP789" s="24"/>
      <c r="AQ789" s="21"/>
      <c r="AS789" s="21"/>
      <c r="AT789" s="24"/>
      <c r="AU789" s="21"/>
      <c r="BA789" s="27"/>
    </row>
    <row r="790">
      <c r="AO790" s="21"/>
      <c r="AP790" s="24"/>
      <c r="AQ790" s="21"/>
      <c r="AS790" s="21"/>
      <c r="AT790" s="24"/>
      <c r="AU790" s="21"/>
      <c r="BA790" s="17"/>
    </row>
    <row r="791">
      <c r="AO791" s="21"/>
      <c r="AP791" s="24"/>
      <c r="AQ791" s="21"/>
      <c r="AS791" s="21"/>
      <c r="AT791" s="24"/>
      <c r="AU791" s="21"/>
      <c r="BA791" s="17"/>
    </row>
    <row r="792">
      <c r="AO792" s="21"/>
      <c r="AP792" s="24"/>
      <c r="AQ792" s="21"/>
      <c r="AS792" s="21"/>
      <c r="AT792" s="24"/>
      <c r="AU792" s="21"/>
      <c r="BA792" s="17"/>
    </row>
    <row r="793">
      <c r="AO793" s="21"/>
      <c r="AP793" s="24"/>
      <c r="AQ793" s="21"/>
      <c r="AS793" s="21"/>
      <c r="AT793" s="24"/>
      <c r="AU793" s="21"/>
      <c r="BA793" s="8"/>
    </row>
    <row r="794">
      <c r="AO794" s="21"/>
      <c r="AP794" s="24"/>
      <c r="AQ794" s="21"/>
      <c r="AS794" s="21"/>
      <c r="AT794" s="24"/>
      <c r="AU794" s="21"/>
      <c r="BA794" s="27"/>
    </row>
    <row r="795">
      <c r="AO795" s="21"/>
      <c r="AP795" s="24"/>
      <c r="AQ795" s="21"/>
      <c r="AS795" s="21"/>
      <c r="AT795" s="24"/>
      <c r="AU795" s="21"/>
      <c r="BA795" s="17"/>
    </row>
    <row r="796">
      <c r="AO796" s="21"/>
      <c r="AP796" s="24"/>
      <c r="AQ796" s="21"/>
      <c r="AS796" s="21"/>
      <c r="AT796" s="24"/>
      <c r="AU796" s="21"/>
      <c r="BA796" s="27"/>
    </row>
    <row r="797">
      <c r="AO797" s="21"/>
      <c r="AP797" s="24"/>
      <c r="AQ797" s="21"/>
      <c r="AS797" s="21"/>
      <c r="AT797" s="24"/>
      <c r="AU797" s="21"/>
      <c r="BA797" s="27"/>
    </row>
    <row r="798">
      <c r="AO798" s="21"/>
      <c r="AP798" s="24"/>
      <c r="AQ798" s="21"/>
      <c r="AS798" s="21"/>
      <c r="AT798" s="24"/>
      <c r="AU798" s="21"/>
      <c r="BA798" s="17"/>
    </row>
    <row r="799">
      <c r="AO799" s="21"/>
      <c r="AP799" s="24"/>
      <c r="AQ799" s="21"/>
      <c r="AS799" s="21"/>
      <c r="AT799" s="24"/>
      <c r="AU799" s="21"/>
      <c r="BA799" s="17"/>
    </row>
    <row r="800">
      <c r="AO800" s="21"/>
      <c r="AP800" s="24"/>
      <c r="AQ800" s="21"/>
      <c r="AS800" s="21"/>
      <c r="AT800" s="24"/>
      <c r="AU800" s="21"/>
      <c r="BA800" s="17"/>
    </row>
    <row r="801">
      <c r="AO801" s="21"/>
      <c r="AP801" s="24"/>
      <c r="AQ801" s="21"/>
      <c r="AS801" s="21"/>
      <c r="AT801" s="24"/>
      <c r="AU801" s="21"/>
      <c r="BA801" s="8"/>
    </row>
    <row r="802">
      <c r="AO802" s="21"/>
      <c r="AP802" s="24"/>
      <c r="AQ802" s="21"/>
      <c r="AS802" s="21"/>
      <c r="AT802" s="24"/>
      <c r="AU802" s="21"/>
      <c r="BA802" s="27"/>
    </row>
    <row r="803">
      <c r="AO803" s="21"/>
      <c r="AP803" s="24"/>
      <c r="AQ803" s="21"/>
      <c r="AS803" s="21"/>
      <c r="AT803" s="24"/>
      <c r="AU803" s="21"/>
      <c r="BA803" s="17"/>
    </row>
    <row r="804">
      <c r="AO804" s="21"/>
      <c r="AP804" s="24"/>
      <c r="AQ804" s="21"/>
      <c r="AS804" s="21"/>
      <c r="AT804" s="24"/>
      <c r="AU804" s="21"/>
      <c r="BA804" s="27"/>
    </row>
    <row r="805">
      <c r="AO805" s="21"/>
      <c r="AP805" s="24"/>
      <c r="AQ805" s="21"/>
      <c r="AS805" s="21"/>
      <c r="AT805" s="24"/>
      <c r="AU805" s="21"/>
      <c r="BA805" s="27"/>
    </row>
    <row r="806">
      <c r="AO806" s="21"/>
      <c r="AP806" s="24"/>
      <c r="AQ806" s="21"/>
      <c r="AS806" s="21"/>
      <c r="AT806" s="24"/>
      <c r="AU806" s="21"/>
      <c r="BA806" s="17"/>
    </row>
    <row r="807">
      <c r="AO807" s="21"/>
      <c r="AP807" s="24"/>
      <c r="AQ807" s="21"/>
      <c r="AS807" s="21"/>
      <c r="AT807" s="24"/>
      <c r="AU807" s="21"/>
      <c r="BA807" s="17"/>
    </row>
    <row r="808">
      <c r="AO808" s="21"/>
      <c r="AP808" s="24"/>
      <c r="AQ808" s="21"/>
      <c r="AS808" s="21"/>
      <c r="AT808" s="24"/>
      <c r="AU808" s="21"/>
      <c r="BA808" s="17"/>
    </row>
    <row r="809">
      <c r="AO809" s="21"/>
      <c r="AP809" s="24"/>
      <c r="AQ809" s="21"/>
      <c r="AS809" s="21"/>
      <c r="AT809" s="24"/>
      <c r="AU809" s="21"/>
      <c r="BA809" s="8"/>
    </row>
    <row r="810">
      <c r="AO810" s="21"/>
      <c r="AP810" s="24"/>
      <c r="AQ810" s="21"/>
      <c r="AS810" s="21"/>
      <c r="AT810" s="24"/>
      <c r="AU810" s="21"/>
      <c r="BA810" s="27"/>
    </row>
    <row r="811">
      <c r="AO811" s="21"/>
      <c r="AP811" s="24"/>
      <c r="AQ811" s="21"/>
      <c r="AS811" s="21"/>
      <c r="AT811" s="24"/>
      <c r="AU811" s="21"/>
      <c r="BA811" s="17"/>
    </row>
    <row r="812">
      <c r="AO812" s="21"/>
      <c r="AP812" s="24"/>
      <c r="AQ812" s="21"/>
      <c r="AS812" s="21"/>
      <c r="AT812" s="24"/>
      <c r="AU812" s="21"/>
      <c r="BA812" s="27"/>
    </row>
    <row r="813">
      <c r="AO813" s="21"/>
      <c r="AP813" s="24"/>
      <c r="AQ813" s="21"/>
      <c r="AS813" s="21"/>
      <c r="AT813" s="24"/>
      <c r="AU813" s="21"/>
      <c r="BA813" s="27"/>
    </row>
    <row r="814">
      <c r="AO814" s="21"/>
      <c r="AP814" s="24"/>
      <c r="AQ814" s="21"/>
      <c r="AS814" s="21"/>
      <c r="AT814" s="24"/>
      <c r="AU814" s="21"/>
      <c r="BA814" s="17"/>
    </row>
    <row r="815">
      <c r="AO815" s="21"/>
      <c r="AP815" s="24"/>
      <c r="AQ815" s="21"/>
      <c r="AS815" s="21"/>
      <c r="AT815" s="24"/>
      <c r="AU815" s="21"/>
      <c r="BA815" s="17"/>
    </row>
    <row r="816">
      <c r="AO816" s="21"/>
      <c r="AP816" s="24"/>
      <c r="AQ816" s="21"/>
      <c r="AS816" s="21"/>
      <c r="AT816" s="24"/>
      <c r="AU816" s="21"/>
      <c r="BA816" s="17"/>
    </row>
    <row r="817">
      <c r="AO817" s="21"/>
      <c r="AP817" s="24"/>
      <c r="AQ817" s="21"/>
      <c r="AS817" s="21"/>
      <c r="AT817" s="24"/>
      <c r="AU817" s="21"/>
      <c r="BA817" s="8"/>
    </row>
    <row r="818">
      <c r="AO818" s="21"/>
      <c r="AP818" s="24"/>
      <c r="AQ818" s="21"/>
      <c r="AS818" s="21"/>
      <c r="AT818" s="24"/>
      <c r="AU818" s="21"/>
      <c r="BA818" s="27"/>
    </row>
    <row r="819">
      <c r="AO819" s="21"/>
      <c r="AP819" s="24"/>
      <c r="AQ819" s="21"/>
      <c r="AS819" s="21"/>
      <c r="AT819" s="24"/>
      <c r="AU819" s="21"/>
      <c r="BA819" s="17"/>
    </row>
    <row r="820">
      <c r="AO820" s="21"/>
      <c r="AP820" s="24"/>
      <c r="AQ820" s="21"/>
      <c r="AS820" s="21"/>
      <c r="AT820" s="24"/>
      <c r="AU820" s="21"/>
      <c r="BA820" s="27"/>
    </row>
    <row r="821">
      <c r="AO821" s="21"/>
      <c r="AP821" s="24"/>
      <c r="AQ821" s="21"/>
      <c r="AS821" s="21"/>
      <c r="AT821" s="24"/>
      <c r="AU821" s="21"/>
      <c r="BA821" s="27"/>
    </row>
    <row r="822">
      <c r="AO822" s="21"/>
      <c r="AP822" s="24"/>
      <c r="AQ822" s="21"/>
      <c r="AS822" s="21"/>
      <c r="AT822" s="24"/>
      <c r="AU822" s="21"/>
      <c r="BA822" s="17"/>
    </row>
    <row r="823">
      <c r="AO823" s="21"/>
      <c r="AP823" s="24"/>
      <c r="AQ823" s="21"/>
      <c r="AS823" s="21"/>
      <c r="AT823" s="24"/>
      <c r="AU823" s="21"/>
      <c r="BA823" s="17"/>
    </row>
    <row r="824">
      <c r="AO824" s="21"/>
      <c r="AP824" s="24"/>
      <c r="AQ824" s="21"/>
      <c r="AS824" s="21"/>
      <c r="AT824" s="24"/>
      <c r="AU824" s="21"/>
      <c r="BA824" s="17"/>
    </row>
    <row r="825">
      <c r="AO825" s="21"/>
      <c r="AP825" s="24"/>
      <c r="AQ825" s="21"/>
      <c r="AS825" s="21"/>
      <c r="AT825" s="24"/>
      <c r="AU825" s="21"/>
      <c r="BA825" s="8"/>
    </row>
    <row r="826">
      <c r="AO826" s="21"/>
      <c r="AP826" s="24"/>
      <c r="AQ826" s="21"/>
      <c r="AS826" s="21"/>
      <c r="AT826" s="24"/>
      <c r="AU826" s="21"/>
      <c r="BA826" s="27"/>
    </row>
    <row r="827">
      <c r="AO827" s="21"/>
      <c r="AP827" s="24"/>
      <c r="AQ827" s="21"/>
      <c r="AS827" s="21"/>
      <c r="AT827" s="24"/>
      <c r="AU827" s="21"/>
      <c r="BA827" s="17"/>
    </row>
    <row r="828">
      <c r="AO828" s="21"/>
      <c r="AP828" s="24"/>
      <c r="AQ828" s="21"/>
      <c r="AS828" s="21"/>
      <c r="AT828" s="24"/>
      <c r="AU828" s="21"/>
      <c r="BA828" s="27"/>
    </row>
    <row r="829">
      <c r="AO829" s="21"/>
      <c r="AP829" s="24"/>
      <c r="AQ829" s="21"/>
      <c r="AS829" s="21"/>
      <c r="AT829" s="24"/>
      <c r="AU829" s="21"/>
      <c r="BA829" s="27"/>
    </row>
    <row r="830">
      <c r="AO830" s="21"/>
      <c r="AP830" s="24"/>
      <c r="AQ830" s="21"/>
      <c r="AS830" s="21"/>
      <c r="AT830" s="24"/>
      <c r="AU830" s="21"/>
      <c r="BA830" s="17"/>
    </row>
    <row r="831">
      <c r="AO831" s="21"/>
      <c r="AP831" s="24"/>
      <c r="AQ831" s="21"/>
      <c r="AS831" s="21"/>
      <c r="AT831" s="24"/>
      <c r="AU831" s="21"/>
      <c r="BA831" s="17"/>
    </row>
    <row r="832">
      <c r="AO832" s="21"/>
      <c r="AP832" s="24"/>
      <c r="AQ832" s="21"/>
      <c r="AS832" s="21"/>
      <c r="AT832" s="24"/>
      <c r="AU832" s="21"/>
      <c r="BA832" s="17"/>
    </row>
    <row r="833">
      <c r="AO833" s="21"/>
      <c r="AP833" s="24"/>
      <c r="AQ833" s="21"/>
      <c r="AS833" s="21"/>
      <c r="AT833" s="24"/>
      <c r="AU833" s="21"/>
      <c r="BA833" s="8"/>
    </row>
    <row r="834">
      <c r="AO834" s="21"/>
      <c r="AP834" s="24"/>
      <c r="AQ834" s="21"/>
      <c r="AS834" s="21"/>
      <c r="AT834" s="24"/>
      <c r="AU834" s="21"/>
      <c r="BA834" s="27"/>
    </row>
    <row r="835">
      <c r="AO835" s="21"/>
      <c r="AP835" s="24"/>
      <c r="AQ835" s="21"/>
      <c r="AS835" s="21"/>
      <c r="AT835" s="24"/>
      <c r="AU835" s="21"/>
      <c r="BA835" s="17"/>
    </row>
    <row r="836">
      <c r="AO836" s="21"/>
      <c r="AP836" s="24"/>
      <c r="AQ836" s="21"/>
      <c r="AS836" s="21"/>
      <c r="AT836" s="24"/>
      <c r="AU836" s="21"/>
      <c r="BA836" s="27"/>
    </row>
    <row r="837">
      <c r="AO837" s="21"/>
      <c r="AP837" s="24"/>
      <c r="AQ837" s="21"/>
      <c r="AS837" s="21"/>
      <c r="AT837" s="24"/>
      <c r="AU837" s="21"/>
      <c r="BA837" s="27"/>
    </row>
    <row r="838">
      <c r="AO838" s="21"/>
      <c r="AP838" s="24"/>
      <c r="AQ838" s="21"/>
      <c r="AS838" s="21"/>
      <c r="AT838" s="24"/>
      <c r="AU838" s="21"/>
      <c r="BA838" s="17"/>
    </row>
    <row r="839">
      <c r="AO839" s="21"/>
      <c r="AP839" s="24"/>
      <c r="AQ839" s="21"/>
      <c r="AS839" s="21"/>
      <c r="AT839" s="24"/>
      <c r="AU839" s="21"/>
      <c r="BA839" s="17"/>
    </row>
    <row r="840">
      <c r="AO840" s="21"/>
      <c r="AP840" s="24"/>
      <c r="AQ840" s="21"/>
      <c r="AS840" s="21"/>
      <c r="AT840" s="24"/>
      <c r="AU840" s="21"/>
      <c r="BA840" s="17"/>
    </row>
    <row r="841">
      <c r="AO841" s="21"/>
      <c r="AP841" s="24"/>
      <c r="AQ841" s="21"/>
      <c r="AS841" s="21"/>
      <c r="AT841" s="24"/>
      <c r="AU841" s="21"/>
      <c r="BA841" s="8"/>
    </row>
    <row r="842">
      <c r="AO842" s="21"/>
      <c r="AP842" s="24"/>
      <c r="AQ842" s="21"/>
      <c r="AS842" s="21"/>
      <c r="AT842" s="24"/>
      <c r="AU842" s="21"/>
      <c r="BA842" s="27"/>
    </row>
    <row r="843">
      <c r="AO843" s="21"/>
      <c r="AP843" s="24"/>
      <c r="AQ843" s="21"/>
      <c r="AS843" s="21"/>
      <c r="AT843" s="24"/>
      <c r="AU843" s="21"/>
      <c r="BA843" s="17"/>
    </row>
    <row r="844">
      <c r="AO844" s="21"/>
      <c r="AP844" s="24"/>
      <c r="AQ844" s="21"/>
      <c r="AS844" s="21"/>
      <c r="AT844" s="24"/>
      <c r="AU844" s="21"/>
      <c r="BA844" s="27"/>
    </row>
    <row r="845">
      <c r="AO845" s="21"/>
      <c r="AP845" s="24"/>
      <c r="AQ845" s="21"/>
      <c r="AS845" s="21"/>
      <c r="AT845" s="24"/>
      <c r="AU845" s="21"/>
      <c r="BA845" s="27"/>
    </row>
    <row r="846">
      <c r="AO846" s="21"/>
      <c r="AP846" s="24"/>
      <c r="AQ846" s="21"/>
      <c r="AS846" s="21"/>
      <c r="AT846" s="24"/>
      <c r="AU846" s="21"/>
      <c r="BA846" s="17"/>
    </row>
    <row r="847">
      <c r="AO847" s="21"/>
      <c r="AP847" s="24"/>
      <c r="AQ847" s="21"/>
      <c r="AS847" s="21"/>
      <c r="AT847" s="24"/>
      <c r="AU847" s="21"/>
      <c r="BA847" s="17"/>
    </row>
    <row r="848">
      <c r="AO848" s="21"/>
      <c r="AP848" s="24"/>
      <c r="AQ848" s="21"/>
      <c r="AS848" s="21"/>
      <c r="AT848" s="24"/>
      <c r="AU848" s="21"/>
      <c r="BA848" s="17"/>
    </row>
    <row r="849">
      <c r="AO849" s="21"/>
      <c r="AP849" s="24"/>
      <c r="AQ849" s="21"/>
      <c r="AS849" s="21"/>
      <c r="AT849" s="24"/>
      <c r="AU849" s="21"/>
      <c r="BA849" s="8"/>
    </row>
    <row r="850">
      <c r="AO850" s="21"/>
      <c r="AP850" s="24"/>
      <c r="AQ850" s="21"/>
      <c r="AS850" s="21"/>
      <c r="AT850" s="24"/>
      <c r="AU850" s="21"/>
      <c r="BA850" s="27"/>
    </row>
    <row r="851">
      <c r="AO851" s="21"/>
      <c r="AP851" s="24"/>
      <c r="AQ851" s="21"/>
      <c r="AS851" s="21"/>
      <c r="AT851" s="24"/>
      <c r="AU851" s="21"/>
      <c r="BA851" s="17"/>
    </row>
    <row r="852">
      <c r="AO852" s="21"/>
      <c r="AP852" s="24"/>
      <c r="AQ852" s="21"/>
      <c r="AS852" s="21"/>
      <c r="AT852" s="24"/>
      <c r="AU852" s="21"/>
      <c r="BA852" s="27"/>
    </row>
    <row r="853">
      <c r="AO853" s="21"/>
      <c r="AP853" s="24"/>
      <c r="AQ853" s="21"/>
      <c r="AS853" s="21"/>
      <c r="AT853" s="24"/>
      <c r="AU853" s="21"/>
      <c r="BA853" s="27"/>
    </row>
    <row r="854">
      <c r="AO854" s="21"/>
      <c r="AP854" s="24"/>
      <c r="AQ854" s="21"/>
      <c r="AS854" s="21"/>
      <c r="AT854" s="24"/>
      <c r="AU854" s="21"/>
      <c r="BA854" s="17"/>
    </row>
    <row r="855">
      <c r="AO855" s="21"/>
      <c r="AP855" s="24"/>
      <c r="AQ855" s="21"/>
      <c r="AS855" s="21"/>
      <c r="AT855" s="24"/>
      <c r="AU855" s="21"/>
      <c r="BA855" s="17"/>
    </row>
    <row r="856">
      <c r="AO856" s="21"/>
      <c r="AP856" s="24"/>
      <c r="AQ856" s="21"/>
      <c r="AS856" s="21"/>
      <c r="AT856" s="24"/>
      <c r="AU856" s="21"/>
      <c r="BA856" s="17"/>
    </row>
    <row r="857">
      <c r="AO857" s="21"/>
      <c r="AP857" s="24"/>
      <c r="AQ857" s="21"/>
      <c r="AS857" s="21"/>
      <c r="AT857" s="24"/>
      <c r="AU857" s="21"/>
      <c r="BA857" s="8"/>
    </row>
    <row r="858">
      <c r="AO858" s="21"/>
      <c r="AP858" s="24"/>
      <c r="AQ858" s="21"/>
      <c r="AS858" s="21"/>
      <c r="AT858" s="24"/>
      <c r="AU858" s="21"/>
      <c r="BA858" s="27"/>
    </row>
    <row r="859">
      <c r="AO859" s="21"/>
      <c r="AP859" s="24"/>
      <c r="AQ859" s="21"/>
      <c r="AS859" s="21"/>
      <c r="AT859" s="24"/>
      <c r="AU859" s="21"/>
      <c r="BA859" s="17"/>
    </row>
    <row r="860">
      <c r="AO860" s="21"/>
      <c r="AP860" s="24"/>
      <c r="AQ860" s="21"/>
      <c r="AS860" s="21"/>
      <c r="AT860" s="24"/>
      <c r="AU860" s="21"/>
      <c r="BA860" s="27"/>
    </row>
    <row r="861">
      <c r="AO861" s="21"/>
      <c r="AP861" s="24"/>
      <c r="AQ861" s="21"/>
      <c r="AS861" s="21"/>
      <c r="AT861" s="24"/>
      <c r="AU861" s="21"/>
      <c r="BA861" s="27"/>
    </row>
    <row r="862">
      <c r="AO862" s="21"/>
      <c r="AP862" s="24"/>
      <c r="AQ862" s="21"/>
      <c r="AS862" s="21"/>
      <c r="AT862" s="24"/>
      <c r="AU862" s="21"/>
      <c r="BA862" s="17"/>
    </row>
    <row r="863">
      <c r="AO863" s="21"/>
      <c r="AP863" s="24"/>
      <c r="AQ863" s="21"/>
      <c r="AS863" s="21"/>
      <c r="AT863" s="24"/>
      <c r="AU863" s="21"/>
      <c r="BA863" s="17"/>
    </row>
    <row r="864">
      <c r="AO864" s="21"/>
      <c r="AP864" s="24"/>
      <c r="AQ864" s="21"/>
      <c r="AS864" s="21"/>
      <c r="AT864" s="24"/>
      <c r="AU864" s="21"/>
      <c r="BA864" s="17"/>
    </row>
    <row r="865">
      <c r="AO865" s="21"/>
      <c r="AP865" s="24"/>
      <c r="AQ865" s="21"/>
      <c r="AS865" s="21"/>
      <c r="AT865" s="24"/>
      <c r="AU865" s="21"/>
      <c r="BA865" s="8"/>
    </row>
    <row r="866">
      <c r="AO866" s="21"/>
      <c r="AP866" s="24"/>
      <c r="AQ866" s="21"/>
      <c r="AS866" s="21"/>
      <c r="AT866" s="24"/>
      <c r="AU866" s="21"/>
      <c r="BA866" s="27"/>
    </row>
    <row r="867">
      <c r="AO867" s="21"/>
      <c r="AP867" s="24"/>
      <c r="AQ867" s="21"/>
      <c r="AS867" s="21"/>
      <c r="AT867" s="24"/>
      <c r="AU867" s="21"/>
      <c r="BA867" s="17"/>
    </row>
    <row r="868">
      <c r="AO868" s="21"/>
      <c r="AP868" s="24"/>
      <c r="AQ868" s="21"/>
      <c r="AS868" s="21"/>
      <c r="AT868" s="24"/>
      <c r="AU868" s="21"/>
      <c r="BA868" s="27"/>
    </row>
    <row r="869">
      <c r="AO869" s="21"/>
      <c r="AP869" s="24"/>
      <c r="AQ869" s="21"/>
      <c r="AS869" s="21"/>
      <c r="AT869" s="24"/>
      <c r="AU869" s="21"/>
      <c r="BA869" s="27"/>
    </row>
    <row r="870">
      <c r="AO870" s="21"/>
      <c r="AP870" s="24"/>
      <c r="AQ870" s="21"/>
      <c r="AS870" s="21"/>
      <c r="AT870" s="24"/>
      <c r="AU870" s="21"/>
      <c r="BA870" s="17"/>
    </row>
    <row r="871">
      <c r="AO871" s="21"/>
      <c r="AP871" s="24"/>
      <c r="AQ871" s="21"/>
      <c r="AS871" s="21"/>
      <c r="AT871" s="24"/>
      <c r="AU871" s="21"/>
      <c r="BA871" s="17"/>
    </row>
    <row r="872">
      <c r="AO872" s="21"/>
      <c r="AP872" s="24"/>
      <c r="AQ872" s="21"/>
      <c r="AS872" s="21"/>
      <c r="AT872" s="24"/>
      <c r="AU872" s="21"/>
      <c r="BA872" s="17"/>
    </row>
    <row r="873">
      <c r="AO873" s="21"/>
      <c r="AP873" s="24"/>
      <c r="AQ873" s="21"/>
      <c r="AS873" s="21"/>
      <c r="AT873" s="24"/>
      <c r="AU873" s="21"/>
      <c r="BA873" s="8"/>
    </row>
    <row r="874">
      <c r="AO874" s="21"/>
      <c r="AP874" s="24"/>
      <c r="AQ874" s="21"/>
      <c r="AS874" s="21"/>
      <c r="AT874" s="24"/>
      <c r="AU874" s="21"/>
      <c r="BA874" s="27"/>
    </row>
    <row r="875">
      <c r="AO875" s="21"/>
      <c r="AP875" s="24"/>
      <c r="AQ875" s="21"/>
      <c r="AS875" s="21"/>
      <c r="AT875" s="24"/>
      <c r="AU875" s="21"/>
      <c r="BA875" s="17"/>
    </row>
    <row r="876">
      <c r="AO876" s="21"/>
      <c r="AP876" s="24"/>
      <c r="AQ876" s="21"/>
      <c r="AS876" s="21"/>
      <c r="AT876" s="24"/>
      <c r="AU876" s="21"/>
      <c r="BA876" s="27"/>
    </row>
    <row r="877">
      <c r="AO877" s="21"/>
      <c r="AP877" s="24"/>
      <c r="AQ877" s="21"/>
      <c r="AS877" s="21"/>
      <c r="AT877" s="24"/>
      <c r="AU877" s="21"/>
      <c r="BA877" s="27"/>
    </row>
    <row r="878">
      <c r="AO878" s="21"/>
      <c r="AP878" s="24"/>
      <c r="AQ878" s="21"/>
      <c r="AS878" s="21"/>
      <c r="AT878" s="24"/>
      <c r="AU878" s="21"/>
      <c r="BA878" s="17"/>
    </row>
    <row r="879">
      <c r="AO879" s="21"/>
      <c r="AP879" s="24"/>
      <c r="AQ879" s="21"/>
      <c r="AS879" s="21"/>
      <c r="AT879" s="24"/>
      <c r="AU879" s="21"/>
      <c r="BA879" s="17"/>
    </row>
    <row r="880">
      <c r="AO880" s="21"/>
      <c r="AP880" s="24"/>
      <c r="AQ880" s="21"/>
      <c r="AS880" s="21"/>
      <c r="AT880" s="24"/>
      <c r="AU880" s="21"/>
      <c r="BA880" s="17"/>
    </row>
    <row r="881">
      <c r="AO881" s="21"/>
      <c r="AP881" s="24"/>
      <c r="AQ881" s="21"/>
      <c r="AS881" s="21"/>
      <c r="AT881" s="24"/>
      <c r="AU881" s="21"/>
      <c r="BA881" s="8"/>
    </row>
    <row r="882">
      <c r="AO882" s="21"/>
      <c r="AP882" s="24"/>
      <c r="AQ882" s="21"/>
      <c r="AS882" s="21"/>
      <c r="AT882" s="24"/>
      <c r="AU882" s="21"/>
      <c r="BA882" s="27"/>
    </row>
    <row r="883">
      <c r="AO883" s="21"/>
      <c r="AP883" s="24"/>
      <c r="AQ883" s="21"/>
      <c r="AS883" s="21"/>
      <c r="AT883" s="24"/>
      <c r="AU883" s="21"/>
      <c r="BA883" s="17"/>
    </row>
    <row r="884">
      <c r="AO884" s="21"/>
      <c r="AP884" s="24"/>
      <c r="AQ884" s="21"/>
      <c r="AS884" s="21"/>
      <c r="AT884" s="24"/>
      <c r="AU884" s="21"/>
      <c r="BA884" s="27"/>
    </row>
    <row r="885">
      <c r="AO885" s="21"/>
      <c r="AP885" s="24"/>
      <c r="AQ885" s="21"/>
      <c r="AS885" s="21"/>
      <c r="AT885" s="24"/>
      <c r="AU885" s="21"/>
      <c r="BA885" s="27"/>
    </row>
    <row r="886">
      <c r="AO886" s="21"/>
      <c r="AP886" s="24"/>
      <c r="AQ886" s="21"/>
      <c r="AS886" s="21"/>
      <c r="AT886" s="24"/>
      <c r="AU886" s="21"/>
      <c r="BA886" s="17"/>
    </row>
    <row r="887">
      <c r="AO887" s="21"/>
      <c r="AP887" s="24"/>
      <c r="AQ887" s="21"/>
      <c r="AS887" s="21"/>
      <c r="AT887" s="24"/>
      <c r="AU887" s="21"/>
      <c r="BA887" s="17"/>
    </row>
    <row r="888">
      <c r="AO888" s="21"/>
      <c r="AP888" s="24"/>
      <c r="AQ888" s="21"/>
      <c r="AS888" s="21"/>
      <c r="AT888" s="24"/>
      <c r="AU888" s="21"/>
      <c r="BA888" s="17"/>
    </row>
    <row r="889">
      <c r="AO889" s="21"/>
      <c r="AP889" s="24"/>
      <c r="AQ889" s="21"/>
      <c r="AS889" s="21"/>
      <c r="AT889" s="24"/>
      <c r="AU889" s="21"/>
      <c r="BA889" s="8"/>
    </row>
    <row r="890">
      <c r="AO890" s="21"/>
      <c r="AP890" s="24"/>
      <c r="AQ890" s="21"/>
      <c r="AS890" s="21"/>
      <c r="AT890" s="24"/>
      <c r="AU890" s="21"/>
      <c r="BA890" s="27"/>
    </row>
    <row r="891">
      <c r="AO891" s="21"/>
      <c r="AP891" s="24"/>
      <c r="AQ891" s="21"/>
      <c r="AS891" s="21"/>
      <c r="AT891" s="24"/>
      <c r="AU891" s="21"/>
      <c r="BA891" s="17"/>
    </row>
    <row r="892">
      <c r="AO892" s="21"/>
      <c r="AP892" s="24"/>
      <c r="AQ892" s="21"/>
      <c r="AS892" s="21"/>
      <c r="AT892" s="24"/>
      <c r="AU892" s="21"/>
      <c r="BA892" s="27"/>
    </row>
    <row r="893">
      <c r="AO893" s="21"/>
      <c r="AP893" s="24"/>
      <c r="AQ893" s="21"/>
      <c r="AS893" s="21"/>
      <c r="AT893" s="24"/>
      <c r="AU893" s="21"/>
      <c r="BA893" s="27"/>
    </row>
    <row r="894">
      <c r="AO894" s="21"/>
      <c r="AP894" s="24"/>
      <c r="AQ894" s="21"/>
      <c r="AS894" s="21"/>
      <c r="AT894" s="24"/>
      <c r="AU894" s="21"/>
      <c r="BA894" s="17"/>
    </row>
    <row r="895">
      <c r="AO895" s="21"/>
      <c r="AP895" s="24"/>
      <c r="AQ895" s="21"/>
      <c r="AS895" s="21"/>
      <c r="AT895" s="24"/>
      <c r="AU895" s="21"/>
      <c r="BA895" s="17"/>
    </row>
    <row r="896">
      <c r="AO896" s="21"/>
      <c r="AP896" s="24"/>
      <c r="AQ896" s="21"/>
      <c r="AS896" s="21"/>
      <c r="AT896" s="24"/>
      <c r="AU896" s="21"/>
      <c r="BA896" s="17"/>
    </row>
    <row r="897">
      <c r="AO897" s="21"/>
      <c r="AP897" s="24"/>
      <c r="AQ897" s="21"/>
      <c r="AS897" s="21"/>
      <c r="AT897" s="24"/>
      <c r="AU897" s="21"/>
      <c r="BA897" s="8"/>
    </row>
    <row r="898">
      <c r="AO898" s="21"/>
      <c r="AP898" s="24"/>
      <c r="AQ898" s="21"/>
      <c r="AS898" s="21"/>
      <c r="AT898" s="24"/>
      <c r="AU898" s="21"/>
      <c r="BA898" s="27"/>
    </row>
    <row r="899">
      <c r="AO899" s="21"/>
      <c r="AP899" s="24"/>
      <c r="AQ899" s="21"/>
      <c r="AS899" s="21"/>
      <c r="AT899" s="24"/>
      <c r="AU899" s="21"/>
      <c r="BA899" s="17"/>
    </row>
    <row r="900">
      <c r="AO900" s="21"/>
      <c r="AP900" s="24"/>
      <c r="AQ900" s="21"/>
      <c r="AS900" s="21"/>
      <c r="AT900" s="24"/>
      <c r="AU900" s="21"/>
      <c r="BA900" s="27"/>
    </row>
    <row r="901">
      <c r="AO901" s="21"/>
      <c r="AP901" s="24"/>
      <c r="AQ901" s="21"/>
      <c r="AS901" s="21"/>
      <c r="AT901" s="24"/>
      <c r="AU901" s="21"/>
      <c r="BA901" s="27"/>
    </row>
    <row r="902">
      <c r="AO902" s="21"/>
      <c r="AP902" s="24"/>
      <c r="AQ902" s="21"/>
      <c r="AS902" s="21"/>
      <c r="AT902" s="24"/>
      <c r="AU902" s="21"/>
      <c r="BA902" s="17"/>
    </row>
    <row r="903">
      <c r="AO903" s="21"/>
      <c r="AP903" s="24"/>
      <c r="AQ903" s="21"/>
      <c r="AS903" s="21"/>
      <c r="AT903" s="24"/>
      <c r="AU903" s="21"/>
      <c r="BA903" s="17"/>
    </row>
    <row r="904">
      <c r="AO904" s="21"/>
      <c r="AP904" s="24"/>
      <c r="AQ904" s="21"/>
      <c r="AS904" s="21"/>
      <c r="AT904" s="24"/>
      <c r="AU904" s="21"/>
      <c r="BA904" s="17"/>
    </row>
    <row r="905">
      <c r="AO905" s="21"/>
      <c r="AP905" s="24"/>
      <c r="AQ905" s="21"/>
      <c r="AS905" s="21"/>
      <c r="AT905" s="24"/>
      <c r="AU905" s="21"/>
      <c r="BA905" s="8"/>
    </row>
    <row r="906">
      <c r="AO906" s="21"/>
      <c r="AP906" s="24"/>
      <c r="AQ906" s="21"/>
      <c r="AS906" s="21"/>
      <c r="AT906" s="24"/>
      <c r="AU906" s="21"/>
      <c r="BA906" s="27"/>
    </row>
    <row r="907">
      <c r="AO907" s="21"/>
      <c r="AP907" s="24"/>
      <c r="AQ907" s="21"/>
      <c r="AS907" s="21"/>
      <c r="AT907" s="24"/>
      <c r="AU907" s="21"/>
      <c r="BA907" s="17"/>
    </row>
    <row r="908">
      <c r="AO908" s="21"/>
      <c r="AP908" s="24"/>
      <c r="AQ908" s="21"/>
      <c r="AS908" s="21"/>
      <c r="AT908" s="24"/>
      <c r="AU908" s="21"/>
      <c r="BA908" s="27"/>
    </row>
    <row r="909">
      <c r="AO909" s="21"/>
      <c r="AP909" s="24"/>
      <c r="AQ909" s="21"/>
      <c r="AS909" s="21"/>
      <c r="AT909" s="24"/>
      <c r="AU909" s="21"/>
      <c r="BA909" s="27"/>
    </row>
    <row r="910">
      <c r="AO910" s="21"/>
      <c r="AP910" s="24"/>
      <c r="AQ910" s="21"/>
      <c r="AS910" s="21"/>
      <c r="AT910" s="24"/>
      <c r="AU910" s="21"/>
      <c r="BA910" s="17"/>
    </row>
    <row r="911">
      <c r="AO911" s="21"/>
      <c r="AP911" s="24"/>
      <c r="AQ911" s="21"/>
      <c r="AS911" s="21"/>
      <c r="AT911" s="24"/>
      <c r="AU911" s="21"/>
      <c r="BA911" s="17"/>
    </row>
    <row r="912">
      <c r="AO912" s="21"/>
      <c r="AP912" s="24"/>
      <c r="AQ912" s="21"/>
      <c r="AS912" s="21"/>
      <c r="AT912" s="24"/>
      <c r="AU912" s="21"/>
      <c r="BA912" s="17"/>
    </row>
    <row r="913">
      <c r="AO913" s="21"/>
      <c r="AP913" s="24"/>
      <c r="AQ913" s="21"/>
      <c r="AS913" s="21"/>
      <c r="AT913" s="24"/>
      <c r="AU913" s="21"/>
      <c r="BA913" s="8"/>
    </row>
    <row r="914">
      <c r="AO914" s="21"/>
      <c r="AP914" s="24"/>
      <c r="AQ914" s="21"/>
      <c r="AS914" s="21"/>
      <c r="AT914" s="24"/>
      <c r="AU914" s="21"/>
      <c r="BA914" s="27"/>
    </row>
    <row r="915">
      <c r="AO915" s="21"/>
      <c r="AP915" s="24"/>
      <c r="AQ915" s="21"/>
      <c r="AS915" s="21"/>
      <c r="AT915" s="24"/>
      <c r="AU915" s="21"/>
      <c r="BA915" s="17"/>
    </row>
    <row r="916">
      <c r="AO916" s="21"/>
      <c r="AP916" s="24"/>
      <c r="AQ916" s="21"/>
      <c r="AS916" s="21"/>
      <c r="AT916" s="24"/>
      <c r="AU916" s="21"/>
      <c r="BA916" s="27"/>
    </row>
    <row r="917">
      <c r="AO917" s="21"/>
      <c r="AP917" s="24"/>
      <c r="AQ917" s="21"/>
      <c r="AS917" s="21"/>
      <c r="AT917" s="24"/>
      <c r="AU917" s="21"/>
      <c r="BA917" s="27"/>
    </row>
    <row r="918">
      <c r="AO918" s="21"/>
      <c r="AP918" s="24"/>
      <c r="AQ918" s="21"/>
      <c r="AS918" s="21"/>
      <c r="AT918" s="24"/>
      <c r="AU918" s="21"/>
      <c r="BA918" s="17"/>
    </row>
    <row r="919">
      <c r="AO919" s="21"/>
      <c r="AP919" s="24"/>
      <c r="AQ919" s="21"/>
      <c r="AS919" s="21"/>
      <c r="AT919" s="24"/>
      <c r="AU919" s="21"/>
      <c r="BA919" s="17"/>
    </row>
    <row r="920">
      <c r="AO920" s="21"/>
      <c r="AP920" s="24"/>
      <c r="AQ920" s="21"/>
      <c r="AS920" s="21"/>
      <c r="AT920" s="24"/>
      <c r="AU920" s="21"/>
      <c r="BA920" s="17"/>
    </row>
    <row r="921">
      <c r="AO921" s="21"/>
      <c r="AP921" s="24"/>
      <c r="AQ921" s="21"/>
      <c r="AS921" s="21"/>
      <c r="AT921" s="24"/>
      <c r="AU921" s="21"/>
      <c r="BA921" s="8"/>
    </row>
    <row r="922">
      <c r="AO922" s="21"/>
      <c r="AP922" s="24"/>
      <c r="AQ922" s="21"/>
      <c r="AS922" s="21"/>
      <c r="AT922" s="24"/>
      <c r="AU922" s="21"/>
      <c r="BA922" s="27"/>
    </row>
    <row r="923">
      <c r="AO923" s="21"/>
      <c r="AP923" s="24"/>
      <c r="AQ923" s="21"/>
      <c r="AS923" s="21"/>
      <c r="AT923" s="24"/>
      <c r="AU923" s="21"/>
      <c r="BA923" s="17"/>
    </row>
    <row r="924">
      <c r="AO924" s="21"/>
      <c r="AP924" s="24"/>
      <c r="AQ924" s="21"/>
      <c r="AS924" s="21"/>
      <c r="AT924" s="24"/>
      <c r="AU924" s="21"/>
      <c r="BA924" s="27"/>
    </row>
    <row r="925">
      <c r="AO925" s="21"/>
      <c r="AP925" s="24"/>
      <c r="AQ925" s="21"/>
      <c r="AS925" s="21"/>
      <c r="AT925" s="24"/>
      <c r="AU925" s="21"/>
      <c r="BA925" s="27"/>
    </row>
    <row r="926">
      <c r="AO926" s="21"/>
      <c r="AP926" s="24"/>
      <c r="AQ926" s="21"/>
      <c r="AS926" s="21"/>
      <c r="AT926" s="24"/>
      <c r="AU926" s="21"/>
      <c r="BA926" s="17"/>
    </row>
    <row r="927">
      <c r="AO927" s="21"/>
      <c r="AP927" s="24"/>
      <c r="AQ927" s="21"/>
      <c r="AS927" s="21"/>
      <c r="AT927" s="24"/>
      <c r="AU927" s="21"/>
      <c r="BA927" s="17"/>
    </row>
    <row r="928">
      <c r="AO928" s="21"/>
      <c r="AP928" s="24"/>
      <c r="AQ928" s="21"/>
      <c r="AS928" s="21"/>
      <c r="AT928" s="24"/>
      <c r="AU928" s="21"/>
      <c r="BA928" s="17"/>
    </row>
    <row r="929">
      <c r="AO929" s="21"/>
      <c r="AP929" s="24"/>
      <c r="AQ929" s="21"/>
      <c r="AS929" s="21"/>
      <c r="AT929" s="24"/>
      <c r="AU929" s="21"/>
      <c r="BA929" s="8"/>
    </row>
    <row r="930">
      <c r="BA930" s="27"/>
    </row>
    <row r="931">
      <c r="BA931" s="17"/>
    </row>
    <row r="932">
      <c r="BA932" s="27"/>
    </row>
    <row r="933">
      <c r="BA933" s="27"/>
    </row>
    <row r="934">
      <c r="BA934" s="17"/>
    </row>
    <row r="935">
      <c r="BA935" s="17"/>
    </row>
    <row r="936">
      <c r="BA936" s="17"/>
    </row>
    <row r="937">
      <c r="BA937" s="8"/>
    </row>
    <row r="938">
      <c r="BA938" s="27"/>
    </row>
    <row r="939">
      <c r="BA939" s="17"/>
    </row>
    <row r="940">
      <c r="BA940" s="27"/>
    </row>
    <row r="941">
      <c r="BA941" s="27"/>
    </row>
    <row r="942">
      <c r="BA942" s="17"/>
    </row>
    <row r="943">
      <c r="BA943" s="17"/>
    </row>
    <row r="944">
      <c r="BA944" s="17"/>
    </row>
    <row r="945">
      <c r="BA945" s="8"/>
    </row>
    <row r="946">
      <c r="BA946" s="27"/>
    </row>
    <row r="947">
      <c r="BA947" s="17"/>
    </row>
    <row r="948">
      <c r="BA948" s="27"/>
    </row>
    <row r="949">
      <c r="BA949" s="27"/>
    </row>
    <row r="950">
      <c r="BA950" s="17"/>
    </row>
    <row r="951">
      <c r="BA951" s="17"/>
    </row>
    <row r="952">
      <c r="BA952" s="17"/>
    </row>
    <row r="953">
      <c r="BA953" s="8"/>
    </row>
    <row r="954">
      <c r="BA954" s="27"/>
    </row>
    <row r="955">
      <c r="BA955" s="17"/>
    </row>
    <row r="956">
      <c r="BA956" s="27"/>
    </row>
    <row r="957">
      <c r="BA957" s="27"/>
    </row>
    <row r="958">
      <c r="BA958" s="17"/>
    </row>
    <row r="959">
      <c r="BA959" s="17"/>
    </row>
    <row r="960">
      <c r="BA960" s="17"/>
    </row>
    <row r="961">
      <c r="BA961" s="8"/>
    </row>
    <row r="962">
      <c r="BA962" s="27"/>
    </row>
    <row r="963">
      <c r="BA963" s="17"/>
    </row>
    <row r="964">
      <c r="BA964" s="27"/>
    </row>
    <row r="965">
      <c r="BA965" s="27"/>
    </row>
    <row r="966">
      <c r="BA966" s="17"/>
    </row>
    <row r="967">
      <c r="BA967" s="17"/>
    </row>
    <row r="968">
      <c r="BA968" s="17"/>
    </row>
    <row r="969">
      <c r="BA969" s="8"/>
    </row>
    <row r="970">
      <c r="BA970" s="27"/>
    </row>
    <row r="971">
      <c r="BA971" s="17"/>
    </row>
    <row r="972">
      <c r="BA972" s="27"/>
    </row>
    <row r="973">
      <c r="BA973" s="27"/>
    </row>
    <row r="974">
      <c r="BA974" s="17"/>
    </row>
    <row r="975">
      <c r="BA975" s="17"/>
    </row>
    <row r="976">
      <c r="BA976" s="17"/>
    </row>
    <row r="977">
      <c r="BA977" s="8"/>
    </row>
    <row r="978">
      <c r="BA978" s="27"/>
    </row>
    <row r="979">
      <c r="BA979" s="17"/>
    </row>
    <row r="980">
      <c r="BA980" s="27"/>
    </row>
    <row r="981">
      <c r="BA981" s="27"/>
    </row>
    <row r="982">
      <c r="BA982" s="17"/>
    </row>
    <row r="983">
      <c r="BA983" s="17"/>
    </row>
    <row r="984">
      <c r="BA984" s="17"/>
    </row>
    <row r="985">
      <c r="BA985" s="8"/>
    </row>
    <row r="986">
      <c r="BA986" s="27"/>
    </row>
    <row r="987">
      <c r="BA987" s="17"/>
    </row>
    <row r="988">
      <c r="BA988" s="27"/>
    </row>
    <row r="989">
      <c r="BA989" s="27"/>
    </row>
    <row r="990">
      <c r="BA990" s="17"/>
    </row>
    <row r="991">
      <c r="BA991" s="17"/>
    </row>
    <row r="992">
      <c r="BA992" s="17"/>
    </row>
    <row r="993">
      <c r="BA993" s="8"/>
    </row>
    <row r="994">
      <c r="BA994" s="27"/>
    </row>
    <row r="995">
      <c r="BA995" s="17"/>
    </row>
    <row r="996">
      <c r="BA996" s="27"/>
    </row>
    <row r="997">
      <c r="BA997" s="27"/>
    </row>
    <row r="998">
      <c r="BA998" s="17"/>
    </row>
    <row r="999">
      <c r="BA999" s="17"/>
    </row>
    <row r="1000">
      <c r="BA1000" s="17"/>
    </row>
  </sheetData>
  <autoFilter ref="$A$1:$R$465"/>
  <mergeCells count="5">
    <mergeCell ref="B470:C470"/>
    <mergeCell ref="B473:C473"/>
    <mergeCell ref="B474:C474"/>
    <mergeCell ref="B475:C475"/>
    <mergeCell ref="B476:C476"/>
  </mergeCells>
  <drawing r:id="rId1"/>
</worksheet>
</file>